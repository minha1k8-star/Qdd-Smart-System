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/>
  <mc:AlternateContent xmlns:mc="http://schemas.openxmlformats.org/markup-compatibility/2006">
    <mc:Choice Requires="x15">
      <x15ac:absPath xmlns:x15ac="http://schemas.microsoft.com/office/spreadsheetml/2010/11/ac" url="/Users/minh/Downloads/Ban_giao_Qdd_Qdu_v1_3_1_AllInOne_FixCompile/"/>
    </mc:Choice>
  </mc:AlternateContent>
  <xr:revisionPtr revIDLastSave="0" documentId="8_{4C2E9EEC-F062-EC47-ACFE-97AA5B9DD88B}" xr6:coauthVersionLast="47" xr6:coauthVersionMax="47" xr10:uidLastSave="{00000000-0000-0000-0000-000000000000}"/>
  <bookViews>
    <workbookView xWindow="0" yWindow="600" windowWidth="28800" windowHeight="17400" xr2:uid="{00000000-000D-0000-FFFF-FFFF00000000}"/>
  </bookViews>
  <sheets>
    <sheet name="HUONG_DAN" sheetId="1" r:id="rId1"/>
    <sheet name="CAI_DAT" sheetId="2" r:id="rId2"/>
    <sheet name="LENH_GOC" sheetId="3" r:id="rId3"/>
    <sheet name="LENH_DIEU_DO" sheetId="4" r:id="rId4"/>
    <sheet name="CSV_6001" sheetId="5" r:id="rId5"/>
    <sheet name="CSV_6303" sheetId="6" r:id="rId6"/>
    <sheet name="XU_LY_LENH" sheetId="7" r:id="rId7"/>
    <sheet name="DOAN_CONG_SUAT" sheetId="8" r:id="rId8"/>
    <sheet name="DIEN_TICH" sheetId="9" r:id="rId9"/>
    <sheet name="TINH_TOAN" sheetId="10" r:id="rId10"/>
    <sheet name="BAO_CAO_QDU" sheetId="11" r:id="rId11"/>
    <sheet name="DIEU_KHIEN_VBA" sheetId="12" r:id="rId12"/>
    <sheet name="TRANG_THAI_CONG_SUAT" sheetId="13" r:id="rId13"/>
    <sheet name="THONG_TIN_HE_THONG" sheetId="14" r:id="rId14"/>
    <sheet name="QUY_TAC_NGHIEP_VU" sheetId="15" r:id="rId15"/>
    <sheet name="KIEM_THU_UAT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/>
  <c r="B6" i="12"/>
  <c r="B5" i="12"/>
  <c r="B4" i="12"/>
  <c r="A2" i="11"/>
  <c r="M49" i="10"/>
  <c r="K51" i="11" s="1"/>
  <c r="J49" i="10"/>
  <c r="E51" i="11" s="1"/>
  <c r="F49" i="10"/>
  <c r="G49" i="10" s="1"/>
  <c r="H51" i="11" s="1"/>
  <c r="A49" i="10"/>
  <c r="A51" i="11" s="1"/>
  <c r="M48" i="10"/>
  <c r="K50" i="11" s="1"/>
  <c r="J48" i="10"/>
  <c r="E50" i="11" s="1"/>
  <c r="F48" i="10"/>
  <c r="D50" i="11" s="1"/>
  <c r="A48" i="10"/>
  <c r="A50" i="11" s="1"/>
  <c r="M47" i="10"/>
  <c r="K49" i="11" s="1"/>
  <c r="J47" i="10"/>
  <c r="E49" i="11" s="1"/>
  <c r="G47" i="10"/>
  <c r="H49" i="11" s="1"/>
  <c r="F47" i="10"/>
  <c r="D49" i="11" s="1"/>
  <c r="A47" i="10"/>
  <c r="A49" i="11" s="1"/>
  <c r="M46" i="10"/>
  <c r="K48" i="11" s="1"/>
  <c r="J46" i="10"/>
  <c r="E48" i="11" s="1"/>
  <c r="G46" i="10"/>
  <c r="H48" i="11" s="1"/>
  <c r="F46" i="10"/>
  <c r="D48" i="11" s="1"/>
  <c r="A46" i="10"/>
  <c r="A48" i="11" s="1"/>
  <c r="M45" i="10"/>
  <c r="K47" i="11" s="1"/>
  <c r="J45" i="10"/>
  <c r="E47" i="11" s="1"/>
  <c r="G45" i="10"/>
  <c r="H47" i="11" s="1"/>
  <c r="F45" i="10"/>
  <c r="D47" i="11" s="1"/>
  <c r="A45" i="10"/>
  <c r="A47" i="11" s="1"/>
  <c r="M44" i="10"/>
  <c r="K46" i="11" s="1"/>
  <c r="J44" i="10"/>
  <c r="E46" i="11" s="1"/>
  <c r="G44" i="10"/>
  <c r="H46" i="11" s="1"/>
  <c r="F44" i="10"/>
  <c r="D46" i="11" s="1"/>
  <c r="A44" i="10"/>
  <c r="A46" i="11" s="1"/>
  <c r="M43" i="10"/>
  <c r="K45" i="11" s="1"/>
  <c r="J43" i="10"/>
  <c r="E45" i="11" s="1"/>
  <c r="G43" i="10"/>
  <c r="H45" i="11" s="1"/>
  <c r="F43" i="10"/>
  <c r="D45" i="11" s="1"/>
  <c r="A43" i="10"/>
  <c r="A45" i="11" s="1"/>
  <c r="M42" i="10"/>
  <c r="K44" i="11" s="1"/>
  <c r="J42" i="10"/>
  <c r="E44" i="11" s="1"/>
  <c r="F42" i="10"/>
  <c r="D44" i="11" s="1"/>
  <c r="A42" i="10"/>
  <c r="A44" i="11" s="1"/>
  <c r="M41" i="10"/>
  <c r="K43" i="11" s="1"/>
  <c r="J41" i="10"/>
  <c r="E43" i="11" s="1"/>
  <c r="G41" i="10"/>
  <c r="H43" i="11" s="1"/>
  <c r="F41" i="10"/>
  <c r="D43" i="11" s="1"/>
  <c r="A41" i="10"/>
  <c r="A43" i="11" s="1"/>
  <c r="M40" i="10"/>
  <c r="K42" i="11" s="1"/>
  <c r="J40" i="10"/>
  <c r="E42" i="11" s="1"/>
  <c r="G40" i="10"/>
  <c r="H42" i="11" s="1"/>
  <c r="F40" i="10"/>
  <c r="D42" i="11" s="1"/>
  <c r="A40" i="10"/>
  <c r="A42" i="11" s="1"/>
  <c r="M39" i="10"/>
  <c r="K41" i="11" s="1"/>
  <c r="J39" i="10"/>
  <c r="E41" i="11" s="1"/>
  <c r="F39" i="10"/>
  <c r="A39" i="10"/>
  <c r="A41" i="11" s="1"/>
  <c r="M38" i="10"/>
  <c r="K40" i="11" s="1"/>
  <c r="J38" i="10"/>
  <c r="E40" i="11" s="1"/>
  <c r="G38" i="10"/>
  <c r="H40" i="11" s="1"/>
  <c r="F38" i="10"/>
  <c r="D40" i="11" s="1"/>
  <c r="A38" i="10"/>
  <c r="A40" i="11" s="1"/>
  <c r="M37" i="10"/>
  <c r="K39" i="11" s="1"/>
  <c r="J37" i="10"/>
  <c r="E39" i="11" s="1"/>
  <c r="F37" i="10"/>
  <c r="D39" i="11" s="1"/>
  <c r="A37" i="10"/>
  <c r="A39" i="11" s="1"/>
  <c r="M36" i="10"/>
  <c r="K38" i="11" s="1"/>
  <c r="J36" i="10"/>
  <c r="E38" i="11" s="1"/>
  <c r="G36" i="10"/>
  <c r="H38" i="11" s="1"/>
  <c r="F36" i="10"/>
  <c r="D38" i="11" s="1"/>
  <c r="A36" i="10"/>
  <c r="A38" i="11" s="1"/>
  <c r="M35" i="10"/>
  <c r="K37" i="11" s="1"/>
  <c r="J35" i="10"/>
  <c r="E37" i="11" s="1"/>
  <c r="G35" i="10"/>
  <c r="H37" i="11" s="1"/>
  <c r="F35" i="10"/>
  <c r="D37" i="11" s="1"/>
  <c r="A35" i="10"/>
  <c r="A37" i="11" s="1"/>
  <c r="M34" i="10"/>
  <c r="K36" i="11" s="1"/>
  <c r="J34" i="10"/>
  <c r="E36" i="11" s="1"/>
  <c r="G34" i="10"/>
  <c r="H36" i="11" s="1"/>
  <c r="F34" i="10"/>
  <c r="D36" i="11" s="1"/>
  <c r="A34" i="10"/>
  <c r="A36" i="11" s="1"/>
  <c r="M33" i="10"/>
  <c r="K35" i="11" s="1"/>
  <c r="J33" i="10"/>
  <c r="E35" i="11" s="1"/>
  <c r="G33" i="10"/>
  <c r="H35" i="11" s="1"/>
  <c r="F33" i="10"/>
  <c r="D35" i="11" s="1"/>
  <c r="A33" i="10"/>
  <c r="A35" i="11" s="1"/>
  <c r="M32" i="10"/>
  <c r="K34" i="11" s="1"/>
  <c r="J32" i="10"/>
  <c r="E34" i="11" s="1"/>
  <c r="F32" i="10"/>
  <c r="D34" i="11" s="1"/>
  <c r="A32" i="10"/>
  <c r="A34" i="11" s="1"/>
  <c r="M31" i="10"/>
  <c r="K33" i="11" s="1"/>
  <c r="J31" i="10"/>
  <c r="E33" i="11" s="1"/>
  <c r="F31" i="10"/>
  <c r="D33" i="11" s="1"/>
  <c r="A31" i="10"/>
  <c r="A33" i="11" s="1"/>
  <c r="M30" i="10"/>
  <c r="K32" i="11" s="1"/>
  <c r="J30" i="10"/>
  <c r="E32" i="11" s="1"/>
  <c r="F30" i="10"/>
  <c r="D32" i="11" s="1"/>
  <c r="A30" i="10"/>
  <c r="A32" i="11" s="1"/>
  <c r="M29" i="10"/>
  <c r="K31" i="11" s="1"/>
  <c r="J29" i="10"/>
  <c r="E31" i="11" s="1"/>
  <c r="G29" i="10"/>
  <c r="H31" i="11" s="1"/>
  <c r="F29" i="10"/>
  <c r="D31" i="11" s="1"/>
  <c r="A29" i="10"/>
  <c r="A31" i="11" s="1"/>
  <c r="M28" i="10"/>
  <c r="K30" i="11" s="1"/>
  <c r="J28" i="10"/>
  <c r="E30" i="11" s="1"/>
  <c r="G28" i="10"/>
  <c r="H30" i="11" s="1"/>
  <c r="F28" i="10"/>
  <c r="D30" i="11" s="1"/>
  <c r="A28" i="10"/>
  <c r="A30" i="11" s="1"/>
  <c r="M27" i="10"/>
  <c r="K29" i="11" s="1"/>
  <c r="J27" i="10"/>
  <c r="E29" i="11" s="1"/>
  <c r="G27" i="10"/>
  <c r="H29" i="11" s="1"/>
  <c r="F27" i="10"/>
  <c r="D29" i="11" s="1"/>
  <c r="A27" i="10"/>
  <c r="A29" i="11" s="1"/>
  <c r="M26" i="10"/>
  <c r="K28" i="11" s="1"/>
  <c r="J26" i="10"/>
  <c r="E28" i="11" s="1"/>
  <c r="G26" i="10"/>
  <c r="H28" i="11" s="1"/>
  <c r="F26" i="10"/>
  <c r="D28" i="11" s="1"/>
  <c r="A26" i="10"/>
  <c r="A28" i="11" s="1"/>
  <c r="M25" i="10"/>
  <c r="K27" i="11" s="1"/>
  <c r="J25" i="10"/>
  <c r="E27" i="11" s="1"/>
  <c r="G25" i="10"/>
  <c r="H27" i="11" s="1"/>
  <c r="F25" i="10"/>
  <c r="D27" i="11" s="1"/>
  <c r="A25" i="10"/>
  <c r="A27" i="11" s="1"/>
  <c r="M24" i="10"/>
  <c r="K26" i="11" s="1"/>
  <c r="J24" i="10"/>
  <c r="E26" i="11" s="1"/>
  <c r="F24" i="10"/>
  <c r="D26" i="11" s="1"/>
  <c r="A24" i="10"/>
  <c r="A26" i="11" s="1"/>
  <c r="M23" i="10"/>
  <c r="K25" i="11" s="1"/>
  <c r="J23" i="10"/>
  <c r="E25" i="11" s="1"/>
  <c r="F23" i="10"/>
  <c r="D25" i="11" s="1"/>
  <c r="A23" i="10"/>
  <c r="A25" i="11" s="1"/>
  <c r="M22" i="10"/>
  <c r="K24" i="11" s="1"/>
  <c r="J22" i="10"/>
  <c r="E24" i="11" s="1"/>
  <c r="F22" i="10"/>
  <c r="D24" i="11" s="1"/>
  <c r="A22" i="10"/>
  <c r="A24" i="11" s="1"/>
  <c r="M21" i="10"/>
  <c r="K23" i="11" s="1"/>
  <c r="J21" i="10"/>
  <c r="E23" i="11" s="1"/>
  <c r="G21" i="10"/>
  <c r="H23" i="11" s="1"/>
  <c r="F21" i="10"/>
  <c r="D23" i="11" s="1"/>
  <c r="A21" i="10"/>
  <c r="A23" i="11" s="1"/>
  <c r="M20" i="10"/>
  <c r="K22" i="11" s="1"/>
  <c r="J20" i="10"/>
  <c r="E22" i="11" s="1"/>
  <c r="F20" i="10"/>
  <c r="D22" i="11" s="1"/>
  <c r="A20" i="10"/>
  <c r="A22" i="11" s="1"/>
  <c r="M19" i="10"/>
  <c r="K21" i="11" s="1"/>
  <c r="J19" i="10"/>
  <c r="E21" i="11" s="1"/>
  <c r="G19" i="10"/>
  <c r="H21" i="11" s="1"/>
  <c r="F19" i="10"/>
  <c r="D21" i="11" s="1"/>
  <c r="A19" i="10"/>
  <c r="A21" i="11" s="1"/>
  <c r="M18" i="10"/>
  <c r="K20" i="11" s="1"/>
  <c r="J18" i="10"/>
  <c r="E20" i="11" s="1"/>
  <c r="G18" i="10"/>
  <c r="H20" i="11" s="1"/>
  <c r="F18" i="10"/>
  <c r="D20" i="11" s="1"/>
  <c r="A18" i="10"/>
  <c r="A20" i="11" s="1"/>
  <c r="M17" i="10"/>
  <c r="K19" i="11" s="1"/>
  <c r="J17" i="10"/>
  <c r="E19" i="11" s="1"/>
  <c r="G17" i="10"/>
  <c r="H19" i="11" s="1"/>
  <c r="F17" i="10"/>
  <c r="D19" i="11" s="1"/>
  <c r="A17" i="10"/>
  <c r="A19" i="11" s="1"/>
  <c r="M16" i="10"/>
  <c r="K18" i="11" s="1"/>
  <c r="J16" i="10"/>
  <c r="E18" i="11" s="1"/>
  <c r="F16" i="10"/>
  <c r="D18" i="11" s="1"/>
  <c r="A16" i="10"/>
  <c r="A18" i="11" s="1"/>
  <c r="M15" i="10"/>
  <c r="K17" i="11" s="1"/>
  <c r="J15" i="10"/>
  <c r="E17" i="11" s="1"/>
  <c r="F15" i="10"/>
  <c r="D17" i="11" s="1"/>
  <c r="A15" i="10"/>
  <c r="A17" i="11" s="1"/>
  <c r="M14" i="10"/>
  <c r="K16" i="11" s="1"/>
  <c r="J14" i="10"/>
  <c r="E16" i="11" s="1"/>
  <c r="G14" i="10"/>
  <c r="H16" i="11" s="1"/>
  <c r="F14" i="10"/>
  <c r="D16" i="11" s="1"/>
  <c r="A14" i="10"/>
  <c r="A16" i="11" s="1"/>
  <c r="M13" i="10"/>
  <c r="K15" i="11" s="1"/>
  <c r="J13" i="10"/>
  <c r="E15" i="11" s="1"/>
  <c r="G13" i="10"/>
  <c r="H15" i="11" s="1"/>
  <c r="F13" i="10"/>
  <c r="D15" i="11" s="1"/>
  <c r="A13" i="10"/>
  <c r="A15" i="11" s="1"/>
  <c r="M12" i="10"/>
  <c r="K14" i="11" s="1"/>
  <c r="J12" i="10"/>
  <c r="E14" i="11" s="1"/>
  <c r="G12" i="10"/>
  <c r="H14" i="11" s="1"/>
  <c r="F12" i="10"/>
  <c r="D14" i="11" s="1"/>
  <c r="A12" i="10"/>
  <c r="A14" i="11" s="1"/>
  <c r="M11" i="10"/>
  <c r="K13" i="11" s="1"/>
  <c r="J11" i="10"/>
  <c r="E13" i="11" s="1"/>
  <c r="G11" i="10"/>
  <c r="H13" i="11" s="1"/>
  <c r="F11" i="10"/>
  <c r="D13" i="11" s="1"/>
  <c r="A11" i="10"/>
  <c r="A13" i="11" s="1"/>
  <c r="M10" i="10"/>
  <c r="K12" i="11" s="1"/>
  <c r="J10" i="10"/>
  <c r="E12" i="11" s="1"/>
  <c r="G10" i="10"/>
  <c r="H12" i="11" s="1"/>
  <c r="F10" i="10"/>
  <c r="D12" i="11" s="1"/>
  <c r="A10" i="10"/>
  <c r="A12" i="11" s="1"/>
  <c r="M9" i="10"/>
  <c r="K11" i="11" s="1"/>
  <c r="J9" i="10"/>
  <c r="E11" i="11" s="1"/>
  <c r="G9" i="10"/>
  <c r="H11" i="11" s="1"/>
  <c r="F9" i="10"/>
  <c r="D11" i="11" s="1"/>
  <c r="A9" i="10"/>
  <c r="A11" i="11" s="1"/>
  <c r="M8" i="10"/>
  <c r="K10" i="11" s="1"/>
  <c r="J8" i="10"/>
  <c r="E10" i="11" s="1"/>
  <c r="F8" i="10"/>
  <c r="D10" i="11" s="1"/>
  <c r="A8" i="10"/>
  <c r="A10" i="11" s="1"/>
  <c r="M7" i="10"/>
  <c r="K9" i="11" s="1"/>
  <c r="J7" i="10"/>
  <c r="E9" i="11" s="1"/>
  <c r="F7" i="10"/>
  <c r="A7" i="10"/>
  <c r="A9" i="11" s="1"/>
  <c r="M6" i="10"/>
  <c r="K8" i="11" s="1"/>
  <c r="J6" i="10"/>
  <c r="E8" i="11" s="1"/>
  <c r="G6" i="10"/>
  <c r="H8" i="11" s="1"/>
  <c r="F6" i="10"/>
  <c r="D8" i="11" s="1"/>
  <c r="A6" i="10"/>
  <c r="A8" i="11" s="1"/>
  <c r="M5" i="10"/>
  <c r="K7" i="11" s="1"/>
  <c r="J5" i="10"/>
  <c r="E7" i="11" s="1"/>
  <c r="F5" i="10"/>
  <c r="A5" i="10"/>
  <c r="A7" i="11" s="1"/>
  <c r="M4" i="10"/>
  <c r="K6" i="11" s="1"/>
  <c r="J4" i="10"/>
  <c r="E6" i="11" s="1"/>
  <c r="G4" i="10"/>
  <c r="H6" i="11" s="1"/>
  <c r="F4" i="10"/>
  <c r="D6" i="11" s="1"/>
  <c r="A4" i="10"/>
  <c r="A6" i="11" s="1"/>
  <c r="M3" i="10"/>
  <c r="K5" i="11" s="1"/>
  <c r="J3" i="10"/>
  <c r="E5" i="11" s="1"/>
  <c r="G3" i="10"/>
  <c r="H5" i="11" s="1"/>
  <c r="F3" i="10"/>
  <c r="D5" i="11" s="1"/>
  <c r="A3" i="10"/>
  <c r="A5" i="11" s="1"/>
  <c r="M2" i="10"/>
  <c r="K4" i="11" s="1"/>
  <c r="J2" i="10"/>
  <c r="E4" i="11" s="1"/>
  <c r="G2" i="10"/>
  <c r="H4" i="11" s="1"/>
  <c r="F2" i="10"/>
  <c r="D4" i="11" s="1"/>
  <c r="A2" i="10"/>
  <c r="A4" i="11" s="1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H2" i="8"/>
  <c r="F2" i="8"/>
  <c r="E2" i="8"/>
  <c r="C2" i="8"/>
  <c r="B2" i="8"/>
  <c r="A2" i="8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X202" i="4"/>
  <c r="R202" i="4"/>
  <c r="Q202" i="4"/>
  <c r="P202" i="4"/>
  <c r="O202" i="4"/>
  <c r="N202" i="4"/>
  <c r="M202" i="4"/>
  <c r="K202" i="4"/>
  <c r="T202" i="4" s="1"/>
  <c r="U202" i="4" s="1"/>
  <c r="J202" i="4"/>
  <c r="X201" i="4"/>
  <c r="W201" i="4"/>
  <c r="V201" i="4"/>
  <c r="U201" i="4"/>
  <c r="T201" i="4"/>
  <c r="Q201" i="4"/>
  <c r="P201" i="4"/>
  <c r="O201" i="4"/>
  <c r="N201" i="4"/>
  <c r="M201" i="4"/>
  <c r="L201" i="4"/>
  <c r="K201" i="4"/>
  <c r="S201" i="4" s="1"/>
  <c r="J201" i="4"/>
  <c r="W200" i="4"/>
  <c r="V200" i="4"/>
  <c r="T200" i="4"/>
  <c r="X200" i="4" s="1"/>
  <c r="P200" i="4"/>
  <c r="O200" i="4"/>
  <c r="N200" i="4"/>
  <c r="M200" i="4"/>
  <c r="L200" i="4"/>
  <c r="K200" i="4"/>
  <c r="R200" i="4" s="1"/>
  <c r="J200" i="4"/>
  <c r="T199" i="4"/>
  <c r="S199" i="4"/>
  <c r="N199" i="4"/>
  <c r="M199" i="4"/>
  <c r="L199" i="4"/>
  <c r="K199" i="4"/>
  <c r="J199" i="4"/>
  <c r="T198" i="4"/>
  <c r="S198" i="4"/>
  <c r="R198" i="4"/>
  <c r="M198" i="4"/>
  <c r="L198" i="4"/>
  <c r="K198" i="4"/>
  <c r="J198" i="4"/>
  <c r="S197" i="4"/>
  <c r="R197" i="4"/>
  <c r="Q197" i="4"/>
  <c r="L197" i="4"/>
  <c r="K197" i="4"/>
  <c r="J197" i="4"/>
  <c r="P196" i="4"/>
  <c r="K196" i="4"/>
  <c r="J196" i="4"/>
  <c r="R195" i="4"/>
  <c r="Q195" i="4"/>
  <c r="P195" i="4"/>
  <c r="O195" i="4"/>
  <c r="K195" i="4"/>
  <c r="M195" i="4" s="1"/>
  <c r="J195" i="4"/>
  <c r="R194" i="4"/>
  <c r="Q194" i="4"/>
  <c r="P194" i="4"/>
  <c r="O194" i="4"/>
  <c r="N194" i="4"/>
  <c r="M194" i="4"/>
  <c r="K194" i="4"/>
  <c r="T194" i="4" s="1"/>
  <c r="U194" i="4" s="1"/>
  <c r="J194" i="4"/>
  <c r="X193" i="4"/>
  <c r="W193" i="4"/>
  <c r="V193" i="4"/>
  <c r="U193" i="4"/>
  <c r="T193" i="4"/>
  <c r="Q193" i="4"/>
  <c r="P193" i="4"/>
  <c r="O193" i="4"/>
  <c r="N193" i="4"/>
  <c r="M193" i="4"/>
  <c r="L193" i="4"/>
  <c r="K193" i="4"/>
  <c r="S193" i="4" s="1"/>
  <c r="J193" i="4"/>
  <c r="T192" i="4"/>
  <c r="P192" i="4"/>
  <c r="O192" i="4"/>
  <c r="N192" i="4"/>
  <c r="M192" i="4"/>
  <c r="L192" i="4"/>
  <c r="K192" i="4"/>
  <c r="R192" i="4" s="1"/>
  <c r="J192" i="4"/>
  <c r="T191" i="4"/>
  <c r="S191" i="4"/>
  <c r="N191" i="4"/>
  <c r="L191" i="4"/>
  <c r="K191" i="4"/>
  <c r="J191" i="4"/>
  <c r="T190" i="4"/>
  <c r="U190" i="4" s="1"/>
  <c r="S190" i="4"/>
  <c r="R190" i="4"/>
  <c r="L190" i="4"/>
  <c r="K190" i="4"/>
  <c r="J190" i="4"/>
  <c r="T189" i="4"/>
  <c r="S189" i="4"/>
  <c r="R189" i="4"/>
  <c r="Q189" i="4"/>
  <c r="K189" i="4"/>
  <c r="J189" i="4"/>
  <c r="S188" i="4"/>
  <c r="R188" i="4"/>
  <c r="Q188" i="4"/>
  <c r="P188" i="4"/>
  <c r="K188" i="4"/>
  <c r="J188" i="4"/>
  <c r="R187" i="4"/>
  <c r="Q187" i="4"/>
  <c r="P187" i="4"/>
  <c r="O187" i="4"/>
  <c r="K187" i="4"/>
  <c r="M187" i="4" s="1"/>
  <c r="J187" i="4"/>
  <c r="R186" i="4"/>
  <c r="Q186" i="4"/>
  <c r="P186" i="4"/>
  <c r="O186" i="4"/>
  <c r="N186" i="4"/>
  <c r="M186" i="4"/>
  <c r="K186" i="4"/>
  <c r="T186" i="4" s="1"/>
  <c r="V186" i="4" s="1"/>
  <c r="J186" i="4"/>
  <c r="X185" i="4"/>
  <c r="W185" i="4"/>
  <c r="V185" i="4"/>
  <c r="U185" i="4"/>
  <c r="T185" i="4"/>
  <c r="Q185" i="4"/>
  <c r="P185" i="4"/>
  <c r="O185" i="4"/>
  <c r="N185" i="4"/>
  <c r="M185" i="4"/>
  <c r="L185" i="4"/>
  <c r="K185" i="4"/>
  <c r="S185" i="4" s="1"/>
  <c r="J185" i="4"/>
  <c r="V184" i="4"/>
  <c r="U184" i="4"/>
  <c r="T184" i="4"/>
  <c r="P184" i="4"/>
  <c r="O184" i="4"/>
  <c r="N184" i="4"/>
  <c r="M184" i="4"/>
  <c r="L184" i="4"/>
  <c r="K184" i="4"/>
  <c r="R184" i="4" s="1"/>
  <c r="J184" i="4"/>
  <c r="K183" i="4"/>
  <c r="J183" i="4"/>
  <c r="K182" i="4"/>
  <c r="J182" i="4"/>
  <c r="T181" i="4"/>
  <c r="K181" i="4"/>
  <c r="J181" i="4"/>
  <c r="S180" i="4"/>
  <c r="R180" i="4"/>
  <c r="P180" i="4"/>
  <c r="K180" i="4"/>
  <c r="J180" i="4"/>
  <c r="R179" i="4"/>
  <c r="Q179" i="4"/>
  <c r="P179" i="4"/>
  <c r="O179" i="4"/>
  <c r="K179" i="4"/>
  <c r="M179" i="4" s="1"/>
  <c r="J179" i="4"/>
  <c r="R178" i="4"/>
  <c r="Q178" i="4"/>
  <c r="P178" i="4"/>
  <c r="O178" i="4"/>
  <c r="N178" i="4"/>
  <c r="M178" i="4"/>
  <c r="K178" i="4"/>
  <c r="T178" i="4" s="1"/>
  <c r="U178" i="4" s="1"/>
  <c r="J178" i="4"/>
  <c r="X177" i="4"/>
  <c r="W177" i="4"/>
  <c r="V177" i="4"/>
  <c r="U177" i="4"/>
  <c r="T177" i="4"/>
  <c r="Q177" i="4"/>
  <c r="P177" i="4"/>
  <c r="O177" i="4"/>
  <c r="N177" i="4"/>
  <c r="M177" i="4"/>
  <c r="L177" i="4"/>
  <c r="K177" i="4"/>
  <c r="S177" i="4" s="1"/>
  <c r="J177" i="4"/>
  <c r="X176" i="4"/>
  <c r="W176" i="4"/>
  <c r="V176" i="4"/>
  <c r="U176" i="4"/>
  <c r="T176" i="4"/>
  <c r="P176" i="4"/>
  <c r="O176" i="4"/>
  <c r="N176" i="4"/>
  <c r="M176" i="4"/>
  <c r="L176" i="4"/>
  <c r="K176" i="4"/>
  <c r="R176" i="4" s="1"/>
  <c r="J176" i="4"/>
  <c r="T175" i="4"/>
  <c r="S175" i="4"/>
  <c r="O175" i="4"/>
  <c r="N175" i="4"/>
  <c r="M175" i="4"/>
  <c r="K175" i="4"/>
  <c r="J175" i="4"/>
  <c r="T174" i="4"/>
  <c r="S174" i="4"/>
  <c r="K174" i="4"/>
  <c r="J174" i="4"/>
  <c r="K173" i="4"/>
  <c r="J173" i="4"/>
  <c r="P172" i="4"/>
  <c r="K172" i="4"/>
  <c r="J172" i="4"/>
  <c r="K171" i="4"/>
  <c r="J171" i="4"/>
  <c r="R170" i="4"/>
  <c r="Q170" i="4"/>
  <c r="P170" i="4"/>
  <c r="O170" i="4"/>
  <c r="N170" i="4"/>
  <c r="M170" i="4"/>
  <c r="K170" i="4"/>
  <c r="T170" i="4" s="1"/>
  <c r="U170" i="4" s="1"/>
  <c r="J170" i="4"/>
  <c r="X169" i="4"/>
  <c r="W169" i="4"/>
  <c r="V169" i="4"/>
  <c r="U169" i="4"/>
  <c r="T169" i="4"/>
  <c r="R169" i="4"/>
  <c r="Q169" i="4"/>
  <c r="P169" i="4"/>
  <c r="O169" i="4"/>
  <c r="N169" i="4"/>
  <c r="M169" i="4"/>
  <c r="L169" i="4"/>
  <c r="K169" i="4"/>
  <c r="S169" i="4" s="1"/>
  <c r="J169" i="4"/>
  <c r="V168" i="4"/>
  <c r="U168" i="4"/>
  <c r="T168" i="4"/>
  <c r="P168" i="4"/>
  <c r="O168" i="4"/>
  <c r="N168" i="4"/>
  <c r="M168" i="4"/>
  <c r="L168" i="4"/>
  <c r="K168" i="4"/>
  <c r="R168" i="4" s="1"/>
  <c r="J168" i="4"/>
  <c r="K167" i="4"/>
  <c r="L167" i="4" s="1"/>
  <c r="J167" i="4"/>
  <c r="U166" i="4"/>
  <c r="T166" i="4"/>
  <c r="S166" i="4"/>
  <c r="R166" i="4"/>
  <c r="N166" i="4"/>
  <c r="M166" i="4"/>
  <c r="L166" i="4"/>
  <c r="K166" i="4"/>
  <c r="J166" i="4"/>
  <c r="T165" i="4"/>
  <c r="S165" i="4"/>
  <c r="R165" i="4"/>
  <c r="Q165" i="4"/>
  <c r="M165" i="4"/>
  <c r="K165" i="4"/>
  <c r="J165" i="4"/>
  <c r="X164" i="4"/>
  <c r="T164" i="4"/>
  <c r="S164" i="4"/>
  <c r="R164" i="4"/>
  <c r="Q164" i="4"/>
  <c r="L164" i="4"/>
  <c r="K164" i="4"/>
  <c r="J164" i="4"/>
  <c r="K163" i="4"/>
  <c r="J163" i="4"/>
  <c r="W162" i="4"/>
  <c r="R162" i="4"/>
  <c r="Q162" i="4"/>
  <c r="P162" i="4"/>
  <c r="O162" i="4"/>
  <c r="N162" i="4"/>
  <c r="M162" i="4"/>
  <c r="K162" i="4"/>
  <c r="T162" i="4" s="1"/>
  <c r="X162" i="4" s="1"/>
  <c r="J162" i="4"/>
  <c r="X161" i="4"/>
  <c r="W161" i="4"/>
  <c r="V161" i="4"/>
  <c r="U161" i="4"/>
  <c r="T161" i="4"/>
  <c r="R161" i="4"/>
  <c r="Q161" i="4"/>
  <c r="P161" i="4"/>
  <c r="O161" i="4"/>
  <c r="N161" i="4"/>
  <c r="M161" i="4"/>
  <c r="L161" i="4"/>
  <c r="K161" i="4"/>
  <c r="S161" i="4" s="1"/>
  <c r="J161" i="4"/>
  <c r="X160" i="4"/>
  <c r="W160" i="4"/>
  <c r="U160" i="4"/>
  <c r="T160" i="4"/>
  <c r="V160" i="4" s="1"/>
  <c r="P160" i="4"/>
  <c r="O160" i="4"/>
  <c r="N160" i="4"/>
  <c r="M160" i="4"/>
  <c r="L160" i="4"/>
  <c r="K160" i="4"/>
  <c r="R160" i="4" s="1"/>
  <c r="J160" i="4"/>
  <c r="K159" i="4"/>
  <c r="J159" i="4"/>
  <c r="M158" i="4"/>
  <c r="K158" i="4"/>
  <c r="J158" i="4"/>
  <c r="K157" i="4"/>
  <c r="M157" i="4" s="1"/>
  <c r="J157" i="4"/>
  <c r="R156" i="4"/>
  <c r="Q156" i="4"/>
  <c r="P156" i="4"/>
  <c r="L156" i="4"/>
  <c r="K156" i="4"/>
  <c r="J156" i="4"/>
  <c r="S155" i="4"/>
  <c r="R155" i="4"/>
  <c r="Q155" i="4"/>
  <c r="P155" i="4"/>
  <c r="O155" i="4"/>
  <c r="K155" i="4"/>
  <c r="J155" i="4"/>
  <c r="V154" i="4"/>
  <c r="R154" i="4"/>
  <c r="Q154" i="4"/>
  <c r="P154" i="4"/>
  <c r="O154" i="4"/>
  <c r="N154" i="4"/>
  <c r="M154" i="4"/>
  <c r="K154" i="4"/>
  <c r="T154" i="4" s="1"/>
  <c r="J154" i="4"/>
  <c r="X153" i="4"/>
  <c r="W153" i="4"/>
  <c r="V153" i="4"/>
  <c r="T153" i="4"/>
  <c r="U153" i="4" s="1"/>
  <c r="R153" i="4"/>
  <c r="Q153" i="4"/>
  <c r="P153" i="4"/>
  <c r="O153" i="4"/>
  <c r="N153" i="4"/>
  <c r="M153" i="4"/>
  <c r="L153" i="4"/>
  <c r="K153" i="4"/>
  <c r="S153" i="4" s="1"/>
  <c r="J153" i="4"/>
  <c r="K152" i="4"/>
  <c r="J152" i="4"/>
  <c r="T151" i="4"/>
  <c r="S151" i="4"/>
  <c r="R151" i="4"/>
  <c r="O151" i="4"/>
  <c r="N151" i="4"/>
  <c r="L151" i="4"/>
  <c r="K151" i="4"/>
  <c r="J151" i="4"/>
  <c r="V150" i="4"/>
  <c r="U150" i="4"/>
  <c r="T150" i="4"/>
  <c r="K150" i="4"/>
  <c r="J150" i="4"/>
  <c r="X149" i="4"/>
  <c r="T149" i="4"/>
  <c r="S149" i="4"/>
  <c r="R149" i="4"/>
  <c r="Q149" i="4"/>
  <c r="P149" i="4"/>
  <c r="M149" i="4"/>
  <c r="L149" i="4"/>
  <c r="K149" i="4"/>
  <c r="J149" i="4"/>
  <c r="W148" i="4"/>
  <c r="T148" i="4"/>
  <c r="K148" i="4"/>
  <c r="J148" i="4"/>
  <c r="P147" i="4"/>
  <c r="O147" i="4"/>
  <c r="K147" i="4"/>
  <c r="J147" i="4"/>
  <c r="W146" i="4"/>
  <c r="U146" i="4"/>
  <c r="R146" i="4"/>
  <c r="Q146" i="4"/>
  <c r="P146" i="4"/>
  <c r="O146" i="4"/>
  <c r="N146" i="4"/>
  <c r="M146" i="4"/>
  <c r="K146" i="4"/>
  <c r="T146" i="4" s="1"/>
  <c r="X146" i="4" s="1"/>
  <c r="J146" i="4"/>
  <c r="X145" i="4"/>
  <c r="W145" i="4"/>
  <c r="V145" i="4"/>
  <c r="U145" i="4"/>
  <c r="T145" i="4"/>
  <c r="R145" i="4"/>
  <c r="Q145" i="4"/>
  <c r="P145" i="4"/>
  <c r="O145" i="4"/>
  <c r="N145" i="4"/>
  <c r="M145" i="4"/>
  <c r="L145" i="4"/>
  <c r="K145" i="4"/>
  <c r="S145" i="4" s="1"/>
  <c r="J145" i="4"/>
  <c r="T144" i="4"/>
  <c r="X144" i="4" s="1"/>
  <c r="M144" i="4"/>
  <c r="K144" i="4"/>
  <c r="J144" i="4"/>
  <c r="S143" i="4"/>
  <c r="R143" i="4"/>
  <c r="O143" i="4"/>
  <c r="N143" i="4"/>
  <c r="M143" i="4"/>
  <c r="K143" i="4"/>
  <c r="T143" i="4" s="1"/>
  <c r="J143" i="4"/>
  <c r="T142" i="4"/>
  <c r="X142" i="4" s="1"/>
  <c r="N142" i="4"/>
  <c r="M142" i="4"/>
  <c r="K142" i="4"/>
  <c r="J142" i="4"/>
  <c r="T141" i="4"/>
  <c r="S141" i="4"/>
  <c r="R141" i="4"/>
  <c r="Q141" i="4"/>
  <c r="K141" i="4"/>
  <c r="J141" i="4"/>
  <c r="S140" i="4"/>
  <c r="R140" i="4"/>
  <c r="Q140" i="4"/>
  <c r="P140" i="4"/>
  <c r="O140" i="4"/>
  <c r="M140" i="4"/>
  <c r="L140" i="4"/>
  <c r="K140" i="4"/>
  <c r="N140" i="4" s="1"/>
  <c r="J140" i="4"/>
  <c r="T139" i="4"/>
  <c r="S139" i="4"/>
  <c r="K139" i="4"/>
  <c r="J139" i="4"/>
  <c r="S138" i="4"/>
  <c r="R138" i="4"/>
  <c r="Q138" i="4"/>
  <c r="P138" i="4"/>
  <c r="O138" i="4"/>
  <c r="M138" i="4"/>
  <c r="K138" i="4"/>
  <c r="J138" i="4"/>
  <c r="R137" i="4"/>
  <c r="Q137" i="4"/>
  <c r="P137" i="4"/>
  <c r="O137" i="4"/>
  <c r="N137" i="4"/>
  <c r="M137" i="4"/>
  <c r="L137" i="4"/>
  <c r="K137" i="4"/>
  <c r="S137" i="4" s="1"/>
  <c r="J137" i="4"/>
  <c r="T136" i="4"/>
  <c r="X136" i="4" s="1"/>
  <c r="O136" i="4"/>
  <c r="N136" i="4"/>
  <c r="M136" i="4"/>
  <c r="L136" i="4"/>
  <c r="K136" i="4"/>
  <c r="R136" i="4" s="1"/>
  <c r="J136" i="4"/>
  <c r="T135" i="4"/>
  <c r="V135" i="4" s="1"/>
  <c r="S135" i="4"/>
  <c r="N135" i="4"/>
  <c r="M135" i="4"/>
  <c r="K135" i="4"/>
  <c r="J135" i="4"/>
  <c r="T134" i="4"/>
  <c r="S134" i="4"/>
  <c r="R134" i="4"/>
  <c r="M134" i="4"/>
  <c r="K134" i="4"/>
  <c r="J134" i="4"/>
  <c r="T133" i="4"/>
  <c r="S133" i="4"/>
  <c r="R133" i="4"/>
  <c r="Q133" i="4"/>
  <c r="L133" i="4"/>
  <c r="K133" i="4"/>
  <c r="J133" i="4"/>
  <c r="S132" i="4"/>
  <c r="R132" i="4"/>
  <c r="Q132" i="4"/>
  <c r="P132" i="4"/>
  <c r="K132" i="4"/>
  <c r="J132" i="4"/>
  <c r="X131" i="4"/>
  <c r="W131" i="4"/>
  <c r="V131" i="4"/>
  <c r="T131" i="4"/>
  <c r="U131" i="4" s="1"/>
  <c r="R131" i="4"/>
  <c r="Q131" i="4"/>
  <c r="P131" i="4"/>
  <c r="O131" i="4"/>
  <c r="N131" i="4"/>
  <c r="L131" i="4"/>
  <c r="K131" i="4"/>
  <c r="M131" i="4" s="1"/>
  <c r="J131" i="4"/>
  <c r="W130" i="4"/>
  <c r="Q130" i="4"/>
  <c r="P130" i="4"/>
  <c r="O130" i="4"/>
  <c r="N130" i="4"/>
  <c r="M130" i="4"/>
  <c r="K130" i="4"/>
  <c r="T130" i="4" s="1"/>
  <c r="U130" i="4" s="1"/>
  <c r="J130" i="4"/>
  <c r="X129" i="4"/>
  <c r="W129" i="4"/>
  <c r="V129" i="4"/>
  <c r="U129" i="4"/>
  <c r="T129" i="4"/>
  <c r="R129" i="4"/>
  <c r="Q129" i="4"/>
  <c r="P129" i="4"/>
  <c r="O129" i="4"/>
  <c r="N129" i="4"/>
  <c r="M129" i="4"/>
  <c r="L129" i="4"/>
  <c r="K129" i="4"/>
  <c r="S129" i="4" s="1"/>
  <c r="J129" i="4"/>
  <c r="W128" i="4"/>
  <c r="V128" i="4"/>
  <c r="U128" i="4"/>
  <c r="T128" i="4"/>
  <c r="X128" i="4" s="1"/>
  <c r="O128" i="4"/>
  <c r="N128" i="4"/>
  <c r="M128" i="4"/>
  <c r="L128" i="4"/>
  <c r="K128" i="4"/>
  <c r="R128" i="4" s="1"/>
  <c r="J128" i="4"/>
  <c r="K127" i="4"/>
  <c r="J127" i="4"/>
  <c r="K126" i="4"/>
  <c r="R126" i="4" s="1"/>
  <c r="J126" i="4"/>
  <c r="K125" i="4"/>
  <c r="J125" i="4"/>
  <c r="K124" i="4"/>
  <c r="Q124" i="4" s="1"/>
  <c r="J124" i="4"/>
  <c r="X123" i="4"/>
  <c r="W123" i="4"/>
  <c r="V123" i="4"/>
  <c r="T123" i="4"/>
  <c r="U123" i="4" s="1"/>
  <c r="R123" i="4"/>
  <c r="Q123" i="4"/>
  <c r="P123" i="4"/>
  <c r="O123" i="4"/>
  <c r="N123" i="4"/>
  <c r="L123" i="4"/>
  <c r="K123" i="4"/>
  <c r="M123" i="4" s="1"/>
  <c r="J123" i="4"/>
  <c r="W122" i="4"/>
  <c r="V122" i="4"/>
  <c r="Q122" i="4"/>
  <c r="P122" i="4"/>
  <c r="O122" i="4"/>
  <c r="N122" i="4"/>
  <c r="M122" i="4"/>
  <c r="K122" i="4"/>
  <c r="T122" i="4" s="1"/>
  <c r="U122" i="4" s="1"/>
  <c r="J122" i="4"/>
  <c r="X121" i="4"/>
  <c r="W121" i="4"/>
  <c r="V121" i="4"/>
  <c r="U121" i="4"/>
  <c r="T121" i="4"/>
  <c r="R121" i="4"/>
  <c r="Q121" i="4"/>
  <c r="P121" i="4"/>
  <c r="O121" i="4"/>
  <c r="N121" i="4"/>
  <c r="M121" i="4"/>
  <c r="L121" i="4"/>
  <c r="K121" i="4"/>
  <c r="S121" i="4" s="1"/>
  <c r="J121" i="4"/>
  <c r="T120" i="4"/>
  <c r="X120" i="4" s="1"/>
  <c r="O120" i="4"/>
  <c r="N120" i="4"/>
  <c r="M120" i="4"/>
  <c r="L120" i="4"/>
  <c r="K120" i="4"/>
  <c r="R120" i="4" s="1"/>
  <c r="J120" i="4"/>
  <c r="T119" i="4"/>
  <c r="K119" i="4"/>
  <c r="L119" i="4" s="1"/>
  <c r="J119" i="4"/>
  <c r="T118" i="4"/>
  <c r="K118" i="4"/>
  <c r="J118" i="4"/>
  <c r="T117" i="4"/>
  <c r="S117" i="4"/>
  <c r="R117" i="4"/>
  <c r="K117" i="4"/>
  <c r="J117" i="4"/>
  <c r="S116" i="4"/>
  <c r="R116" i="4"/>
  <c r="Q116" i="4"/>
  <c r="K116" i="4"/>
  <c r="J116" i="4"/>
  <c r="X115" i="4"/>
  <c r="W115" i="4"/>
  <c r="V115" i="4"/>
  <c r="T115" i="4"/>
  <c r="U115" i="4" s="1"/>
  <c r="R115" i="4"/>
  <c r="Q115" i="4"/>
  <c r="P115" i="4"/>
  <c r="O115" i="4"/>
  <c r="N115" i="4"/>
  <c r="L115" i="4"/>
  <c r="K115" i="4"/>
  <c r="M115" i="4" s="1"/>
  <c r="J115" i="4"/>
  <c r="Q114" i="4"/>
  <c r="P114" i="4"/>
  <c r="O114" i="4"/>
  <c r="N114" i="4"/>
  <c r="M114" i="4"/>
  <c r="K114" i="4"/>
  <c r="T114" i="4" s="1"/>
  <c r="U114" i="4" s="1"/>
  <c r="J114" i="4"/>
  <c r="X113" i="4"/>
  <c r="W113" i="4"/>
  <c r="V113" i="4"/>
  <c r="U113" i="4"/>
  <c r="T113" i="4"/>
  <c r="R113" i="4"/>
  <c r="Q113" i="4"/>
  <c r="P113" i="4"/>
  <c r="O113" i="4"/>
  <c r="N113" i="4"/>
  <c r="M113" i="4"/>
  <c r="L113" i="4"/>
  <c r="K113" i="4"/>
  <c r="S113" i="4" s="1"/>
  <c r="J113" i="4"/>
  <c r="W112" i="4"/>
  <c r="T112" i="4"/>
  <c r="X112" i="4" s="1"/>
  <c r="O112" i="4"/>
  <c r="N112" i="4"/>
  <c r="M112" i="4"/>
  <c r="L112" i="4"/>
  <c r="K112" i="4"/>
  <c r="R112" i="4" s="1"/>
  <c r="J112" i="4"/>
  <c r="T111" i="4"/>
  <c r="U111" i="4" s="1"/>
  <c r="S111" i="4"/>
  <c r="N111" i="4"/>
  <c r="M111" i="4"/>
  <c r="L111" i="4"/>
  <c r="K111" i="4"/>
  <c r="J111" i="4"/>
  <c r="T110" i="4"/>
  <c r="S110" i="4"/>
  <c r="R110" i="4"/>
  <c r="M110" i="4"/>
  <c r="L110" i="4"/>
  <c r="K110" i="4"/>
  <c r="J110" i="4"/>
  <c r="S109" i="4"/>
  <c r="R109" i="4"/>
  <c r="Q109" i="4"/>
  <c r="L109" i="4"/>
  <c r="K109" i="4"/>
  <c r="J109" i="4"/>
  <c r="K108" i="4"/>
  <c r="P108" i="4" s="1"/>
  <c r="J108" i="4"/>
  <c r="X107" i="4"/>
  <c r="W107" i="4"/>
  <c r="V107" i="4"/>
  <c r="T107" i="4"/>
  <c r="U107" i="4" s="1"/>
  <c r="R107" i="4"/>
  <c r="Q107" i="4"/>
  <c r="P107" i="4"/>
  <c r="O107" i="4"/>
  <c r="N107" i="4"/>
  <c r="L107" i="4"/>
  <c r="K107" i="4"/>
  <c r="M107" i="4" s="1"/>
  <c r="J107" i="4"/>
  <c r="W106" i="4"/>
  <c r="V106" i="4"/>
  <c r="Q106" i="4"/>
  <c r="P106" i="4"/>
  <c r="O106" i="4"/>
  <c r="N106" i="4"/>
  <c r="M106" i="4"/>
  <c r="K106" i="4"/>
  <c r="T106" i="4" s="1"/>
  <c r="U106" i="4" s="1"/>
  <c r="J106" i="4"/>
  <c r="X105" i="4"/>
  <c r="W105" i="4"/>
  <c r="V105" i="4"/>
  <c r="U105" i="4"/>
  <c r="T105" i="4"/>
  <c r="R105" i="4"/>
  <c r="Q105" i="4"/>
  <c r="P105" i="4"/>
  <c r="O105" i="4"/>
  <c r="N105" i="4"/>
  <c r="M105" i="4"/>
  <c r="L105" i="4"/>
  <c r="K105" i="4"/>
  <c r="S105" i="4" s="1"/>
  <c r="J105" i="4"/>
  <c r="W104" i="4"/>
  <c r="V104" i="4"/>
  <c r="U104" i="4"/>
  <c r="T104" i="4"/>
  <c r="X104" i="4" s="1"/>
  <c r="O104" i="4"/>
  <c r="N104" i="4"/>
  <c r="M104" i="4"/>
  <c r="L104" i="4"/>
  <c r="K104" i="4"/>
  <c r="R104" i="4" s="1"/>
  <c r="J104" i="4"/>
  <c r="K103" i="4"/>
  <c r="M103" i="4" s="1"/>
  <c r="J103" i="4"/>
  <c r="K102" i="4"/>
  <c r="R102" i="4" s="1"/>
  <c r="J102" i="4"/>
  <c r="K101" i="4"/>
  <c r="J101" i="4"/>
  <c r="K100" i="4"/>
  <c r="S100" i="4" s="1"/>
  <c r="J100" i="4"/>
  <c r="X99" i="4"/>
  <c r="W99" i="4"/>
  <c r="V99" i="4"/>
  <c r="T99" i="4"/>
  <c r="U99" i="4" s="1"/>
  <c r="R99" i="4"/>
  <c r="Q99" i="4"/>
  <c r="P99" i="4"/>
  <c r="O99" i="4"/>
  <c r="N99" i="4"/>
  <c r="L99" i="4"/>
  <c r="K99" i="4"/>
  <c r="M99" i="4" s="1"/>
  <c r="J99" i="4"/>
  <c r="W98" i="4"/>
  <c r="V98" i="4"/>
  <c r="Q98" i="4"/>
  <c r="P98" i="4"/>
  <c r="O98" i="4"/>
  <c r="N98" i="4"/>
  <c r="M98" i="4"/>
  <c r="K98" i="4"/>
  <c r="T98" i="4" s="1"/>
  <c r="U98" i="4" s="1"/>
  <c r="J98" i="4"/>
  <c r="X97" i="4"/>
  <c r="W97" i="4"/>
  <c r="V97" i="4"/>
  <c r="U97" i="4"/>
  <c r="T97" i="4"/>
  <c r="R97" i="4"/>
  <c r="Q97" i="4"/>
  <c r="P97" i="4"/>
  <c r="O97" i="4"/>
  <c r="N97" i="4"/>
  <c r="M97" i="4"/>
  <c r="L97" i="4"/>
  <c r="K97" i="4"/>
  <c r="S97" i="4" s="1"/>
  <c r="J97" i="4"/>
  <c r="T96" i="4"/>
  <c r="X96" i="4" s="1"/>
  <c r="O96" i="4"/>
  <c r="N96" i="4"/>
  <c r="M96" i="4"/>
  <c r="L96" i="4"/>
  <c r="K96" i="4"/>
  <c r="R96" i="4" s="1"/>
  <c r="J96" i="4"/>
  <c r="T95" i="4"/>
  <c r="S95" i="4"/>
  <c r="N95" i="4"/>
  <c r="K95" i="4"/>
  <c r="J95" i="4"/>
  <c r="T94" i="4"/>
  <c r="S94" i="4"/>
  <c r="R94" i="4"/>
  <c r="K94" i="4"/>
  <c r="J94" i="4"/>
  <c r="T93" i="4"/>
  <c r="S93" i="4"/>
  <c r="R93" i="4"/>
  <c r="Q93" i="4"/>
  <c r="K93" i="4"/>
  <c r="J93" i="4"/>
  <c r="S92" i="4"/>
  <c r="R92" i="4"/>
  <c r="Q92" i="4"/>
  <c r="P92" i="4"/>
  <c r="K92" i="4"/>
  <c r="J92" i="4"/>
  <c r="X91" i="4"/>
  <c r="W91" i="4"/>
  <c r="V91" i="4"/>
  <c r="T91" i="4"/>
  <c r="U91" i="4" s="1"/>
  <c r="R91" i="4"/>
  <c r="Q91" i="4"/>
  <c r="P91" i="4"/>
  <c r="O91" i="4"/>
  <c r="N91" i="4"/>
  <c r="L91" i="4"/>
  <c r="K91" i="4"/>
  <c r="M91" i="4" s="1"/>
  <c r="J91" i="4"/>
  <c r="Q90" i="4"/>
  <c r="P90" i="4"/>
  <c r="O90" i="4"/>
  <c r="N90" i="4"/>
  <c r="M90" i="4"/>
  <c r="K90" i="4"/>
  <c r="T90" i="4" s="1"/>
  <c r="U90" i="4" s="1"/>
  <c r="J90" i="4"/>
  <c r="X89" i="4"/>
  <c r="W89" i="4"/>
  <c r="V89" i="4"/>
  <c r="U89" i="4"/>
  <c r="T89" i="4"/>
  <c r="R89" i="4"/>
  <c r="Q89" i="4"/>
  <c r="P89" i="4"/>
  <c r="O89" i="4"/>
  <c r="N89" i="4"/>
  <c r="M89" i="4"/>
  <c r="L89" i="4"/>
  <c r="K89" i="4"/>
  <c r="S89" i="4" s="1"/>
  <c r="J89" i="4"/>
  <c r="W88" i="4"/>
  <c r="V88" i="4"/>
  <c r="T88" i="4"/>
  <c r="X88" i="4" s="1"/>
  <c r="O88" i="4"/>
  <c r="N88" i="4"/>
  <c r="M88" i="4"/>
  <c r="L88" i="4"/>
  <c r="K88" i="4"/>
  <c r="R88" i="4" s="1"/>
  <c r="J88" i="4"/>
  <c r="S87" i="4"/>
  <c r="N87" i="4"/>
  <c r="M87" i="4"/>
  <c r="L87" i="4"/>
  <c r="K87" i="4"/>
  <c r="J87" i="4"/>
  <c r="S86" i="4"/>
  <c r="R86" i="4"/>
  <c r="M86" i="4"/>
  <c r="L86" i="4"/>
  <c r="K86" i="4"/>
  <c r="J86" i="4"/>
  <c r="K85" i="4"/>
  <c r="T85" i="4" s="1"/>
  <c r="J85" i="4"/>
  <c r="K84" i="4"/>
  <c r="J84" i="4"/>
  <c r="X83" i="4"/>
  <c r="W83" i="4"/>
  <c r="V83" i="4"/>
  <c r="T83" i="4"/>
  <c r="U83" i="4" s="1"/>
  <c r="R83" i="4"/>
  <c r="Q83" i="4"/>
  <c r="P83" i="4"/>
  <c r="O83" i="4"/>
  <c r="N83" i="4"/>
  <c r="L83" i="4"/>
  <c r="K83" i="4"/>
  <c r="M83" i="4" s="1"/>
  <c r="J83" i="4"/>
  <c r="W82" i="4"/>
  <c r="V82" i="4"/>
  <c r="Q82" i="4"/>
  <c r="P82" i="4"/>
  <c r="O82" i="4"/>
  <c r="N82" i="4"/>
  <c r="M82" i="4"/>
  <c r="K82" i="4"/>
  <c r="T82" i="4" s="1"/>
  <c r="U82" i="4" s="1"/>
  <c r="J82" i="4"/>
  <c r="X81" i="4"/>
  <c r="W81" i="4"/>
  <c r="V81" i="4"/>
  <c r="U81" i="4"/>
  <c r="T81" i="4"/>
  <c r="R81" i="4"/>
  <c r="Q81" i="4"/>
  <c r="P81" i="4"/>
  <c r="O81" i="4"/>
  <c r="N81" i="4"/>
  <c r="M81" i="4"/>
  <c r="L81" i="4"/>
  <c r="K81" i="4"/>
  <c r="S81" i="4" s="1"/>
  <c r="J81" i="4"/>
  <c r="T80" i="4"/>
  <c r="X80" i="4" s="1"/>
  <c r="O80" i="4"/>
  <c r="N80" i="4"/>
  <c r="M80" i="4"/>
  <c r="L80" i="4"/>
  <c r="K80" i="4"/>
  <c r="R80" i="4" s="1"/>
  <c r="J80" i="4"/>
  <c r="K79" i="4"/>
  <c r="J79" i="4"/>
  <c r="K78" i="4"/>
  <c r="R78" i="4" s="1"/>
  <c r="J78" i="4"/>
  <c r="T77" i="4"/>
  <c r="K77" i="4"/>
  <c r="J77" i="4"/>
  <c r="S76" i="4"/>
  <c r="R76" i="4"/>
  <c r="P76" i="4"/>
  <c r="K76" i="4"/>
  <c r="J76" i="4"/>
  <c r="X75" i="4"/>
  <c r="W75" i="4"/>
  <c r="V75" i="4"/>
  <c r="T75" i="4"/>
  <c r="U75" i="4" s="1"/>
  <c r="R75" i="4"/>
  <c r="Q75" i="4"/>
  <c r="P75" i="4"/>
  <c r="O75" i="4"/>
  <c r="N75" i="4"/>
  <c r="L75" i="4"/>
  <c r="K75" i="4"/>
  <c r="M75" i="4" s="1"/>
  <c r="J75" i="4"/>
  <c r="W74" i="4"/>
  <c r="V74" i="4"/>
  <c r="Q74" i="4"/>
  <c r="P74" i="4"/>
  <c r="O74" i="4"/>
  <c r="N74" i="4"/>
  <c r="M74" i="4"/>
  <c r="K74" i="4"/>
  <c r="T74" i="4" s="1"/>
  <c r="U74" i="4" s="1"/>
  <c r="J74" i="4"/>
  <c r="X73" i="4"/>
  <c r="W73" i="4"/>
  <c r="V73" i="4"/>
  <c r="U73" i="4"/>
  <c r="T73" i="4"/>
  <c r="R73" i="4"/>
  <c r="Q73" i="4"/>
  <c r="P73" i="4"/>
  <c r="O73" i="4"/>
  <c r="N73" i="4"/>
  <c r="M73" i="4"/>
  <c r="L73" i="4"/>
  <c r="K73" i="4"/>
  <c r="S73" i="4" s="1"/>
  <c r="J73" i="4"/>
  <c r="T72" i="4"/>
  <c r="X72" i="4" s="1"/>
  <c r="O72" i="4"/>
  <c r="N72" i="4"/>
  <c r="M72" i="4"/>
  <c r="L72" i="4"/>
  <c r="K72" i="4"/>
  <c r="R72" i="4" s="1"/>
  <c r="J72" i="4"/>
  <c r="T71" i="4"/>
  <c r="V71" i="4" s="1"/>
  <c r="S71" i="4"/>
  <c r="N71" i="4"/>
  <c r="M71" i="4"/>
  <c r="K71" i="4"/>
  <c r="J71" i="4"/>
  <c r="T70" i="4"/>
  <c r="S70" i="4"/>
  <c r="R70" i="4"/>
  <c r="M70" i="4"/>
  <c r="K70" i="4"/>
  <c r="J70" i="4"/>
  <c r="T69" i="4"/>
  <c r="S69" i="4"/>
  <c r="R69" i="4"/>
  <c r="Q69" i="4"/>
  <c r="L69" i="4"/>
  <c r="K69" i="4"/>
  <c r="J69" i="4"/>
  <c r="S68" i="4"/>
  <c r="R68" i="4"/>
  <c r="Q68" i="4"/>
  <c r="P68" i="4"/>
  <c r="K68" i="4"/>
  <c r="J68" i="4"/>
  <c r="X67" i="4"/>
  <c r="W67" i="4"/>
  <c r="V67" i="4"/>
  <c r="T67" i="4"/>
  <c r="U67" i="4" s="1"/>
  <c r="R67" i="4"/>
  <c r="Q67" i="4"/>
  <c r="P67" i="4"/>
  <c r="O67" i="4"/>
  <c r="N67" i="4"/>
  <c r="L67" i="4"/>
  <c r="K67" i="4"/>
  <c r="M67" i="4" s="1"/>
  <c r="J67" i="4"/>
  <c r="W66" i="4"/>
  <c r="Q66" i="4"/>
  <c r="P66" i="4"/>
  <c r="O66" i="4"/>
  <c r="N66" i="4"/>
  <c r="M66" i="4"/>
  <c r="K66" i="4"/>
  <c r="T66" i="4" s="1"/>
  <c r="U66" i="4" s="1"/>
  <c r="J66" i="4"/>
  <c r="X65" i="4"/>
  <c r="W65" i="4"/>
  <c r="V65" i="4"/>
  <c r="U65" i="4"/>
  <c r="T65" i="4"/>
  <c r="R65" i="4"/>
  <c r="Q65" i="4"/>
  <c r="P65" i="4"/>
  <c r="O65" i="4"/>
  <c r="N65" i="4"/>
  <c r="M65" i="4"/>
  <c r="L65" i="4"/>
  <c r="K65" i="4"/>
  <c r="S65" i="4" s="1"/>
  <c r="J65" i="4"/>
  <c r="W64" i="4"/>
  <c r="V64" i="4"/>
  <c r="U64" i="4"/>
  <c r="T64" i="4"/>
  <c r="X64" i="4" s="1"/>
  <c r="O64" i="4"/>
  <c r="N64" i="4"/>
  <c r="M64" i="4"/>
  <c r="L64" i="4"/>
  <c r="K64" i="4"/>
  <c r="R64" i="4" s="1"/>
  <c r="J64" i="4"/>
  <c r="K63" i="4"/>
  <c r="J63" i="4"/>
  <c r="K62" i="4"/>
  <c r="S62" i="4" s="1"/>
  <c r="J62" i="4"/>
  <c r="A62" i="4"/>
  <c r="T61" i="4"/>
  <c r="S61" i="4"/>
  <c r="R61" i="4"/>
  <c r="Q61" i="4"/>
  <c r="K61" i="4"/>
  <c r="J61" i="4"/>
  <c r="A61" i="4"/>
  <c r="K60" i="4"/>
  <c r="R60" i="4" s="1"/>
  <c r="J60" i="4"/>
  <c r="A60" i="4"/>
  <c r="X59" i="4"/>
  <c r="W59" i="4"/>
  <c r="V59" i="4"/>
  <c r="T59" i="4"/>
  <c r="U59" i="4" s="1"/>
  <c r="R59" i="4"/>
  <c r="Q59" i="4"/>
  <c r="P59" i="4"/>
  <c r="O59" i="4"/>
  <c r="N59" i="4"/>
  <c r="L59" i="4"/>
  <c r="K59" i="4"/>
  <c r="M59" i="4" s="1"/>
  <c r="J59" i="4"/>
  <c r="A59" i="4"/>
  <c r="W58" i="4"/>
  <c r="V58" i="4"/>
  <c r="Q58" i="4"/>
  <c r="P58" i="4"/>
  <c r="O58" i="4"/>
  <c r="N58" i="4"/>
  <c r="M58" i="4"/>
  <c r="K58" i="4"/>
  <c r="T58" i="4" s="1"/>
  <c r="U58" i="4" s="1"/>
  <c r="J58" i="4"/>
  <c r="A58" i="4"/>
  <c r="X57" i="4"/>
  <c r="W57" i="4"/>
  <c r="V57" i="4"/>
  <c r="U57" i="4"/>
  <c r="T57" i="4"/>
  <c r="R57" i="4"/>
  <c r="Q57" i="4"/>
  <c r="P57" i="4"/>
  <c r="O57" i="4"/>
  <c r="N57" i="4"/>
  <c r="M57" i="4"/>
  <c r="L57" i="4"/>
  <c r="K57" i="4"/>
  <c r="S57" i="4" s="1"/>
  <c r="J57" i="4"/>
  <c r="A57" i="4"/>
  <c r="W56" i="4"/>
  <c r="V56" i="4"/>
  <c r="U56" i="4"/>
  <c r="T56" i="4"/>
  <c r="X56" i="4" s="1"/>
  <c r="O56" i="4"/>
  <c r="N56" i="4"/>
  <c r="M56" i="4"/>
  <c r="L56" i="4"/>
  <c r="K56" i="4"/>
  <c r="R56" i="4" s="1"/>
  <c r="J56" i="4"/>
  <c r="A56" i="4"/>
  <c r="T55" i="4"/>
  <c r="V55" i="4" s="1"/>
  <c r="S55" i="4"/>
  <c r="N55" i="4"/>
  <c r="K55" i="4"/>
  <c r="J55" i="4"/>
  <c r="A55" i="4"/>
  <c r="S54" i="4"/>
  <c r="R54" i="4"/>
  <c r="M54" i="4"/>
  <c r="L54" i="4"/>
  <c r="K54" i="4"/>
  <c r="J54" i="4"/>
  <c r="A54" i="4"/>
  <c r="T53" i="4"/>
  <c r="S53" i="4"/>
  <c r="R53" i="4"/>
  <c r="K53" i="4"/>
  <c r="J53" i="4"/>
  <c r="A53" i="4"/>
  <c r="K52" i="4"/>
  <c r="Q52" i="4" s="1"/>
  <c r="J52" i="4"/>
  <c r="A52" i="4"/>
  <c r="X51" i="4"/>
  <c r="W51" i="4"/>
  <c r="V51" i="4"/>
  <c r="T51" i="4"/>
  <c r="U51" i="4" s="1"/>
  <c r="R51" i="4"/>
  <c r="Q51" i="4"/>
  <c r="P51" i="4"/>
  <c r="O51" i="4"/>
  <c r="N51" i="4"/>
  <c r="L51" i="4"/>
  <c r="K51" i="4"/>
  <c r="M51" i="4" s="1"/>
  <c r="J51" i="4"/>
  <c r="A51" i="4"/>
  <c r="W50" i="4"/>
  <c r="V50" i="4"/>
  <c r="Q50" i="4"/>
  <c r="P50" i="4"/>
  <c r="O50" i="4"/>
  <c r="N50" i="4"/>
  <c r="M50" i="4"/>
  <c r="K50" i="4"/>
  <c r="T50" i="4" s="1"/>
  <c r="U50" i="4" s="1"/>
  <c r="J50" i="4"/>
  <c r="A50" i="4"/>
  <c r="X49" i="4"/>
  <c r="W49" i="4"/>
  <c r="V49" i="4"/>
  <c r="U49" i="4"/>
  <c r="T49" i="4"/>
  <c r="R49" i="4"/>
  <c r="Q49" i="4"/>
  <c r="P49" i="4"/>
  <c r="O49" i="4"/>
  <c r="N49" i="4"/>
  <c r="M49" i="4"/>
  <c r="L49" i="4"/>
  <c r="K49" i="4"/>
  <c r="S49" i="4" s="1"/>
  <c r="J49" i="4"/>
  <c r="A49" i="4"/>
  <c r="W48" i="4"/>
  <c r="V48" i="4"/>
  <c r="U48" i="4"/>
  <c r="T48" i="4"/>
  <c r="X48" i="4" s="1"/>
  <c r="O48" i="4"/>
  <c r="N48" i="4"/>
  <c r="M48" i="4"/>
  <c r="L48" i="4"/>
  <c r="K48" i="4"/>
  <c r="R48" i="4" s="1"/>
  <c r="J48" i="4"/>
  <c r="A48" i="4"/>
  <c r="T47" i="4"/>
  <c r="K47" i="4"/>
  <c r="L47" i="4" s="1"/>
  <c r="J47" i="4"/>
  <c r="A47" i="4"/>
  <c r="T46" i="4"/>
  <c r="U46" i="4" s="1"/>
  <c r="S46" i="4"/>
  <c r="R46" i="4"/>
  <c r="M46" i="4"/>
  <c r="L46" i="4"/>
  <c r="K46" i="4"/>
  <c r="J46" i="4"/>
  <c r="A46" i="4"/>
  <c r="T45" i="4"/>
  <c r="K45" i="4"/>
  <c r="J45" i="4"/>
  <c r="A45" i="4"/>
  <c r="K44" i="4"/>
  <c r="S44" i="4" s="1"/>
  <c r="J44" i="4"/>
  <c r="A44" i="4"/>
  <c r="X43" i="4"/>
  <c r="W43" i="4"/>
  <c r="V43" i="4"/>
  <c r="T43" i="4"/>
  <c r="U43" i="4" s="1"/>
  <c r="R43" i="4"/>
  <c r="Q43" i="4"/>
  <c r="P43" i="4"/>
  <c r="O43" i="4"/>
  <c r="N43" i="4"/>
  <c r="L43" i="4"/>
  <c r="K43" i="4"/>
  <c r="M43" i="4" s="1"/>
  <c r="J43" i="4"/>
  <c r="A43" i="4"/>
  <c r="W42" i="4"/>
  <c r="V42" i="4"/>
  <c r="Q42" i="4"/>
  <c r="P42" i="4"/>
  <c r="O42" i="4"/>
  <c r="N42" i="4"/>
  <c r="M42" i="4"/>
  <c r="K42" i="4"/>
  <c r="T42" i="4" s="1"/>
  <c r="U42" i="4" s="1"/>
  <c r="J42" i="4"/>
  <c r="A42" i="4"/>
  <c r="X41" i="4"/>
  <c r="W41" i="4"/>
  <c r="V41" i="4"/>
  <c r="U41" i="4"/>
  <c r="T41" i="4"/>
  <c r="R41" i="4"/>
  <c r="Q41" i="4"/>
  <c r="P41" i="4"/>
  <c r="O41" i="4"/>
  <c r="N41" i="4"/>
  <c r="M41" i="4"/>
  <c r="L41" i="4"/>
  <c r="K41" i="4"/>
  <c r="S41" i="4" s="1"/>
  <c r="J41" i="4"/>
  <c r="A41" i="4"/>
  <c r="W40" i="4"/>
  <c r="V40" i="4"/>
  <c r="T40" i="4"/>
  <c r="X40" i="4" s="1"/>
  <c r="O40" i="4"/>
  <c r="N40" i="4"/>
  <c r="M40" i="4"/>
  <c r="L40" i="4"/>
  <c r="K40" i="4"/>
  <c r="R40" i="4" s="1"/>
  <c r="J40" i="4"/>
  <c r="A40" i="4"/>
  <c r="K39" i="4"/>
  <c r="T39" i="4" s="1"/>
  <c r="J39" i="4"/>
  <c r="A39" i="4"/>
  <c r="T38" i="4"/>
  <c r="U38" i="4" s="1"/>
  <c r="S38" i="4"/>
  <c r="R38" i="4"/>
  <c r="M38" i="4"/>
  <c r="K38" i="4"/>
  <c r="J38" i="4"/>
  <c r="A38" i="4"/>
  <c r="K37" i="4"/>
  <c r="J37" i="4"/>
  <c r="A37" i="4"/>
  <c r="S36" i="4"/>
  <c r="R36" i="4"/>
  <c r="Q36" i="4"/>
  <c r="P36" i="4"/>
  <c r="K36" i="4"/>
  <c r="J36" i="4"/>
  <c r="A36" i="4"/>
  <c r="X35" i="4"/>
  <c r="W35" i="4"/>
  <c r="V35" i="4"/>
  <c r="T35" i="4"/>
  <c r="U35" i="4" s="1"/>
  <c r="R35" i="4"/>
  <c r="Q35" i="4"/>
  <c r="P35" i="4"/>
  <c r="O35" i="4"/>
  <c r="N35" i="4"/>
  <c r="L35" i="4"/>
  <c r="K35" i="4"/>
  <c r="M35" i="4" s="1"/>
  <c r="J35" i="4"/>
  <c r="A35" i="4"/>
  <c r="W34" i="4"/>
  <c r="Q34" i="4"/>
  <c r="P34" i="4"/>
  <c r="O34" i="4"/>
  <c r="N34" i="4"/>
  <c r="M34" i="4"/>
  <c r="K34" i="4"/>
  <c r="T34" i="4" s="1"/>
  <c r="U34" i="4" s="1"/>
  <c r="J34" i="4"/>
  <c r="A34" i="4"/>
  <c r="X33" i="4"/>
  <c r="W33" i="4"/>
  <c r="V33" i="4"/>
  <c r="U33" i="4"/>
  <c r="T33" i="4"/>
  <c r="R33" i="4"/>
  <c r="Q33" i="4"/>
  <c r="P33" i="4"/>
  <c r="O33" i="4"/>
  <c r="N33" i="4"/>
  <c r="M33" i="4"/>
  <c r="L33" i="4"/>
  <c r="K33" i="4"/>
  <c r="S33" i="4" s="1"/>
  <c r="J33" i="4"/>
  <c r="A33" i="4"/>
  <c r="W32" i="4"/>
  <c r="T32" i="4"/>
  <c r="X32" i="4" s="1"/>
  <c r="O32" i="4"/>
  <c r="N32" i="4"/>
  <c r="M32" i="4"/>
  <c r="L32" i="4"/>
  <c r="K32" i="4"/>
  <c r="R32" i="4" s="1"/>
  <c r="J32" i="4"/>
  <c r="A32" i="4"/>
  <c r="K31" i="4"/>
  <c r="J31" i="4"/>
  <c r="A31" i="4"/>
  <c r="T30" i="4"/>
  <c r="S30" i="4"/>
  <c r="R30" i="4"/>
  <c r="K30" i="4"/>
  <c r="J30" i="4"/>
  <c r="A30" i="4"/>
  <c r="K29" i="4"/>
  <c r="J29" i="4"/>
  <c r="A29" i="4"/>
  <c r="S28" i="4"/>
  <c r="R28" i="4"/>
  <c r="Q28" i="4"/>
  <c r="P28" i="4"/>
  <c r="K28" i="4"/>
  <c r="J28" i="4"/>
  <c r="A28" i="4"/>
  <c r="X27" i="4"/>
  <c r="W27" i="4"/>
  <c r="V27" i="4"/>
  <c r="T27" i="4"/>
  <c r="U27" i="4" s="1"/>
  <c r="R27" i="4"/>
  <c r="Q27" i="4"/>
  <c r="P27" i="4"/>
  <c r="O27" i="4"/>
  <c r="N27" i="4"/>
  <c r="L27" i="4"/>
  <c r="K27" i="4"/>
  <c r="M27" i="4" s="1"/>
  <c r="J27" i="4"/>
  <c r="A27" i="4"/>
  <c r="Q26" i="4"/>
  <c r="P26" i="4"/>
  <c r="O26" i="4"/>
  <c r="N26" i="4"/>
  <c r="M26" i="4"/>
  <c r="K26" i="4"/>
  <c r="T26" i="4" s="1"/>
  <c r="U26" i="4" s="1"/>
  <c r="J26" i="4"/>
  <c r="A26" i="4"/>
  <c r="X25" i="4"/>
  <c r="W25" i="4"/>
  <c r="V25" i="4"/>
  <c r="U25" i="4"/>
  <c r="T25" i="4"/>
  <c r="R25" i="4"/>
  <c r="Q25" i="4"/>
  <c r="P25" i="4"/>
  <c r="O25" i="4"/>
  <c r="N25" i="4"/>
  <c r="M25" i="4"/>
  <c r="L25" i="4"/>
  <c r="K25" i="4"/>
  <c r="S25" i="4" s="1"/>
  <c r="J25" i="4"/>
  <c r="A25" i="4"/>
  <c r="T24" i="4"/>
  <c r="X24" i="4" s="1"/>
  <c r="O24" i="4"/>
  <c r="N24" i="4"/>
  <c r="M24" i="4"/>
  <c r="L24" i="4"/>
  <c r="K24" i="4"/>
  <c r="R24" i="4" s="1"/>
  <c r="J24" i="4"/>
  <c r="A24" i="4"/>
  <c r="K23" i="4"/>
  <c r="S23" i="4" s="1"/>
  <c r="J23" i="4"/>
  <c r="A23" i="4"/>
  <c r="T22" i="4"/>
  <c r="K22" i="4"/>
  <c r="L22" i="4" s="1"/>
  <c r="J22" i="4"/>
  <c r="A22" i="4"/>
  <c r="K21" i="4"/>
  <c r="S21" i="4" s="1"/>
  <c r="J21" i="4"/>
  <c r="A21" i="4"/>
  <c r="S20" i="4"/>
  <c r="R20" i="4"/>
  <c r="Q20" i="4"/>
  <c r="K20" i="4"/>
  <c r="J20" i="4"/>
  <c r="A20" i="4"/>
  <c r="X19" i="4"/>
  <c r="W19" i="4"/>
  <c r="V19" i="4"/>
  <c r="T19" i="4"/>
  <c r="U19" i="4" s="1"/>
  <c r="R19" i="4"/>
  <c r="Q19" i="4"/>
  <c r="P19" i="4"/>
  <c r="O19" i="4"/>
  <c r="N19" i="4"/>
  <c r="L19" i="4"/>
  <c r="K19" i="4"/>
  <c r="M19" i="4" s="1"/>
  <c r="J19" i="4"/>
  <c r="A19" i="4"/>
  <c r="X18" i="4"/>
  <c r="V18" i="4"/>
  <c r="U18" i="4"/>
  <c r="Q18" i="4"/>
  <c r="P18" i="4"/>
  <c r="O18" i="4"/>
  <c r="N18" i="4"/>
  <c r="M18" i="4"/>
  <c r="K18" i="4"/>
  <c r="T18" i="4" s="1"/>
  <c r="W18" i="4" s="1"/>
  <c r="J18" i="4"/>
  <c r="A18" i="4"/>
  <c r="T17" i="4"/>
  <c r="X17" i="4" s="1"/>
  <c r="R17" i="4"/>
  <c r="Q17" i="4"/>
  <c r="P17" i="4"/>
  <c r="O17" i="4"/>
  <c r="N17" i="4"/>
  <c r="M17" i="4"/>
  <c r="L17" i="4"/>
  <c r="K17" i="4"/>
  <c r="S17" i="4" s="1"/>
  <c r="J17" i="4"/>
  <c r="A17" i="4"/>
  <c r="K16" i="4"/>
  <c r="L16" i="4" s="1"/>
  <c r="J16" i="4"/>
  <c r="A16" i="4"/>
  <c r="K15" i="4"/>
  <c r="R15" i="4" s="1"/>
  <c r="J15" i="4"/>
  <c r="A15" i="4"/>
  <c r="T14" i="4"/>
  <c r="S14" i="4"/>
  <c r="K14" i="4"/>
  <c r="R14" i="4" s="1"/>
  <c r="J14" i="4"/>
  <c r="A14" i="4"/>
  <c r="T13" i="4"/>
  <c r="S13" i="4"/>
  <c r="R13" i="4"/>
  <c r="Q13" i="4"/>
  <c r="P13" i="4"/>
  <c r="K13" i="4"/>
  <c r="J13" i="4"/>
  <c r="A13" i="4"/>
  <c r="R12" i="4"/>
  <c r="Q12" i="4"/>
  <c r="P12" i="4"/>
  <c r="O12" i="4"/>
  <c r="K12" i="4"/>
  <c r="J12" i="4"/>
  <c r="A12" i="4"/>
  <c r="X11" i="4"/>
  <c r="W11" i="4"/>
  <c r="V11" i="4"/>
  <c r="T11" i="4"/>
  <c r="U11" i="4" s="1"/>
  <c r="R11" i="4"/>
  <c r="Q11" i="4"/>
  <c r="P11" i="4"/>
  <c r="O11" i="4"/>
  <c r="N11" i="4"/>
  <c r="L11" i="4"/>
  <c r="K11" i="4"/>
  <c r="M11" i="4" s="1"/>
  <c r="J11" i="4"/>
  <c r="A11" i="4"/>
  <c r="X10" i="4"/>
  <c r="V10" i="4"/>
  <c r="U10" i="4"/>
  <c r="Q10" i="4"/>
  <c r="P10" i="4"/>
  <c r="O10" i="4"/>
  <c r="N10" i="4"/>
  <c r="M10" i="4"/>
  <c r="K10" i="4"/>
  <c r="T10" i="4" s="1"/>
  <c r="W10" i="4" s="1"/>
  <c r="J10" i="4"/>
  <c r="A10" i="4"/>
  <c r="T9" i="4"/>
  <c r="X9" i="4" s="1"/>
  <c r="R9" i="4"/>
  <c r="Q9" i="4"/>
  <c r="P9" i="4"/>
  <c r="O9" i="4"/>
  <c r="N9" i="4"/>
  <c r="M9" i="4"/>
  <c r="L9" i="4"/>
  <c r="K9" i="4"/>
  <c r="S9" i="4" s="1"/>
  <c r="J9" i="4"/>
  <c r="A9" i="4"/>
  <c r="K8" i="4"/>
  <c r="J8" i="4"/>
  <c r="A8" i="4"/>
  <c r="K7" i="4"/>
  <c r="T7" i="4" s="1"/>
  <c r="J7" i="4"/>
  <c r="A7" i="4"/>
  <c r="T6" i="4"/>
  <c r="U6" i="4" s="1"/>
  <c r="S6" i="4"/>
  <c r="K6" i="4"/>
  <c r="J6" i="4"/>
  <c r="A6" i="4"/>
  <c r="T5" i="4"/>
  <c r="X5" i="4" s="1"/>
  <c r="S5" i="4"/>
  <c r="R5" i="4"/>
  <c r="Q5" i="4"/>
  <c r="P5" i="4"/>
  <c r="K5" i="4"/>
  <c r="J5" i="4"/>
  <c r="A5" i="4"/>
  <c r="R4" i="4"/>
  <c r="Q4" i="4"/>
  <c r="P4" i="4"/>
  <c r="O4" i="4"/>
  <c r="K4" i="4"/>
  <c r="J4" i="4"/>
  <c r="A4" i="4"/>
  <c r="X3" i="4"/>
  <c r="W3" i="4"/>
  <c r="V3" i="4"/>
  <c r="T3" i="4"/>
  <c r="U3" i="4" s="1"/>
  <c r="R3" i="4"/>
  <c r="Q3" i="4"/>
  <c r="P3" i="4"/>
  <c r="O3" i="4"/>
  <c r="N3" i="4"/>
  <c r="L3" i="4"/>
  <c r="K3" i="4"/>
  <c r="M3" i="4" s="1"/>
  <c r="J3" i="4"/>
  <c r="A3" i="4"/>
  <c r="W85" i="4" l="1"/>
  <c r="V85" i="4"/>
  <c r="U85" i="4"/>
  <c r="X85" i="4"/>
  <c r="X39" i="4"/>
  <c r="W39" i="4"/>
  <c r="U39" i="4"/>
  <c r="V39" i="4"/>
  <c r="X7" i="4"/>
  <c r="W7" i="4"/>
  <c r="V7" i="4"/>
  <c r="U7" i="4"/>
  <c r="X47" i="4"/>
  <c r="W47" i="4"/>
  <c r="W77" i="4"/>
  <c r="V77" i="4"/>
  <c r="U77" i="4"/>
  <c r="X77" i="4"/>
  <c r="R8" i="4"/>
  <c r="Q8" i="4"/>
  <c r="P8" i="4"/>
  <c r="X14" i="4"/>
  <c r="W14" i="4"/>
  <c r="V14" i="4"/>
  <c r="Q31" i="4"/>
  <c r="P31" i="4"/>
  <c r="O31" i="4"/>
  <c r="R31" i="4"/>
  <c r="W53" i="4"/>
  <c r="V53" i="4"/>
  <c r="U53" i="4"/>
  <c r="X53" i="4"/>
  <c r="L85" i="4"/>
  <c r="X94" i="4"/>
  <c r="W94" i="4"/>
  <c r="V94" i="4"/>
  <c r="X130" i="4"/>
  <c r="Q21" i="4"/>
  <c r="O37" i="4"/>
  <c r="N37" i="4"/>
  <c r="M37" i="4"/>
  <c r="P37" i="4"/>
  <c r="U55" i="4"/>
  <c r="X70" i="4"/>
  <c r="W70" i="4"/>
  <c r="V70" i="4"/>
  <c r="Q79" i="4"/>
  <c r="P79" i="4"/>
  <c r="O79" i="4"/>
  <c r="R79" i="4"/>
  <c r="U94" i="4"/>
  <c r="O101" i="4"/>
  <c r="N101" i="4"/>
  <c r="M101" i="4"/>
  <c r="P101" i="4"/>
  <c r="M126" i="4"/>
  <c r="X134" i="4"/>
  <c r="W134" i="4"/>
  <c r="V134" i="4"/>
  <c r="U142" i="4"/>
  <c r="X175" i="4"/>
  <c r="W175" i="4"/>
  <c r="V175" i="4"/>
  <c r="U175" i="4"/>
  <c r="P6" i="4"/>
  <c r="O6" i="4"/>
  <c r="N6" i="4"/>
  <c r="M8" i="4"/>
  <c r="M15" i="4"/>
  <c r="R21" i="4"/>
  <c r="O45" i="4"/>
  <c r="N45" i="4"/>
  <c r="M45" i="4"/>
  <c r="P45" i="4"/>
  <c r="U70" i="4"/>
  <c r="O77" i="4"/>
  <c r="N77" i="4"/>
  <c r="M77" i="4"/>
  <c r="P77" i="4"/>
  <c r="P118" i="4"/>
  <c r="O118" i="4"/>
  <c r="N118" i="4"/>
  <c r="Q118" i="4"/>
  <c r="W133" i="4"/>
  <c r="V133" i="4"/>
  <c r="U133" i="4"/>
  <c r="X133" i="4"/>
  <c r="U135" i="4"/>
  <c r="V142" i="4"/>
  <c r="R152" i="4"/>
  <c r="Q152" i="4"/>
  <c r="S152" i="4"/>
  <c r="P152" i="4"/>
  <c r="O152" i="4"/>
  <c r="T152" i="4"/>
  <c r="Q159" i="4"/>
  <c r="P159" i="4"/>
  <c r="R159" i="4"/>
  <c r="N159" i="4"/>
  <c r="M159" i="4"/>
  <c r="L159" i="4"/>
  <c r="O159" i="4"/>
  <c r="N4" i="4"/>
  <c r="M4" i="4"/>
  <c r="T4" i="4"/>
  <c r="L4" i="4"/>
  <c r="R6" i="4"/>
  <c r="T8" i="4"/>
  <c r="N12" i="4"/>
  <c r="M12" i="4"/>
  <c r="T12" i="4"/>
  <c r="L12" i="4"/>
  <c r="T15" i="4"/>
  <c r="T16" i="4"/>
  <c r="S22" i="4"/>
  <c r="W26" i="4"/>
  <c r="V34" i="4"/>
  <c r="N36" i="4"/>
  <c r="M36" i="4"/>
  <c r="T36" i="4"/>
  <c r="L36" i="4"/>
  <c r="O36" i="4"/>
  <c r="T37" i="4"/>
  <c r="S45" i="4"/>
  <c r="S47" i="4"/>
  <c r="P54" i="4"/>
  <c r="O54" i="4"/>
  <c r="N54" i="4"/>
  <c r="Q54" i="4"/>
  <c r="V66" i="4"/>
  <c r="N68" i="4"/>
  <c r="M68" i="4"/>
  <c r="T68" i="4"/>
  <c r="L68" i="4"/>
  <c r="O68" i="4"/>
  <c r="S77" i="4"/>
  <c r="T78" i="4"/>
  <c r="T79" i="4"/>
  <c r="P86" i="4"/>
  <c r="O86" i="4"/>
  <c r="N86" i="4"/>
  <c r="Q86" i="4"/>
  <c r="Q87" i="4"/>
  <c r="P87" i="4"/>
  <c r="O87" i="4"/>
  <c r="R87" i="4"/>
  <c r="W90" i="4"/>
  <c r="T101" i="4"/>
  <c r="O109" i="4"/>
  <c r="N109" i="4"/>
  <c r="M109" i="4"/>
  <c r="P109" i="4"/>
  <c r="X114" i="4"/>
  <c r="S118" i="4"/>
  <c r="S119" i="4"/>
  <c r="V130" i="4"/>
  <c r="N132" i="4"/>
  <c r="M132" i="4"/>
  <c r="T132" i="4"/>
  <c r="L132" i="4"/>
  <c r="O132" i="4"/>
  <c r="O141" i="4"/>
  <c r="N141" i="4"/>
  <c r="M141" i="4"/>
  <c r="L141" i="4"/>
  <c r="P141" i="4"/>
  <c r="V148" i="4"/>
  <c r="U148" i="4"/>
  <c r="X148" i="4"/>
  <c r="X150" i="4"/>
  <c r="W150" i="4"/>
  <c r="P174" i="4"/>
  <c r="O174" i="4"/>
  <c r="Q174" i="4"/>
  <c r="N174" i="4"/>
  <c r="M174" i="4"/>
  <c r="L174" i="4"/>
  <c r="R174" i="4"/>
  <c r="W181" i="4"/>
  <c r="V181" i="4"/>
  <c r="U181" i="4"/>
  <c r="X181" i="4"/>
  <c r="N108" i="4"/>
  <c r="M108" i="4"/>
  <c r="T108" i="4"/>
  <c r="L108" i="4"/>
  <c r="O108" i="4"/>
  <c r="X118" i="4"/>
  <c r="W118" i="4"/>
  <c r="V118" i="4"/>
  <c r="X119" i="4"/>
  <c r="W119" i="4"/>
  <c r="P126" i="4"/>
  <c r="O126" i="4"/>
  <c r="N126" i="4"/>
  <c r="Q126" i="4"/>
  <c r="Q127" i="4"/>
  <c r="P127" i="4"/>
  <c r="O127" i="4"/>
  <c r="R127" i="4"/>
  <c r="U139" i="4"/>
  <c r="X139" i="4"/>
  <c r="O157" i="4"/>
  <c r="N157" i="4"/>
  <c r="P157" i="4"/>
  <c r="T157" i="4"/>
  <c r="S157" i="4"/>
  <c r="R157" i="4"/>
  <c r="M171" i="4"/>
  <c r="T171" i="4"/>
  <c r="L171" i="4"/>
  <c r="N171" i="4"/>
  <c r="S171" i="4"/>
  <c r="R171" i="4"/>
  <c r="X184" i="4"/>
  <c r="W184" i="4"/>
  <c r="X199" i="4"/>
  <c r="W199" i="4"/>
  <c r="V199" i="4"/>
  <c r="U199" i="4"/>
  <c r="N52" i="4"/>
  <c r="M52" i="4"/>
  <c r="T52" i="4"/>
  <c r="L52" i="4"/>
  <c r="O52" i="4"/>
  <c r="X95" i="4"/>
  <c r="W95" i="4"/>
  <c r="U118" i="4"/>
  <c r="O125" i="4"/>
  <c r="N125" i="4"/>
  <c r="M125" i="4"/>
  <c r="P125" i="4"/>
  <c r="L126" i="4"/>
  <c r="L127" i="4"/>
  <c r="V139" i="4"/>
  <c r="U144" i="4"/>
  <c r="X151" i="4"/>
  <c r="W151" i="4"/>
  <c r="V151" i="4"/>
  <c r="U151" i="4"/>
  <c r="U154" i="4"/>
  <c r="X154" i="4"/>
  <c r="W154" i="4"/>
  <c r="L157" i="4"/>
  <c r="Q167" i="4"/>
  <c r="P167" i="4"/>
  <c r="R167" i="4"/>
  <c r="T167" i="4"/>
  <c r="S167" i="4"/>
  <c r="O167" i="4"/>
  <c r="O171" i="4"/>
  <c r="X174" i="4"/>
  <c r="W174" i="4"/>
  <c r="P182" i="4"/>
  <c r="O182" i="4"/>
  <c r="N182" i="4"/>
  <c r="Q182" i="4"/>
  <c r="S182" i="4"/>
  <c r="R182" i="4"/>
  <c r="M182" i="4"/>
  <c r="T182" i="4"/>
  <c r="U186" i="4"/>
  <c r="X186" i="4"/>
  <c r="W186" i="4"/>
  <c r="N196" i="4"/>
  <c r="M196" i="4"/>
  <c r="T196" i="4"/>
  <c r="L196" i="4"/>
  <c r="O196" i="4"/>
  <c r="S196" i="4"/>
  <c r="X198" i="4"/>
  <c r="W198" i="4"/>
  <c r="V198" i="4"/>
  <c r="U198" i="4"/>
  <c r="O29" i="4"/>
  <c r="N29" i="4"/>
  <c r="M29" i="4"/>
  <c r="P29" i="4"/>
  <c r="U80" i="4"/>
  <c r="M62" i="4"/>
  <c r="L102" i="4"/>
  <c r="W13" i="4"/>
  <c r="V13" i="4"/>
  <c r="U13" i="4"/>
  <c r="X22" i="4"/>
  <c r="W22" i="4"/>
  <c r="V22" i="4"/>
  <c r="X26" i="4"/>
  <c r="Q63" i="4"/>
  <c r="P63" i="4"/>
  <c r="O63" i="4"/>
  <c r="R63" i="4"/>
  <c r="Q7" i="4"/>
  <c r="P7" i="4"/>
  <c r="O7" i="4"/>
  <c r="R16" i="4"/>
  <c r="Q16" i="4"/>
  <c r="P16" i="4"/>
  <c r="L23" i="4"/>
  <c r="X30" i="4"/>
  <c r="W30" i="4"/>
  <c r="V30" i="4"/>
  <c r="X34" i="4"/>
  <c r="P44" i="4"/>
  <c r="N84" i="4"/>
  <c r="M84" i="4"/>
  <c r="T84" i="4"/>
  <c r="L84" i="4"/>
  <c r="O84" i="4"/>
  <c r="Q103" i="4"/>
  <c r="P103" i="4"/>
  <c r="O103" i="4"/>
  <c r="R103" i="4"/>
  <c r="L7" i="4"/>
  <c r="L29" i="4"/>
  <c r="U30" i="4"/>
  <c r="Q39" i="4"/>
  <c r="P39" i="4"/>
  <c r="O39" i="4"/>
  <c r="R39" i="4"/>
  <c r="Q85" i="4"/>
  <c r="U95" i="4"/>
  <c r="L103" i="4"/>
  <c r="X106" i="4"/>
  <c r="V119" i="4"/>
  <c r="L125" i="4"/>
  <c r="U162" i="4"/>
  <c r="V162" i="4"/>
  <c r="O173" i="4"/>
  <c r="N173" i="4"/>
  <c r="P173" i="4"/>
  <c r="R173" i="4"/>
  <c r="Q173" i="4"/>
  <c r="M173" i="4"/>
  <c r="S173" i="4"/>
  <c r="L182" i="4"/>
  <c r="X191" i="4"/>
  <c r="W191" i="4"/>
  <c r="P14" i="4"/>
  <c r="O14" i="4"/>
  <c r="N14" i="4"/>
  <c r="M16" i="4"/>
  <c r="Q29" i="4"/>
  <c r="M31" i="4"/>
  <c r="L39" i="4"/>
  <c r="R62" i="4"/>
  <c r="L78" i="4"/>
  <c r="U96" i="4"/>
  <c r="N100" i="4"/>
  <c r="M100" i="4"/>
  <c r="T100" i="4"/>
  <c r="L100" i="4"/>
  <c r="O100" i="4"/>
  <c r="X110" i="4"/>
  <c r="W110" i="4"/>
  <c r="V110" i="4"/>
  <c r="Q125" i="4"/>
  <c r="N127" i="4"/>
  <c r="Q196" i="4"/>
  <c r="S4" i="4"/>
  <c r="L6" i="4"/>
  <c r="N7" i="4"/>
  <c r="N8" i="4"/>
  <c r="V9" i="4"/>
  <c r="S12" i="4"/>
  <c r="X13" i="4"/>
  <c r="L14" i="4"/>
  <c r="N15" i="4"/>
  <c r="N16" i="4"/>
  <c r="V17" i="4"/>
  <c r="U24" i="4"/>
  <c r="R29" i="4"/>
  <c r="P30" i="4"/>
  <c r="O30" i="4"/>
  <c r="N30" i="4"/>
  <c r="Q30" i="4"/>
  <c r="N31" i="4"/>
  <c r="Q37" i="4"/>
  <c r="M39" i="4"/>
  <c r="L45" i="4"/>
  <c r="R52" i="4"/>
  <c r="O53" i="4"/>
  <c r="N53" i="4"/>
  <c r="M53" i="4"/>
  <c r="P53" i="4"/>
  <c r="T54" i="4"/>
  <c r="Q55" i="4"/>
  <c r="P55" i="4"/>
  <c r="O55" i="4"/>
  <c r="R55" i="4"/>
  <c r="X58" i="4"/>
  <c r="Q60" i="4"/>
  <c r="S63" i="4"/>
  <c r="U72" i="4"/>
  <c r="N76" i="4"/>
  <c r="M76" i="4"/>
  <c r="T76" i="4"/>
  <c r="L76" i="4"/>
  <c r="O76" i="4"/>
  <c r="L77" i="4"/>
  <c r="M78" i="4"/>
  <c r="M79" i="4"/>
  <c r="R84" i="4"/>
  <c r="S85" i="4"/>
  <c r="T86" i="4"/>
  <c r="T87" i="4"/>
  <c r="P94" i="4"/>
  <c r="O94" i="4"/>
  <c r="N94" i="4"/>
  <c r="Q94" i="4"/>
  <c r="Q95" i="4"/>
  <c r="P95" i="4"/>
  <c r="O95" i="4"/>
  <c r="R95" i="4"/>
  <c r="V96" i="4"/>
  <c r="P100" i="4"/>
  <c r="Q101" i="4"/>
  <c r="N103" i="4"/>
  <c r="S108" i="4"/>
  <c r="T109" i="4"/>
  <c r="U110" i="4"/>
  <c r="O117" i="4"/>
  <c r="N117" i="4"/>
  <c r="M117" i="4"/>
  <c r="P117" i="4"/>
  <c r="L118" i="4"/>
  <c r="W120" i="4"/>
  <c r="X122" i="4"/>
  <c r="R125" i="4"/>
  <c r="S126" i="4"/>
  <c r="S127" i="4"/>
  <c r="U136" i="4"/>
  <c r="M139" i="4"/>
  <c r="Q139" i="4"/>
  <c r="P139" i="4"/>
  <c r="O139" i="4"/>
  <c r="R139" i="4"/>
  <c r="W142" i="4"/>
  <c r="N148" i="4"/>
  <c r="M148" i="4"/>
  <c r="P148" i="4"/>
  <c r="O148" i="4"/>
  <c r="L148" i="4"/>
  <c r="Q148" i="4"/>
  <c r="P150" i="4"/>
  <c r="O150" i="4"/>
  <c r="R150" i="4"/>
  <c r="Q150" i="4"/>
  <c r="N150" i="4"/>
  <c r="S150" i="4"/>
  <c r="L152" i="4"/>
  <c r="S159" i="4"/>
  <c r="M163" i="4"/>
  <c r="T163" i="4"/>
  <c r="L163" i="4"/>
  <c r="N163" i="4"/>
  <c r="Q163" i="4"/>
  <c r="P163" i="4"/>
  <c r="O163" i="4"/>
  <c r="R163" i="4"/>
  <c r="N167" i="4"/>
  <c r="T173" i="4"/>
  <c r="V178" i="4"/>
  <c r="V191" i="4"/>
  <c r="X192" i="4"/>
  <c r="W192" i="4"/>
  <c r="V192" i="4"/>
  <c r="U192" i="4"/>
  <c r="R196" i="4"/>
  <c r="O21" i="4"/>
  <c r="N21" i="4"/>
  <c r="M21" i="4"/>
  <c r="P21" i="4"/>
  <c r="Q23" i="4"/>
  <c r="P23" i="4"/>
  <c r="O23" i="4"/>
  <c r="R23" i="4"/>
  <c r="N44" i="4"/>
  <c r="M44" i="4"/>
  <c r="T44" i="4"/>
  <c r="L44" i="4"/>
  <c r="O44" i="4"/>
  <c r="W45" i="4"/>
  <c r="V45" i="4"/>
  <c r="U45" i="4"/>
  <c r="X45" i="4"/>
  <c r="P62" i="4"/>
  <c r="O62" i="4"/>
  <c r="N62" i="4"/>
  <c r="Q62" i="4"/>
  <c r="L21" i="4"/>
  <c r="U47" i="4"/>
  <c r="L62" i="4"/>
  <c r="X66" i="4"/>
  <c r="P102" i="4"/>
  <c r="O102" i="4"/>
  <c r="N102" i="4"/>
  <c r="Q102" i="4"/>
  <c r="U119" i="4"/>
  <c r="L8" i="4"/>
  <c r="U14" i="4"/>
  <c r="M23" i="4"/>
  <c r="L31" i="4"/>
  <c r="X42" i="4"/>
  <c r="Q44" i="4"/>
  <c r="V47" i="4"/>
  <c r="P52" i="4"/>
  <c r="W61" i="4"/>
  <c r="V61" i="4"/>
  <c r="U61" i="4"/>
  <c r="X61" i="4"/>
  <c r="Q108" i="4"/>
  <c r="N124" i="4"/>
  <c r="M124" i="4"/>
  <c r="T124" i="4"/>
  <c r="L124" i="4"/>
  <c r="O124" i="4"/>
  <c r="M127" i="4"/>
  <c r="X135" i="4"/>
  <c r="W135" i="4"/>
  <c r="W139" i="4"/>
  <c r="V144" i="4"/>
  <c r="P171" i="4"/>
  <c r="M7" i="4"/>
  <c r="P22" i="4"/>
  <c r="O22" i="4"/>
  <c r="N22" i="4"/>
  <c r="Q22" i="4"/>
  <c r="L37" i="4"/>
  <c r="R44" i="4"/>
  <c r="Q47" i="4"/>
  <c r="P47" i="4"/>
  <c r="O47" i="4"/>
  <c r="R47" i="4"/>
  <c r="W80" i="4"/>
  <c r="X82" i="4"/>
  <c r="R85" i="4"/>
  <c r="L101" i="4"/>
  <c r="R108" i="4"/>
  <c r="X111" i="4"/>
  <c r="W111" i="4"/>
  <c r="Q119" i="4"/>
  <c r="P119" i="4"/>
  <c r="O119" i="4"/>
  <c r="R119" i="4"/>
  <c r="P124" i="4"/>
  <c r="W141" i="4"/>
  <c r="X141" i="4"/>
  <c r="V141" i="4"/>
  <c r="U141" i="4"/>
  <c r="W144" i="4"/>
  <c r="Q157" i="4"/>
  <c r="L173" i="4"/>
  <c r="O5" i="4"/>
  <c r="N5" i="4"/>
  <c r="M5" i="4"/>
  <c r="M6" i="4"/>
  <c r="R7" i="4"/>
  <c r="O8" i="4"/>
  <c r="W9" i="4"/>
  <c r="O16" i="4"/>
  <c r="T21" i="4"/>
  <c r="S29" i="4"/>
  <c r="U32" i="4"/>
  <c r="R37" i="4"/>
  <c r="P38" i="4"/>
  <c r="O38" i="4"/>
  <c r="N38" i="4"/>
  <c r="Q38" i="4"/>
  <c r="N39" i="4"/>
  <c r="Q45" i="4"/>
  <c r="M47" i="4"/>
  <c r="S52" i="4"/>
  <c r="L53" i="4"/>
  <c r="L55" i="4"/>
  <c r="O61" i="4"/>
  <c r="N61" i="4"/>
  <c r="M61" i="4"/>
  <c r="P61" i="4"/>
  <c r="T62" i="4"/>
  <c r="T63" i="4"/>
  <c r="P70" i="4"/>
  <c r="O70" i="4"/>
  <c r="N70" i="4"/>
  <c r="Q70" i="4"/>
  <c r="Q71" i="4"/>
  <c r="P71" i="4"/>
  <c r="O71" i="4"/>
  <c r="R71" i="4"/>
  <c r="V72" i="4"/>
  <c r="Q77" i="4"/>
  <c r="N79" i="4"/>
  <c r="S84" i="4"/>
  <c r="O93" i="4"/>
  <c r="N93" i="4"/>
  <c r="M93" i="4"/>
  <c r="P93" i="4"/>
  <c r="L94" i="4"/>
  <c r="L95" i="4"/>
  <c r="W96" i="4"/>
  <c r="X98" i="4"/>
  <c r="Q100" i="4"/>
  <c r="R101" i="4"/>
  <c r="S102" i="4"/>
  <c r="S103" i="4"/>
  <c r="V111" i="4"/>
  <c r="U112" i="4"/>
  <c r="V114" i="4"/>
  <c r="N116" i="4"/>
  <c r="M116" i="4"/>
  <c r="T116" i="4"/>
  <c r="L116" i="4"/>
  <c r="O116" i="4"/>
  <c r="L117" i="4"/>
  <c r="M118" i="4"/>
  <c r="M119" i="4"/>
  <c r="R124" i="4"/>
  <c r="S125" i="4"/>
  <c r="T126" i="4"/>
  <c r="T127" i="4"/>
  <c r="P134" i="4"/>
  <c r="O134" i="4"/>
  <c r="N134" i="4"/>
  <c r="Q134" i="4"/>
  <c r="Q135" i="4"/>
  <c r="P135" i="4"/>
  <c r="O135" i="4"/>
  <c r="R135" i="4"/>
  <c r="V136" i="4"/>
  <c r="L139" i="4"/>
  <c r="P142" i="4"/>
  <c r="R142" i="4"/>
  <c r="Q142" i="4"/>
  <c r="O142" i="4"/>
  <c r="S142" i="4"/>
  <c r="R144" i="4"/>
  <c r="Q144" i="4"/>
  <c r="P144" i="4"/>
  <c r="O144" i="4"/>
  <c r="N144" i="4"/>
  <c r="S144" i="4"/>
  <c r="M147" i="4"/>
  <c r="T147" i="4"/>
  <c r="L147" i="4"/>
  <c r="S147" i="4"/>
  <c r="R147" i="4"/>
  <c r="Q147" i="4"/>
  <c r="R148" i="4"/>
  <c r="L150" i="4"/>
  <c r="M152" i="4"/>
  <c r="P158" i="4"/>
  <c r="O158" i="4"/>
  <c r="Q158" i="4"/>
  <c r="S158" i="4"/>
  <c r="R158" i="4"/>
  <c r="N158" i="4"/>
  <c r="T158" i="4"/>
  <c r="T159" i="4"/>
  <c r="S163" i="4"/>
  <c r="N172" i="4"/>
  <c r="M172" i="4"/>
  <c r="O172" i="4"/>
  <c r="S172" i="4"/>
  <c r="R172" i="4"/>
  <c r="Q172" i="4"/>
  <c r="T172" i="4"/>
  <c r="W178" i="4"/>
  <c r="Q183" i="4"/>
  <c r="P183" i="4"/>
  <c r="O183" i="4"/>
  <c r="R183" i="4"/>
  <c r="S183" i="4"/>
  <c r="N183" i="4"/>
  <c r="M183" i="4"/>
  <c r="T183" i="4"/>
  <c r="W189" i="4"/>
  <c r="V189" i="4"/>
  <c r="U189" i="4"/>
  <c r="X189" i="4"/>
  <c r="O85" i="4"/>
  <c r="N85" i="4"/>
  <c r="M85" i="4"/>
  <c r="P85" i="4"/>
  <c r="X90" i="4"/>
  <c r="X6" i="4"/>
  <c r="W6" i="4"/>
  <c r="V6" i="4"/>
  <c r="Q15" i="4"/>
  <c r="P15" i="4"/>
  <c r="O15" i="4"/>
  <c r="U22" i="4"/>
  <c r="X55" i="4"/>
  <c r="W55" i="4"/>
  <c r="L63" i="4"/>
  <c r="W117" i="4"/>
  <c r="V117" i="4"/>
  <c r="U117" i="4"/>
  <c r="X117" i="4"/>
  <c r="L15" i="4"/>
  <c r="X38" i="4"/>
  <c r="W38" i="4"/>
  <c r="V38" i="4"/>
  <c r="N60" i="4"/>
  <c r="M60" i="4"/>
  <c r="T60" i="4"/>
  <c r="L60" i="4"/>
  <c r="O60" i="4"/>
  <c r="M63" i="4"/>
  <c r="X71" i="4"/>
  <c r="W71" i="4"/>
  <c r="P78" i="4"/>
  <c r="O78" i="4"/>
  <c r="N78" i="4"/>
  <c r="Q78" i="4"/>
  <c r="V80" i="4"/>
  <c r="P84" i="4"/>
  <c r="W93" i="4"/>
  <c r="V93" i="4"/>
  <c r="U93" i="4"/>
  <c r="X93" i="4"/>
  <c r="U120" i="4"/>
  <c r="U174" i="4"/>
  <c r="W5" i="4"/>
  <c r="V5" i="4"/>
  <c r="U5" i="4"/>
  <c r="U9" i="4"/>
  <c r="U17" i="4"/>
  <c r="N23" i="4"/>
  <c r="X46" i="4"/>
  <c r="W46" i="4"/>
  <c r="V46" i="4"/>
  <c r="X50" i="4"/>
  <c r="P60" i="4"/>
  <c r="N63" i="4"/>
  <c r="W69" i="4"/>
  <c r="V69" i="4"/>
  <c r="U69" i="4"/>
  <c r="X69" i="4"/>
  <c r="U71" i="4"/>
  <c r="L79" i="4"/>
  <c r="Q84" i="4"/>
  <c r="V95" i="4"/>
  <c r="M102" i="4"/>
  <c r="V120" i="4"/>
  <c r="U134" i="4"/>
  <c r="M167" i="4"/>
  <c r="Q171" i="4"/>
  <c r="V174" i="4"/>
  <c r="X190" i="4"/>
  <c r="W190" i="4"/>
  <c r="V190" i="4"/>
  <c r="U191" i="4"/>
  <c r="O13" i="4"/>
  <c r="N13" i="4"/>
  <c r="M13" i="4"/>
  <c r="M14" i="4"/>
  <c r="W17" i="4"/>
  <c r="N20" i="4"/>
  <c r="M20" i="4"/>
  <c r="T20" i="4"/>
  <c r="L20" i="4"/>
  <c r="O20" i="4"/>
  <c r="M22" i="4"/>
  <c r="T23" i="4"/>
  <c r="V24" i="4"/>
  <c r="L30" i="4"/>
  <c r="S31" i="4"/>
  <c r="L5" i="4"/>
  <c r="Q6" i="4"/>
  <c r="S7" i="4"/>
  <c r="S8" i="4"/>
  <c r="L13" i="4"/>
  <c r="Q14" i="4"/>
  <c r="S15" i="4"/>
  <c r="S16" i="4"/>
  <c r="P20" i="4"/>
  <c r="R22" i="4"/>
  <c r="W24" i="4"/>
  <c r="V26" i="4"/>
  <c r="N28" i="4"/>
  <c r="M28" i="4"/>
  <c r="T28" i="4"/>
  <c r="L28" i="4"/>
  <c r="O28" i="4"/>
  <c r="T29" i="4"/>
  <c r="M30" i="4"/>
  <c r="T31" i="4"/>
  <c r="V32" i="4"/>
  <c r="S37" i="4"/>
  <c r="L38" i="4"/>
  <c r="S39" i="4"/>
  <c r="U40" i="4"/>
  <c r="R45" i="4"/>
  <c r="P46" i="4"/>
  <c r="O46" i="4"/>
  <c r="N46" i="4"/>
  <c r="Q46" i="4"/>
  <c r="N47" i="4"/>
  <c r="Q53" i="4"/>
  <c r="M55" i="4"/>
  <c r="S60" i="4"/>
  <c r="L61" i="4"/>
  <c r="O69" i="4"/>
  <c r="N69" i="4"/>
  <c r="M69" i="4"/>
  <c r="P69" i="4"/>
  <c r="L70" i="4"/>
  <c r="L71" i="4"/>
  <c r="W72" i="4"/>
  <c r="X74" i="4"/>
  <c r="Q76" i="4"/>
  <c r="R77" i="4"/>
  <c r="S78" i="4"/>
  <c r="S79" i="4"/>
  <c r="U88" i="4"/>
  <c r="V90" i="4"/>
  <c r="N92" i="4"/>
  <c r="M92" i="4"/>
  <c r="T92" i="4"/>
  <c r="L92" i="4"/>
  <c r="O92" i="4"/>
  <c r="L93" i="4"/>
  <c r="M94" i="4"/>
  <c r="M95" i="4"/>
  <c r="R100" i="4"/>
  <c r="S101" i="4"/>
  <c r="T102" i="4"/>
  <c r="T103" i="4"/>
  <c r="P110" i="4"/>
  <c r="O110" i="4"/>
  <c r="N110" i="4"/>
  <c r="Q110" i="4"/>
  <c r="Q111" i="4"/>
  <c r="P111" i="4"/>
  <c r="O111" i="4"/>
  <c r="R111" i="4"/>
  <c r="V112" i="4"/>
  <c r="W114" i="4"/>
  <c r="P116" i="4"/>
  <c r="Q117" i="4"/>
  <c r="R118" i="4"/>
  <c r="N119" i="4"/>
  <c r="S124" i="4"/>
  <c r="T125" i="4"/>
  <c r="O133" i="4"/>
  <c r="N133" i="4"/>
  <c r="M133" i="4"/>
  <c r="P133" i="4"/>
  <c r="L134" i="4"/>
  <c r="L135" i="4"/>
  <c r="W136" i="4"/>
  <c r="N139" i="4"/>
  <c r="L142" i="4"/>
  <c r="X143" i="4"/>
  <c r="V143" i="4"/>
  <c r="U143" i="4"/>
  <c r="W143" i="4"/>
  <c r="L144" i="4"/>
  <c r="N147" i="4"/>
  <c r="S148" i="4"/>
  <c r="M150" i="4"/>
  <c r="N152" i="4"/>
  <c r="L158" i="4"/>
  <c r="V164" i="4"/>
  <c r="U164" i="4"/>
  <c r="W164" i="4"/>
  <c r="W165" i="4"/>
  <c r="V165" i="4"/>
  <c r="X165" i="4"/>
  <c r="U165" i="4"/>
  <c r="X168" i="4"/>
  <c r="W168" i="4"/>
  <c r="L172" i="4"/>
  <c r="X178" i="4"/>
  <c r="O181" i="4"/>
  <c r="N181" i="4"/>
  <c r="M181" i="4"/>
  <c r="P181" i="4"/>
  <c r="R181" i="4"/>
  <c r="Q181" i="4"/>
  <c r="L181" i="4"/>
  <c r="S181" i="4"/>
  <c r="L183" i="4"/>
  <c r="S24" i="4"/>
  <c r="S32" i="4"/>
  <c r="S40" i="4"/>
  <c r="S48" i="4"/>
  <c r="S56" i="4"/>
  <c r="S64" i="4"/>
  <c r="S72" i="4"/>
  <c r="S80" i="4"/>
  <c r="S88" i="4"/>
  <c r="S96" i="4"/>
  <c r="S104" i="4"/>
  <c r="S112" i="4"/>
  <c r="S120" i="4"/>
  <c r="S128" i="4"/>
  <c r="S136" i="4"/>
  <c r="N156" i="4"/>
  <c r="M156" i="4"/>
  <c r="O156" i="4"/>
  <c r="O197" i="4"/>
  <c r="N197" i="4"/>
  <c r="M197" i="4"/>
  <c r="P197" i="4"/>
  <c r="W202" i="4"/>
  <c r="S3" i="4"/>
  <c r="R10" i="4"/>
  <c r="S11" i="4"/>
  <c r="R18" i="4"/>
  <c r="S19" i="4"/>
  <c r="P24" i="4"/>
  <c r="R26" i="4"/>
  <c r="S27" i="4"/>
  <c r="P32" i="4"/>
  <c r="R34" i="4"/>
  <c r="S35" i="4"/>
  <c r="P40" i="4"/>
  <c r="R42" i="4"/>
  <c r="S43" i="4"/>
  <c r="P48" i="4"/>
  <c r="R50" i="4"/>
  <c r="S51" i="4"/>
  <c r="P56" i="4"/>
  <c r="R58" i="4"/>
  <c r="S59" i="4"/>
  <c r="P64" i="4"/>
  <c r="R66" i="4"/>
  <c r="S67" i="4"/>
  <c r="P72" i="4"/>
  <c r="R74" i="4"/>
  <c r="S75" i="4"/>
  <c r="P80" i="4"/>
  <c r="R82" i="4"/>
  <c r="S83" i="4"/>
  <c r="P88" i="4"/>
  <c r="R90" i="4"/>
  <c r="S91" i="4"/>
  <c r="P96" i="4"/>
  <c r="R98" i="4"/>
  <c r="S99" i="4"/>
  <c r="P104" i="4"/>
  <c r="R106" i="4"/>
  <c r="S107" i="4"/>
  <c r="P112" i="4"/>
  <c r="R114" i="4"/>
  <c r="S115" i="4"/>
  <c r="P120" i="4"/>
  <c r="R122" i="4"/>
  <c r="S123" i="4"/>
  <c r="P128" i="4"/>
  <c r="R130" i="4"/>
  <c r="S131" i="4"/>
  <c r="P136" i="4"/>
  <c r="T138" i="4"/>
  <c r="L138" i="4"/>
  <c r="V146" i="4"/>
  <c r="Q151" i="4"/>
  <c r="P151" i="4"/>
  <c r="S156" i="4"/>
  <c r="N164" i="4"/>
  <c r="M164" i="4"/>
  <c r="O164" i="4"/>
  <c r="X166" i="4"/>
  <c r="W166" i="4"/>
  <c r="V170" i="4"/>
  <c r="N180" i="4"/>
  <c r="M180" i="4"/>
  <c r="T180" i="4"/>
  <c r="L180" i="4"/>
  <c r="O180" i="4"/>
  <c r="P190" i="4"/>
  <c r="O190" i="4"/>
  <c r="N190" i="4"/>
  <c r="Q190" i="4"/>
  <c r="Q191" i="4"/>
  <c r="P191" i="4"/>
  <c r="O191" i="4"/>
  <c r="R191" i="4"/>
  <c r="V194" i="4"/>
  <c r="T197" i="4"/>
  <c r="S10" i="4"/>
  <c r="S18" i="4"/>
  <c r="Q24" i="4"/>
  <c r="S26" i="4"/>
  <c r="Q32" i="4"/>
  <c r="S34" i="4"/>
  <c r="Q40" i="4"/>
  <c r="S42" i="4"/>
  <c r="Q48" i="4"/>
  <c r="S50" i="4"/>
  <c r="Q56" i="4"/>
  <c r="S58" i="4"/>
  <c r="Q64" i="4"/>
  <c r="S66" i="4"/>
  <c r="Q72" i="4"/>
  <c r="S74" i="4"/>
  <c r="Q80" i="4"/>
  <c r="S82" i="4"/>
  <c r="Q88" i="4"/>
  <c r="S90" i="4"/>
  <c r="Q96" i="4"/>
  <c r="S98" i="4"/>
  <c r="Q104" i="4"/>
  <c r="S106" i="4"/>
  <c r="Q112" i="4"/>
  <c r="S114" i="4"/>
  <c r="Q120" i="4"/>
  <c r="S122" i="4"/>
  <c r="Q128" i="4"/>
  <c r="S130" i="4"/>
  <c r="Q136" i="4"/>
  <c r="Q143" i="4"/>
  <c r="P143" i="4"/>
  <c r="W149" i="4"/>
  <c r="V149" i="4"/>
  <c r="T156" i="4"/>
  <c r="O165" i="4"/>
  <c r="N165" i="4"/>
  <c r="P165" i="4"/>
  <c r="W170" i="4"/>
  <c r="Q175" i="4"/>
  <c r="P175" i="4"/>
  <c r="R175" i="4"/>
  <c r="O189" i="4"/>
  <c r="N189" i="4"/>
  <c r="M189" i="4"/>
  <c r="P189" i="4"/>
  <c r="W194" i="4"/>
  <c r="L10" i="4"/>
  <c r="L18" i="4"/>
  <c r="L26" i="4"/>
  <c r="L34" i="4"/>
  <c r="L42" i="4"/>
  <c r="L50" i="4"/>
  <c r="L58" i="4"/>
  <c r="L66" i="4"/>
  <c r="L74" i="4"/>
  <c r="L82" i="4"/>
  <c r="L90" i="4"/>
  <c r="L98" i="4"/>
  <c r="L106" i="4"/>
  <c r="L114" i="4"/>
  <c r="L122" i="4"/>
  <c r="L130" i="4"/>
  <c r="T137" i="4"/>
  <c r="N138" i="4"/>
  <c r="T140" i="4"/>
  <c r="L143" i="4"/>
  <c r="O149" i="4"/>
  <c r="N149" i="4"/>
  <c r="U149" i="4"/>
  <c r="M151" i="4"/>
  <c r="M155" i="4"/>
  <c r="T155" i="4"/>
  <c r="L155" i="4"/>
  <c r="N155" i="4"/>
  <c r="P164" i="4"/>
  <c r="L165" i="4"/>
  <c r="P166" i="4"/>
  <c r="O166" i="4"/>
  <c r="Q166" i="4"/>
  <c r="V166" i="4"/>
  <c r="X170" i="4"/>
  <c r="L175" i="4"/>
  <c r="Q180" i="4"/>
  <c r="N188" i="4"/>
  <c r="M188" i="4"/>
  <c r="T188" i="4"/>
  <c r="L188" i="4"/>
  <c r="O188" i="4"/>
  <c r="L189" i="4"/>
  <c r="M190" i="4"/>
  <c r="M191" i="4"/>
  <c r="X194" i="4"/>
  <c r="P198" i="4"/>
  <c r="O198" i="4"/>
  <c r="N198" i="4"/>
  <c r="Q198" i="4"/>
  <c r="Q199" i="4"/>
  <c r="P199" i="4"/>
  <c r="O199" i="4"/>
  <c r="R199" i="4"/>
  <c r="U200" i="4"/>
  <c r="V202" i="4"/>
  <c r="S160" i="4"/>
  <c r="S168" i="4"/>
  <c r="S176" i="4"/>
  <c r="N179" i="4"/>
  <c r="S184" i="4"/>
  <c r="N187" i="4"/>
  <c r="S192" i="4"/>
  <c r="N195" i="4"/>
  <c r="S200" i="4"/>
  <c r="S179" i="4"/>
  <c r="S187" i="4"/>
  <c r="S195" i="4"/>
  <c r="S146" i="4"/>
  <c r="S154" i="4"/>
  <c r="Q160" i="4"/>
  <c r="S162" i="4"/>
  <c r="Q168" i="4"/>
  <c r="S170" i="4"/>
  <c r="Q176" i="4"/>
  <c r="R177" i="4"/>
  <c r="S178" i="4"/>
  <c r="L179" i="4"/>
  <c r="T179" i="4"/>
  <c r="Q184" i="4"/>
  <c r="R185" i="4"/>
  <c r="S186" i="4"/>
  <c r="L187" i="4"/>
  <c r="T187" i="4"/>
  <c r="Q192" i="4"/>
  <c r="R193" i="4"/>
  <c r="S194" i="4"/>
  <c r="L195" i="4"/>
  <c r="T195" i="4"/>
  <c r="Q200" i="4"/>
  <c r="R201" i="4"/>
  <c r="S202" i="4"/>
  <c r="L146" i="4"/>
  <c r="L154" i="4"/>
  <c r="L162" i="4"/>
  <c r="L170" i="4"/>
  <c r="L178" i="4"/>
  <c r="L186" i="4"/>
  <c r="L194" i="4"/>
  <c r="L202" i="4"/>
  <c r="D9" i="11"/>
  <c r="G7" i="10"/>
  <c r="H9" i="11" s="1"/>
  <c r="G8" i="10"/>
  <c r="H10" i="11" s="1"/>
  <c r="D7" i="11"/>
  <c r="G5" i="10"/>
  <c r="H7" i="11" s="1"/>
  <c r="G20" i="10"/>
  <c r="H22" i="11" s="1"/>
  <c r="G37" i="10"/>
  <c r="H39" i="11" s="1"/>
  <c r="E52" i="11"/>
  <c r="G22" i="10"/>
  <c r="H24" i="11" s="1"/>
  <c r="G30" i="10"/>
  <c r="H32" i="11" s="1"/>
  <c r="G39" i="10"/>
  <c r="H41" i="11" s="1"/>
  <c r="D41" i="11"/>
  <c r="G16" i="10"/>
  <c r="H18" i="11" s="1"/>
  <c r="G24" i="10"/>
  <c r="H26" i="11" s="1"/>
  <c r="G32" i="10"/>
  <c r="H34" i="11" s="1"/>
  <c r="G42" i="10"/>
  <c r="H44" i="11" s="1"/>
  <c r="D52" i="11"/>
  <c r="G15" i="10"/>
  <c r="H17" i="11" s="1"/>
  <c r="G23" i="10"/>
  <c r="H25" i="11" s="1"/>
  <c r="G31" i="10"/>
  <c r="H33" i="11" s="1"/>
  <c r="D51" i="11"/>
  <c r="G48" i="10"/>
  <c r="H50" i="11" s="1"/>
  <c r="X87" i="4" l="1"/>
  <c r="W87" i="4"/>
  <c r="V87" i="4"/>
  <c r="U87" i="4"/>
  <c r="W197" i="4"/>
  <c r="V197" i="4"/>
  <c r="U197" i="4"/>
  <c r="X197" i="4"/>
  <c r="X103" i="4"/>
  <c r="W103" i="4"/>
  <c r="V103" i="4"/>
  <c r="U103" i="4"/>
  <c r="X127" i="4"/>
  <c r="W127" i="4"/>
  <c r="U127" i="4"/>
  <c r="V127" i="4"/>
  <c r="V140" i="4"/>
  <c r="U140" i="4"/>
  <c r="X140" i="4"/>
  <c r="W140" i="4"/>
  <c r="V20" i="4"/>
  <c r="U20" i="4"/>
  <c r="W20" i="4"/>
  <c r="X20" i="4"/>
  <c r="V44" i="4"/>
  <c r="U44" i="4"/>
  <c r="W44" i="4"/>
  <c r="X44" i="4"/>
  <c r="X167" i="4"/>
  <c r="U167" i="4"/>
  <c r="W167" i="4"/>
  <c r="V167" i="4"/>
  <c r="V36" i="4"/>
  <c r="U36" i="4"/>
  <c r="W36" i="4"/>
  <c r="X36" i="4"/>
  <c r="V100" i="4"/>
  <c r="U100" i="4"/>
  <c r="W100" i="4"/>
  <c r="X100" i="4"/>
  <c r="V52" i="4"/>
  <c r="U52" i="4"/>
  <c r="W52" i="4"/>
  <c r="X52" i="4"/>
  <c r="V132" i="4"/>
  <c r="U132" i="4"/>
  <c r="W132" i="4"/>
  <c r="X132" i="4"/>
  <c r="V12" i="4"/>
  <c r="U12" i="4"/>
  <c r="X12" i="4"/>
  <c r="W12" i="4"/>
  <c r="W152" i="4"/>
  <c r="V152" i="4"/>
  <c r="U152" i="4"/>
  <c r="X152" i="4"/>
  <c r="W157" i="4"/>
  <c r="V157" i="4"/>
  <c r="X157" i="4"/>
  <c r="U157" i="4"/>
  <c r="U155" i="4"/>
  <c r="V155" i="4"/>
  <c r="X155" i="4"/>
  <c r="W155" i="4"/>
  <c r="W173" i="4"/>
  <c r="V173" i="4"/>
  <c r="X173" i="4"/>
  <c r="U173" i="4"/>
  <c r="X62" i="4"/>
  <c r="W62" i="4"/>
  <c r="V62" i="4"/>
  <c r="U62" i="4"/>
  <c r="W109" i="4"/>
  <c r="V109" i="4"/>
  <c r="U109" i="4"/>
  <c r="X109" i="4"/>
  <c r="U195" i="4"/>
  <c r="V195" i="4"/>
  <c r="X195" i="4"/>
  <c r="W195" i="4"/>
  <c r="W138" i="4"/>
  <c r="V138" i="4"/>
  <c r="U138" i="4"/>
  <c r="X138" i="4"/>
  <c r="X102" i="4"/>
  <c r="W102" i="4"/>
  <c r="V102" i="4"/>
  <c r="U102" i="4"/>
  <c r="V92" i="4"/>
  <c r="U92" i="4"/>
  <c r="W92" i="4"/>
  <c r="X92" i="4"/>
  <c r="X31" i="4"/>
  <c r="W31" i="4"/>
  <c r="U31" i="4"/>
  <c r="V31" i="4"/>
  <c r="X183" i="4"/>
  <c r="W183" i="4"/>
  <c r="V183" i="4"/>
  <c r="U183" i="4"/>
  <c r="U147" i="4"/>
  <c r="V147" i="4"/>
  <c r="W147" i="4"/>
  <c r="X147" i="4"/>
  <c r="X126" i="4"/>
  <c r="W126" i="4"/>
  <c r="V126" i="4"/>
  <c r="U126" i="4"/>
  <c r="V116" i="4"/>
  <c r="U116" i="4"/>
  <c r="W116" i="4"/>
  <c r="X116" i="4"/>
  <c r="V124" i="4"/>
  <c r="U124" i="4"/>
  <c r="W124" i="4"/>
  <c r="X124" i="4"/>
  <c r="V84" i="4"/>
  <c r="U84" i="4"/>
  <c r="W84" i="4"/>
  <c r="X84" i="4"/>
  <c r="V196" i="4"/>
  <c r="U196" i="4"/>
  <c r="W196" i="4"/>
  <c r="X196" i="4"/>
  <c r="W37" i="4"/>
  <c r="V37" i="4"/>
  <c r="U37" i="4"/>
  <c r="X37" i="4"/>
  <c r="U187" i="4"/>
  <c r="V187" i="4"/>
  <c r="X187" i="4"/>
  <c r="W187" i="4"/>
  <c r="V188" i="4"/>
  <c r="U188" i="4"/>
  <c r="W188" i="4"/>
  <c r="X188" i="4"/>
  <c r="X63" i="4"/>
  <c r="W63" i="4"/>
  <c r="U63" i="4"/>
  <c r="V63" i="4"/>
  <c r="X86" i="4"/>
  <c r="W86" i="4"/>
  <c r="V86" i="4"/>
  <c r="U86" i="4"/>
  <c r="W125" i="4"/>
  <c r="V125" i="4"/>
  <c r="U125" i="4"/>
  <c r="X125" i="4"/>
  <c r="X23" i="4"/>
  <c r="W23" i="4"/>
  <c r="U23" i="4"/>
  <c r="V23" i="4"/>
  <c r="W101" i="4"/>
  <c r="V101" i="4"/>
  <c r="U101" i="4"/>
  <c r="X101" i="4"/>
  <c r="X8" i="4"/>
  <c r="W8" i="4"/>
  <c r="V8" i="4"/>
  <c r="U8" i="4"/>
  <c r="V172" i="4"/>
  <c r="U172" i="4"/>
  <c r="W172" i="4"/>
  <c r="X172" i="4"/>
  <c r="X159" i="4"/>
  <c r="W159" i="4"/>
  <c r="U159" i="4"/>
  <c r="V159" i="4"/>
  <c r="W21" i="4"/>
  <c r="V21" i="4"/>
  <c r="U21" i="4"/>
  <c r="X21" i="4"/>
  <c r="X54" i="4"/>
  <c r="W54" i="4"/>
  <c r="V54" i="4"/>
  <c r="U54" i="4"/>
  <c r="U171" i="4"/>
  <c r="V171" i="4"/>
  <c r="W171" i="4"/>
  <c r="X171" i="4"/>
  <c r="X79" i="4"/>
  <c r="W79" i="4"/>
  <c r="U79" i="4"/>
  <c r="V79" i="4"/>
  <c r="X16" i="4"/>
  <c r="V16" i="4"/>
  <c r="U16" i="4"/>
  <c r="W16" i="4"/>
  <c r="U137" i="4"/>
  <c r="W137" i="4"/>
  <c r="V137" i="4"/>
  <c r="X137" i="4"/>
  <c r="V28" i="4"/>
  <c r="U28" i="4"/>
  <c r="W28" i="4"/>
  <c r="X28" i="4"/>
  <c r="U163" i="4"/>
  <c r="V163" i="4"/>
  <c r="W163" i="4"/>
  <c r="X163" i="4"/>
  <c r="V76" i="4"/>
  <c r="U76" i="4"/>
  <c r="W76" i="4"/>
  <c r="X76" i="4"/>
  <c r="X182" i="4"/>
  <c r="W182" i="4"/>
  <c r="V182" i="4"/>
  <c r="U182" i="4"/>
  <c r="V68" i="4"/>
  <c r="U68" i="4"/>
  <c r="W68" i="4"/>
  <c r="X68" i="4"/>
  <c r="U179" i="4"/>
  <c r="V179" i="4"/>
  <c r="X179" i="4"/>
  <c r="W179" i="4"/>
  <c r="V156" i="4"/>
  <c r="U156" i="4"/>
  <c r="W156" i="4"/>
  <c r="X156" i="4"/>
  <c r="V180" i="4"/>
  <c r="U180" i="4"/>
  <c r="W180" i="4"/>
  <c r="X180" i="4"/>
  <c r="W29" i="4"/>
  <c r="V29" i="4"/>
  <c r="U29" i="4"/>
  <c r="X29" i="4"/>
  <c r="V60" i="4"/>
  <c r="U60" i="4"/>
  <c r="W60" i="4"/>
  <c r="X60" i="4"/>
  <c r="X158" i="4"/>
  <c r="W158" i="4"/>
  <c r="V158" i="4"/>
  <c r="U158" i="4"/>
  <c r="V108" i="4"/>
  <c r="U108" i="4"/>
  <c r="W108" i="4"/>
  <c r="X108" i="4"/>
  <c r="X78" i="4"/>
  <c r="W78" i="4"/>
  <c r="V78" i="4"/>
  <c r="U78" i="4"/>
  <c r="X15" i="4"/>
  <c r="W15" i="4"/>
  <c r="V15" i="4"/>
  <c r="U15" i="4"/>
  <c r="V4" i="4"/>
  <c r="U4" i="4"/>
  <c r="X4" i="4"/>
  <c r="W4" i="4"/>
  <c r="B10" i="2"/>
  <c r="B7" i="12" l="1"/>
  <c r="H55" i="4"/>
  <c r="H47" i="4"/>
  <c r="H39" i="4"/>
  <c r="H31" i="4"/>
  <c r="H23" i="4"/>
  <c r="H15" i="4"/>
  <c r="H7" i="4"/>
  <c r="H24" i="4"/>
  <c r="H16" i="4"/>
  <c r="H8" i="4"/>
  <c r="H56" i="4"/>
  <c r="H48" i="4"/>
  <c r="H40" i="4"/>
  <c r="H32" i="4"/>
  <c r="H57" i="4"/>
  <c r="H49" i="4"/>
  <c r="H41" i="4"/>
  <c r="H33" i="4"/>
  <c r="H25" i="4"/>
  <c r="H17" i="4"/>
  <c r="H9" i="4"/>
  <c r="H62" i="4"/>
  <c r="H54" i="4"/>
  <c r="H46" i="4"/>
  <c r="H38" i="4"/>
  <c r="H30" i="4"/>
  <c r="H22" i="4"/>
  <c r="H44" i="4"/>
  <c r="H43" i="4"/>
  <c r="H26" i="4"/>
  <c r="H21" i="4"/>
  <c r="H35" i="4"/>
  <c r="H12" i="4"/>
  <c r="H20" i="4"/>
  <c r="H13" i="4"/>
  <c r="H53" i="4"/>
  <c r="H36" i="4"/>
  <c r="H4" i="4"/>
  <c r="H3" i="4"/>
  <c r="H61" i="4"/>
  <c r="H19" i="4"/>
  <c r="H5" i="4"/>
  <c r="H45" i="4"/>
  <c r="H59" i="4"/>
  <c r="H28" i="4"/>
  <c r="H27" i="4"/>
  <c r="H18" i="4"/>
  <c r="H11" i="4"/>
  <c r="H10" i="4"/>
  <c r="H14" i="4"/>
  <c r="H50" i="4"/>
  <c r="H60" i="4"/>
  <c r="H37" i="4"/>
  <c r="H52" i="4"/>
  <c r="H51" i="4"/>
  <c r="H34" i="4"/>
  <c r="H29" i="4"/>
  <c r="H58" i="4"/>
  <c r="H6" i="4"/>
  <c r="H42" i="4"/>
  <c r="C18" i="4" l="1"/>
  <c r="B18" i="4"/>
  <c r="E18" i="4"/>
  <c r="E17" i="7" s="1"/>
  <c r="F18" i="4"/>
  <c r="G18" i="4"/>
  <c r="L17" i="7" s="1"/>
  <c r="D18" i="4"/>
  <c r="D17" i="7" s="1"/>
  <c r="D27" i="4"/>
  <c r="D26" i="7" s="1"/>
  <c r="C27" i="4"/>
  <c r="B27" i="4"/>
  <c r="E27" i="4"/>
  <c r="E26" i="7" s="1"/>
  <c r="F27" i="4"/>
  <c r="G27" i="4"/>
  <c r="L26" i="7" s="1"/>
  <c r="G15" i="4"/>
  <c r="L14" i="7" s="1"/>
  <c r="F15" i="4"/>
  <c r="D15" i="4"/>
  <c r="D14" i="7" s="1"/>
  <c r="C15" i="4"/>
  <c r="B15" i="4"/>
  <c r="E15" i="4"/>
  <c r="E14" i="7" s="1"/>
  <c r="D3" i="4"/>
  <c r="D2" i="7" s="1"/>
  <c r="C3" i="4"/>
  <c r="B3" i="4"/>
  <c r="F3" i="4"/>
  <c r="E3" i="4"/>
  <c r="E2" i="7" s="1"/>
  <c r="G3" i="4"/>
  <c r="L2" i="7" s="1"/>
  <c r="B57" i="4"/>
  <c r="C57" i="4"/>
  <c r="F57" i="4"/>
  <c r="E57" i="4"/>
  <c r="E56" i="7" s="1"/>
  <c r="D57" i="4"/>
  <c r="D56" i="7" s="1"/>
  <c r="G57" i="4"/>
  <c r="L56" i="7" s="1"/>
  <c r="E4" i="4"/>
  <c r="E3" i="7" s="1"/>
  <c r="D4" i="4"/>
  <c r="D3" i="7" s="1"/>
  <c r="C4" i="4"/>
  <c r="F4" i="4"/>
  <c r="G4" i="4"/>
  <c r="L3" i="7" s="1"/>
  <c r="B4" i="4"/>
  <c r="G32" i="4"/>
  <c r="L31" i="7" s="1"/>
  <c r="B32" i="4"/>
  <c r="F32" i="4"/>
  <c r="D32" i="4"/>
  <c r="D31" i="7" s="1"/>
  <c r="E32" i="4"/>
  <c r="E31" i="7" s="1"/>
  <c r="C32" i="4"/>
  <c r="E36" i="4"/>
  <c r="E35" i="7" s="1"/>
  <c r="D36" i="4"/>
  <c r="D35" i="7" s="1"/>
  <c r="C36" i="4"/>
  <c r="F36" i="4"/>
  <c r="B36" i="4"/>
  <c r="G36" i="4"/>
  <c r="L35" i="7" s="1"/>
  <c r="B9" i="4"/>
  <c r="E9" i="4"/>
  <c r="E8" i="7" s="1"/>
  <c r="D9" i="4"/>
  <c r="D8" i="7" s="1"/>
  <c r="C9" i="4"/>
  <c r="G9" i="4"/>
  <c r="L8" i="7" s="1"/>
  <c r="F9" i="4"/>
  <c r="C42" i="4"/>
  <c r="B42" i="4"/>
  <c r="D42" i="4"/>
  <c r="D41" i="7" s="1"/>
  <c r="F42" i="4"/>
  <c r="E42" i="4"/>
  <c r="E41" i="7" s="1"/>
  <c r="G42" i="4"/>
  <c r="L41" i="7" s="1"/>
  <c r="F53" i="4"/>
  <c r="E53" i="4"/>
  <c r="E52" i="7" s="1"/>
  <c r="D53" i="4"/>
  <c r="D52" i="7" s="1"/>
  <c r="G53" i="4"/>
  <c r="L52" i="7" s="1"/>
  <c r="C53" i="4"/>
  <c r="B53" i="4"/>
  <c r="G48" i="4"/>
  <c r="L47" i="7" s="1"/>
  <c r="B48" i="4"/>
  <c r="E48" i="4"/>
  <c r="E47" i="7" s="1"/>
  <c r="D48" i="4"/>
  <c r="D47" i="7" s="1"/>
  <c r="C48" i="4"/>
  <c r="F48" i="4"/>
  <c r="G6" i="4"/>
  <c r="L5" i="7" s="1"/>
  <c r="F6" i="4"/>
  <c r="E6" i="4"/>
  <c r="E5" i="7" s="1"/>
  <c r="B6" i="4"/>
  <c r="C6" i="4"/>
  <c r="D6" i="4"/>
  <c r="D5" i="7" s="1"/>
  <c r="F13" i="4"/>
  <c r="E13" i="4"/>
  <c r="E12" i="7" s="1"/>
  <c r="D13" i="4"/>
  <c r="D12" i="7" s="1"/>
  <c r="G13" i="4"/>
  <c r="L12" i="7" s="1"/>
  <c r="C13" i="4"/>
  <c r="B13" i="4"/>
  <c r="C58" i="4"/>
  <c r="B58" i="4"/>
  <c r="D58" i="4"/>
  <c r="D57" i="7" s="1"/>
  <c r="G58" i="4"/>
  <c r="L57" i="7" s="1"/>
  <c r="E58" i="4"/>
  <c r="E57" i="7" s="1"/>
  <c r="F58" i="4"/>
  <c r="F5" i="4"/>
  <c r="E5" i="4"/>
  <c r="E4" i="7" s="1"/>
  <c r="D5" i="4"/>
  <c r="D4" i="7" s="1"/>
  <c r="G5" i="4"/>
  <c r="L4" i="7" s="1"/>
  <c r="C5" i="4"/>
  <c r="B5" i="4"/>
  <c r="E20" i="4"/>
  <c r="E19" i="7" s="1"/>
  <c r="D20" i="4"/>
  <c r="D19" i="7" s="1"/>
  <c r="C20" i="4"/>
  <c r="F20" i="4"/>
  <c r="B20" i="4"/>
  <c r="G20" i="4"/>
  <c r="L19" i="7" s="1"/>
  <c r="G30" i="4"/>
  <c r="L29" i="7" s="1"/>
  <c r="F30" i="4"/>
  <c r="E30" i="4"/>
  <c r="E29" i="7" s="1"/>
  <c r="D30" i="4"/>
  <c r="D29" i="7" s="1"/>
  <c r="C30" i="4"/>
  <c r="B30" i="4"/>
  <c r="B33" i="4"/>
  <c r="C33" i="4"/>
  <c r="E33" i="4"/>
  <c r="E32" i="7" s="1"/>
  <c r="G33" i="4"/>
  <c r="L32" i="7" s="1"/>
  <c r="F33" i="4"/>
  <c r="D33" i="4"/>
  <c r="D32" i="7" s="1"/>
  <c r="G8" i="4"/>
  <c r="L7" i="7" s="1"/>
  <c r="E8" i="4"/>
  <c r="E7" i="7" s="1"/>
  <c r="C8" i="4"/>
  <c r="B8" i="4"/>
  <c r="D8" i="4"/>
  <c r="D7" i="7" s="1"/>
  <c r="F8" i="4"/>
  <c r="G47" i="4"/>
  <c r="L46" i="7" s="1"/>
  <c r="F47" i="4"/>
  <c r="B47" i="4"/>
  <c r="D47" i="4"/>
  <c r="D46" i="7" s="1"/>
  <c r="E47" i="4"/>
  <c r="E46" i="7" s="1"/>
  <c r="C47" i="4"/>
  <c r="G54" i="4"/>
  <c r="L53" i="7" s="1"/>
  <c r="F54" i="4"/>
  <c r="E54" i="4"/>
  <c r="E53" i="7" s="1"/>
  <c r="D54" i="4"/>
  <c r="D53" i="7" s="1"/>
  <c r="B54" i="4"/>
  <c r="C54" i="4"/>
  <c r="E52" i="4"/>
  <c r="E51" i="7" s="1"/>
  <c r="D52" i="4"/>
  <c r="D51" i="7" s="1"/>
  <c r="C52" i="4"/>
  <c r="F52" i="4"/>
  <c r="G52" i="4"/>
  <c r="L51" i="7" s="1"/>
  <c r="B52" i="4"/>
  <c r="G62" i="4"/>
  <c r="L61" i="7" s="1"/>
  <c r="F62" i="4"/>
  <c r="E62" i="4"/>
  <c r="E61" i="7" s="1"/>
  <c r="D62" i="4"/>
  <c r="D61" i="7" s="1"/>
  <c r="C62" i="4"/>
  <c r="B62" i="4"/>
  <c r="E28" i="4"/>
  <c r="E27" i="7" s="1"/>
  <c r="D28" i="4"/>
  <c r="D27" i="7" s="1"/>
  <c r="C28" i="4"/>
  <c r="F28" i="4"/>
  <c r="B28" i="4"/>
  <c r="G28" i="4"/>
  <c r="L27" i="7" s="1"/>
  <c r="G23" i="4"/>
  <c r="L22" i="7" s="1"/>
  <c r="F23" i="4"/>
  <c r="E23" i="4"/>
  <c r="E22" i="7" s="1"/>
  <c r="D23" i="4"/>
  <c r="D22" i="7" s="1"/>
  <c r="C23" i="4"/>
  <c r="B23" i="4"/>
  <c r="D59" i="4"/>
  <c r="D58" i="7" s="1"/>
  <c r="C59" i="4"/>
  <c r="B59" i="4"/>
  <c r="E59" i="4"/>
  <c r="E58" i="7" s="1"/>
  <c r="F59" i="4"/>
  <c r="G59" i="4"/>
  <c r="L58" i="7" s="1"/>
  <c r="B17" i="4"/>
  <c r="E17" i="4"/>
  <c r="E16" i="7" s="1"/>
  <c r="D17" i="4"/>
  <c r="D16" i="7" s="1"/>
  <c r="C17" i="4"/>
  <c r="G17" i="4"/>
  <c r="L16" i="7" s="1"/>
  <c r="F17" i="4"/>
  <c r="F45" i="4"/>
  <c r="E45" i="4"/>
  <c r="E44" i="7" s="1"/>
  <c r="D45" i="4"/>
  <c r="D44" i="7" s="1"/>
  <c r="G45" i="4"/>
  <c r="L44" i="7" s="1"/>
  <c r="C45" i="4"/>
  <c r="B45" i="4"/>
  <c r="B25" i="4"/>
  <c r="C25" i="4"/>
  <c r="E25" i="4"/>
  <c r="E24" i="7" s="1"/>
  <c r="G25" i="4"/>
  <c r="L24" i="7" s="1"/>
  <c r="F25" i="4"/>
  <c r="D25" i="4"/>
  <c r="D24" i="7" s="1"/>
  <c r="G39" i="4"/>
  <c r="L38" i="7" s="1"/>
  <c r="F39" i="4"/>
  <c r="C39" i="4"/>
  <c r="B39" i="4"/>
  <c r="E39" i="4"/>
  <c r="E38" i="7" s="1"/>
  <c r="D39" i="4"/>
  <c r="D38" i="7" s="1"/>
  <c r="C10" i="4"/>
  <c r="B10" i="4"/>
  <c r="G10" i="4"/>
  <c r="L9" i="7" s="1"/>
  <c r="F10" i="4"/>
  <c r="E10" i="4"/>
  <c r="E9" i="7" s="1"/>
  <c r="D10" i="4"/>
  <c r="D9" i="7" s="1"/>
  <c r="D19" i="4"/>
  <c r="D18" i="7" s="1"/>
  <c r="C19" i="4"/>
  <c r="B19" i="4"/>
  <c r="E19" i="4"/>
  <c r="E18" i="7" s="1"/>
  <c r="G19" i="4"/>
  <c r="L18" i="7" s="1"/>
  <c r="F19" i="4"/>
  <c r="E12" i="4"/>
  <c r="E11" i="7" s="1"/>
  <c r="D12" i="4"/>
  <c r="D11" i="7" s="1"/>
  <c r="C12" i="4"/>
  <c r="G12" i="4"/>
  <c r="L11" i="7" s="1"/>
  <c r="F12" i="4"/>
  <c r="B12" i="4"/>
  <c r="G38" i="4"/>
  <c r="L37" i="7" s="1"/>
  <c r="F38" i="4"/>
  <c r="E38" i="4"/>
  <c r="E37" i="7" s="1"/>
  <c r="C38" i="4"/>
  <c r="B38" i="4"/>
  <c r="D38" i="4"/>
  <c r="D37" i="7" s="1"/>
  <c r="B41" i="4"/>
  <c r="C41" i="4"/>
  <c r="G41" i="4"/>
  <c r="L40" i="7" s="1"/>
  <c r="F41" i="4"/>
  <c r="D41" i="4"/>
  <c r="D40" i="7" s="1"/>
  <c r="E41" i="4"/>
  <c r="E40" i="7" s="1"/>
  <c r="G16" i="4"/>
  <c r="L15" i="7" s="1"/>
  <c r="E16" i="4"/>
  <c r="E15" i="7" s="1"/>
  <c r="D16" i="4"/>
  <c r="D15" i="7" s="1"/>
  <c r="B16" i="4"/>
  <c r="C16" i="4"/>
  <c r="F16" i="4"/>
  <c r="G55" i="4"/>
  <c r="L54" i="7" s="1"/>
  <c r="F55" i="4"/>
  <c r="E55" i="4"/>
  <c r="E54" i="7" s="1"/>
  <c r="D55" i="4"/>
  <c r="D54" i="7" s="1"/>
  <c r="C55" i="4"/>
  <c r="B55" i="4"/>
  <c r="D51" i="4"/>
  <c r="D50" i="7" s="1"/>
  <c r="C51" i="4"/>
  <c r="B51" i="4"/>
  <c r="E51" i="4"/>
  <c r="E50" i="7" s="1"/>
  <c r="G51" i="4"/>
  <c r="L50" i="7" s="1"/>
  <c r="F51" i="4"/>
  <c r="F21" i="4"/>
  <c r="E21" i="4"/>
  <c r="E20" i="7" s="1"/>
  <c r="D21" i="4"/>
  <c r="D20" i="7" s="1"/>
  <c r="G21" i="4"/>
  <c r="L20" i="7" s="1"/>
  <c r="C21" i="4"/>
  <c r="B21" i="4"/>
  <c r="G7" i="4"/>
  <c r="L6" i="7" s="1"/>
  <c r="F7" i="4"/>
  <c r="D7" i="4"/>
  <c r="D6" i="7" s="1"/>
  <c r="C7" i="4"/>
  <c r="B7" i="4"/>
  <c r="E7" i="4"/>
  <c r="E6" i="7" s="1"/>
  <c r="C26" i="4"/>
  <c r="B26" i="4"/>
  <c r="D26" i="4"/>
  <c r="D25" i="7" s="1"/>
  <c r="G26" i="4"/>
  <c r="L25" i="7" s="1"/>
  <c r="E26" i="4"/>
  <c r="E25" i="7" s="1"/>
  <c r="F26" i="4"/>
  <c r="F37" i="4"/>
  <c r="E37" i="4"/>
  <c r="E36" i="7" s="1"/>
  <c r="D37" i="4"/>
  <c r="D36" i="7" s="1"/>
  <c r="G37" i="4"/>
  <c r="L36" i="7" s="1"/>
  <c r="B37" i="4"/>
  <c r="C37" i="4"/>
  <c r="D43" i="4"/>
  <c r="D42" i="7" s="1"/>
  <c r="C43" i="4"/>
  <c r="B43" i="4"/>
  <c r="E43" i="4"/>
  <c r="E42" i="7" s="1"/>
  <c r="G43" i="4"/>
  <c r="L42" i="7" s="1"/>
  <c r="F43" i="4"/>
  <c r="G40" i="4"/>
  <c r="L39" i="7" s="1"/>
  <c r="B40" i="4"/>
  <c r="F40" i="4"/>
  <c r="E40" i="4"/>
  <c r="E39" i="7" s="1"/>
  <c r="D40" i="4"/>
  <c r="D39" i="7" s="1"/>
  <c r="C40" i="4"/>
  <c r="E60" i="4"/>
  <c r="E59" i="7" s="1"/>
  <c r="D60" i="4"/>
  <c r="D59" i="7" s="1"/>
  <c r="C60" i="4"/>
  <c r="F60" i="4"/>
  <c r="B60" i="4"/>
  <c r="G60" i="4"/>
  <c r="L59" i="7" s="1"/>
  <c r="E44" i="4"/>
  <c r="E43" i="7" s="1"/>
  <c r="D44" i="4"/>
  <c r="D43" i="7" s="1"/>
  <c r="C44" i="4"/>
  <c r="F44" i="4"/>
  <c r="G44" i="4"/>
  <c r="L43" i="7" s="1"/>
  <c r="B44" i="4"/>
  <c r="G31" i="4"/>
  <c r="L30" i="7" s="1"/>
  <c r="F31" i="4"/>
  <c r="D31" i="4"/>
  <c r="D30" i="7" s="1"/>
  <c r="C31" i="4"/>
  <c r="B31" i="4"/>
  <c r="E31" i="4"/>
  <c r="E30" i="7" s="1"/>
  <c r="C50" i="4"/>
  <c r="B50" i="4"/>
  <c r="D50" i="4"/>
  <c r="D49" i="7" s="1"/>
  <c r="E50" i="4"/>
  <c r="E49" i="7" s="1"/>
  <c r="F50" i="4"/>
  <c r="G50" i="4"/>
  <c r="L49" i="7" s="1"/>
  <c r="G22" i="4"/>
  <c r="L21" i="7" s="1"/>
  <c r="F22" i="4"/>
  <c r="E22" i="4"/>
  <c r="E21" i="7" s="1"/>
  <c r="B22" i="4"/>
  <c r="D22" i="4"/>
  <c r="D21" i="7" s="1"/>
  <c r="C22" i="4"/>
  <c r="G56" i="4"/>
  <c r="L55" i="7" s="1"/>
  <c r="B56" i="4"/>
  <c r="D56" i="4"/>
  <c r="D55" i="7" s="1"/>
  <c r="C56" i="4"/>
  <c r="F56" i="4"/>
  <c r="E56" i="4"/>
  <c r="E55" i="7" s="1"/>
  <c r="G14" i="4"/>
  <c r="L13" i="7" s="1"/>
  <c r="F14" i="4"/>
  <c r="E14" i="4"/>
  <c r="E13" i="7" s="1"/>
  <c r="B14" i="4"/>
  <c r="D14" i="4"/>
  <c r="D13" i="7" s="1"/>
  <c r="C14" i="4"/>
  <c r="F29" i="4"/>
  <c r="E29" i="4"/>
  <c r="E28" i="7" s="1"/>
  <c r="D29" i="4"/>
  <c r="D28" i="7" s="1"/>
  <c r="G29" i="4"/>
  <c r="L28" i="7" s="1"/>
  <c r="C29" i="4"/>
  <c r="B29" i="4"/>
  <c r="C34" i="4"/>
  <c r="B34" i="4"/>
  <c r="D34" i="4"/>
  <c r="D33" i="7" s="1"/>
  <c r="G34" i="4"/>
  <c r="L33" i="7" s="1"/>
  <c r="F34" i="4"/>
  <c r="E34" i="4"/>
  <c r="E33" i="7" s="1"/>
  <c r="D11" i="4"/>
  <c r="D10" i="7" s="1"/>
  <c r="C11" i="4"/>
  <c r="B11" i="4"/>
  <c r="G11" i="4"/>
  <c r="L10" i="7" s="1"/>
  <c r="F11" i="4"/>
  <c r="E11" i="4"/>
  <c r="E10" i="7" s="1"/>
  <c r="F61" i="4"/>
  <c r="E61" i="4"/>
  <c r="E60" i="7" s="1"/>
  <c r="D61" i="4"/>
  <c r="D60" i="7" s="1"/>
  <c r="G61" i="4"/>
  <c r="L60" i="7" s="1"/>
  <c r="B61" i="4"/>
  <c r="C61" i="4"/>
  <c r="D35" i="4"/>
  <c r="D34" i="7" s="1"/>
  <c r="C35" i="4"/>
  <c r="B35" i="4"/>
  <c r="E35" i="4"/>
  <c r="E34" i="7" s="1"/>
  <c r="G35" i="4"/>
  <c r="L34" i="7" s="1"/>
  <c r="F35" i="4"/>
  <c r="G46" i="4"/>
  <c r="L45" i="7" s="1"/>
  <c r="F46" i="4"/>
  <c r="E46" i="4"/>
  <c r="E45" i="7" s="1"/>
  <c r="B46" i="4"/>
  <c r="D46" i="4"/>
  <c r="D45" i="7" s="1"/>
  <c r="C46" i="4"/>
  <c r="B49" i="4"/>
  <c r="C49" i="4"/>
  <c r="G49" i="4"/>
  <c r="L48" i="7" s="1"/>
  <c r="D49" i="4"/>
  <c r="D48" i="7" s="1"/>
  <c r="F49" i="4"/>
  <c r="E49" i="4"/>
  <c r="E48" i="7" s="1"/>
  <c r="G24" i="4"/>
  <c r="L23" i="7" s="1"/>
  <c r="B24" i="4"/>
  <c r="E24" i="4"/>
  <c r="E23" i="7" s="1"/>
  <c r="C24" i="4"/>
  <c r="F24" i="4"/>
  <c r="D24" i="4"/>
  <c r="D23" i="7" s="1"/>
  <c r="C60" i="7" l="1"/>
  <c r="B60" i="7"/>
  <c r="C13" i="7"/>
  <c r="B13" i="7"/>
  <c r="C55" i="7"/>
  <c r="B55" i="7"/>
  <c r="C37" i="7"/>
  <c r="B37" i="7"/>
  <c r="C24" i="7"/>
  <c r="B24" i="7"/>
  <c r="C14" i="7"/>
  <c r="B14" i="7"/>
  <c r="C26" i="7"/>
  <c r="B26" i="7"/>
  <c r="C43" i="7"/>
  <c r="B43" i="7"/>
  <c r="B25" i="7"/>
  <c r="C25" i="7"/>
  <c r="C20" i="7"/>
  <c r="B20" i="7"/>
  <c r="C38" i="7"/>
  <c r="B38" i="7"/>
  <c r="C61" i="7"/>
  <c r="B61" i="7"/>
  <c r="C51" i="7"/>
  <c r="B51" i="7"/>
  <c r="C4" i="7"/>
  <c r="B4" i="7"/>
  <c r="C47" i="7"/>
  <c r="B47" i="7"/>
  <c r="B41" i="7"/>
  <c r="C41" i="7"/>
  <c r="C30" i="7"/>
  <c r="B30" i="7"/>
  <c r="C39" i="7"/>
  <c r="B39" i="7"/>
  <c r="C50" i="7"/>
  <c r="B50" i="7"/>
  <c r="C16" i="7"/>
  <c r="B16" i="7"/>
  <c r="C58" i="7"/>
  <c r="B58" i="7"/>
  <c r="C46" i="7"/>
  <c r="B46" i="7"/>
  <c r="C32" i="7"/>
  <c r="B32" i="7"/>
  <c r="C44" i="7"/>
  <c r="B44" i="7"/>
  <c r="B7" i="7"/>
  <c r="C7" i="7"/>
  <c r="B57" i="7"/>
  <c r="C57" i="7"/>
  <c r="C5" i="7"/>
  <c r="B5" i="7"/>
  <c r="B35" i="7"/>
  <c r="C35" i="7"/>
  <c r="C33" i="7"/>
  <c r="B33" i="7"/>
  <c r="C21" i="7"/>
  <c r="B21" i="7"/>
  <c r="C42" i="7"/>
  <c r="B42" i="7"/>
  <c r="C6" i="7"/>
  <c r="B6" i="7"/>
  <c r="C40" i="7"/>
  <c r="B40" i="7"/>
  <c r="C53" i="7"/>
  <c r="B53" i="7"/>
  <c r="C8" i="7"/>
  <c r="B8" i="7"/>
  <c r="C2" i="7"/>
  <c r="B2" i="7"/>
  <c r="C45" i="7"/>
  <c r="B45" i="7"/>
  <c r="C54" i="7"/>
  <c r="B54" i="7"/>
  <c r="B9" i="7"/>
  <c r="C9" i="7"/>
  <c r="C22" i="7"/>
  <c r="B22" i="7"/>
  <c r="B27" i="7"/>
  <c r="C27" i="7"/>
  <c r="C29" i="7"/>
  <c r="B29" i="7"/>
  <c r="B19" i="7"/>
  <c r="C19" i="7"/>
  <c r="C12" i="7"/>
  <c r="B12" i="7"/>
  <c r="C34" i="7"/>
  <c r="B34" i="7"/>
  <c r="C36" i="7"/>
  <c r="B36" i="7"/>
  <c r="C18" i="7"/>
  <c r="B18" i="7"/>
  <c r="C31" i="7"/>
  <c r="B31" i="7"/>
  <c r="C56" i="7"/>
  <c r="B56" i="7"/>
  <c r="C23" i="7"/>
  <c r="B23" i="7"/>
  <c r="C48" i="7"/>
  <c r="B48" i="7"/>
  <c r="C10" i="7"/>
  <c r="B10" i="7"/>
  <c r="C28" i="7"/>
  <c r="B28" i="7"/>
  <c r="C15" i="7"/>
  <c r="B15" i="7"/>
  <c r="C49" i="7"/>
  <c r="B49" i="7"/>
  <c r="C59" i="7"/>
  <c r="B59" i="7"/>
  <c r="C11" i="7"/>
  <c r="B11" i="7"/>
  <c r="C52" i="7"/>
  <c r="B52" i="7"/>
  <c r="B3" i="7"/>
  <c r="C3" i="7"/>
  <c r="C17" i="7"/>
  <c r="B17" i="7"/>
  <c r="H17" i="7" l="1"/>
  <c r="G17" i="7"/>
  <c r="B34" i="8"/>
  <c r="B33" i="8"/>
  <c r="F17" i="7"/>
  <c r="I17" i="7"/>
  <c r="J17" i="7"/>
  <c r="K17" i="7"/>
  <c r="K12" i="7"/>
  <c r="B24" i="8"/>
  <c r="B23" i="8"/>
  <c r="J12" i="7"/>
  <c r="I12" i="7"/>
  <c r="H12" i="7"/>
  <c r="G12" i="7"/>
  <c r="F12" i="7"/>
  <c r="B122" i="8"/>
  <c r="B121" i="8"/>
  <c r="H61" i="7"/>
  <c r="G61" i="7"/>
  <c r="F61" i="7"/>
  <c r="I61" i="7"/>
  <c r="K61" i="7"/>
  <c r="J61" i="7"/>
  <c r="B70" i="8"/>
  <c r="H35" i="7"/>
  <c r="G35" i="7"/>
  <c r="F35" i="7"/>
  <c r="B69" i="8"/>
  <c r="I35" i="7"/>
  <c r="K35" i="7"/>
  <c r="J35" i="7"/>
  <c r="H41" i="7"/>
  <c r="G41" i="7"/>
  <c r="F41" i="7"/>
  <c r="B82" i="8"/>
  <c r="I41" i="7"/>
  <c r="B81" i="8"/>
  <c r="K41" i="7"/>
  <c r="J41" i="7"/>
  <c r="K10" i="7"/>
  <c r="B20" i="8"/>
  <c r="B19" i="8"/>
  <c r="J10" i="7"/>
  <c r="F10" i="7"/>
  <c r="G10" i="7"/>
  <c r="I10" i="7"/>
  <c r="H10" i="7"/>
  <c r="K22" i="7"/>
  <c r="B44" i="8"/>
  <c r="B43" i="8"/>
  <c r="J22" i="7"/>
  <c r="H22" i="7"/>
  <c r="G22" i="7"/>
  <c r="F22" i="7"/>
  <c r="I22" i="7"/>
  <c r="B88" i="8"/>
  <c r="B87" i="8"/>
  <c r="K44" i="7"/>
  <c r="J44" i="7"/>
  <c r="I44" i="7"/>
  <c r="H44" i="7"/>
  <c r="G44" i="7"/>
  <c r="F44" i="7"/>
  <c r="H3" i="7"/>
  <c r="G3" i="7"/>
  <c r="B6" i="8"/>
  <c r="B5" i="8"/>
  <c r="F3" i="7"/>
  <c r="I3" i="7"/>
  <c r="K3" i="7"/>
  <c r="J3" i="7"/>
  <c r="H19" i="7"/>
  <c r="G19" i="7"/>
  <c r="B38" i="8"/>
  <c r="B37" i="8"/>
  <c r="F19" i="7"/>
  <c r="I19" i="7"/>
  <c r="K19" i="7"/>
  <c r="J19" i="7"/>
  <c r="B97" i="8"/>
  <c r="B98" i="8"/>
  <c r="H49" i="7"/>
  <c r="G49" i="7"/>
  <c r="F49" i="7"/>
  <c r="I49" i="7"/>
  <c r="J49" i="7"/>
  <c r="K49" i="7"/>
  <c r="K42" i="7"/>
  <c r="J42" i="7"/>
  <c r="B84" i="8"/>
  <c r="F42" i="7"/>
  <c r="B83" i="8"/>
  <c r="I42" i="7"/>
  <c r="G42" i="7"/>
  <c r="H42" i="7"/>
  <c r="B99" i="8"/>
  <c r="K50" i="7"/>
  <c r="J50" i="7"/>
  <c r="B100" i="8"/>
  <c r="I50" i="7"/>
  <c r="H50" i="7"/>
  <c r="G50" i="7"/>
  <c r="F50" i="7"/>
  <c r="H55" i="7"/>
  <c r="G55" i="7"/>
  <c r="F55" i="7"/>
  <c r="B110" i="8"/>
  <c r="I55" i="7"/>
  <c r="K55" i="7"/>
  <c r="J55" i="7"/>
  <c r="B109" i="8"/>
  <c r="B113" i="8"/>
  <c r="B114" i="8"/>
  <c r="H57" i="7"/>
  <c r="G57" i="7"/>
  <c r="F57" i="7"/>
  <c r="I57" i="7"/>
  <c r="K57" i="7"/>
  <c r="J57" i="7"/>
  <c r="H23" i="7"/>
  <c r="G23" i="7"/>
  <c r="B46" i="8"/>
  <c r="B45" i="8"/>
  <c r="F23" i="7"/>
  <c r="I23" i="7"/>
  <c r="K23" i="7"/>
  <c r="J23" i="7"/>
  <c r="H29" i="7"/>
  <c r="G29" i="7"/>
  <c r="F29" i="7"/>
  <c r="I29" i="7"/>
  <c r="B57" i="8"/>
  <c r="K29" i="7"/>
  <c r="J29" i="7"/>
  <c r="B58" i="8"/>
  <c r="B107" i="8"/>
  <c r="K54" i="7"/>
  <c r="J54" i="7"/>
  <c r="H54" i="7"/>
  <c r="G54" i="7"/>
  <c r="F54" i="7"/>
  <c r="B108" i="8"/>
  <c r="I54" i="7"/>
  <c r="B105" i="8"/>
  <c r="B106" i="8"/>
  <c r="H53" i="7"/>
  <c r="G53" i="7"/>
  <c r="F53" i="7"/>
  <c r="I53" i="7"/>
  <c r="K53" i="7"/>
  <c r="J53" i="7"/>
  <c r="H21" i="7"/>
  <c r="G21" i="7"/>
  <c r="B42" i="8"/>
  <c r="B41" i="8"/>
  <c r="F21" i="7"/>
  <c r="I21" i="7"/>
  <c r="K21" i="7"/>
  <c r="J21" i="7"/>
  <c r="B91" i="8"/>
  <c r="K46" i="7"/>
  <c r="J46" i="7"/>
  <c r="I46" i="7"/>
  <c r="H46" i="7"/>
  <c r="B92" i="8"/>
  <c r="G46" i="7"/>
  <c r="F46" i="7"/>
  <c r="H39" i="7"/>
  <c r="G39" i="7"/>
  <c r="F39" i="7"/>
  <c r="B78" i="8"/>
  <c r="I39" i="7"/>
  <c r="K39" i="7"/>
  <c r="J39" i="7"/>
  <c r="B77" i="8"/>
  <c r="K4" i="7"/>
  <c r="B8" i="8"/>
  <c r="B7" i="8"/>
  <c r="J4" i="7"/>
  <c r="F4" i="7"/>
  <c r="H4" i="7"/>
  <c r="I4" i="7"/>
  <c r="G4" i="7"/>
  <c r="K20" i="7"/>
  <c r="B40" i="8"/>
  <c r="B39" i="8"/>
  <c r="J20" i="7"/>
  <c r="F20" i="7"/>
  <c r="G20" i="7"/>
  <c r="I20" i="7"/>
  <c r="H20" i="7"/>
  <c r="K14" i="7"/>
  <c r="B28" i="8"/>
  <c r="B27" i="8"/>
  <c r="J14" i="7"/>
  <c r="F14" i="7"/>
  <c r="I14" i="7"/>
  <c r="H14" i="7"/>
  <c r="G14" i="7"/>
  <c r="H13" i="7"/>
  <c r="G13" i="7"/>
  <c r="B26" i="8"/>
  <c r="B25" i="8"/>
  <c r="F13" i="7"/>
  <c r="I13" i="7"/>
  <c r="K13" i="7"/>
  <c r="J13" i="7"/>
  <c r="B62" i="8"/>
  <c r="H31" i="7"/>
  <c r="G31" i="7"/>
  <c r="F31" i="7"/>
  <c r="B61" i="8"/>
  <c r="I31" i="7"/>
  <c r="K31" i="7"/>
  <c r="J31" i="7"/>
  <c r="K6" i="7"/>
  <c r="B12" i="8"/>
  <c r="B11" i="8"/>
  <c r="J6" i="7"/>
  <c r="H6" i="7"/>
  <c r="G6" i="7"/>
  <c r="F6" i="7"/>
  <c r="I6" i="7"/>
  <c r="H43" i="7"/>
  <c r="G43" i="7"/>
  <c r="F43" i="7"/>
  <c r="B86" i="8"/>
  <c r="I43" i="7"/>
  <c r="B85" i="8"/>
  <c r="J43" i="7"/>
  <c r="K43" i="7"/>
  <c r="K18" i="7"/>
  <c r="B36" i="8"/>
  <c r="B35" i="8"/>
  <c r="J18" i="7"/>
  <c r="I18" i="7"/>
  <c r="H18" i="7"/>
  <c r="F18" i="7"/>
  <c r="G18" i="7"/>
  <c r="K8" i="7"/>
  <c r="B16" i="8"/>
  <c r="B15" i="8"/>
  <c r="J8" i="7"/>
  <c r="I8" i="7"/>
  <c r="H8" i="7"/>
  <c r="G8" i="7"/>
  <c r="F8" i="7"/>
  <c r="B63" i="8"/>
  <c r="K32" i="7"/>
  <c r="B64" i="8"/>
  <c r="J32" i="7"/>
  <c r="G32" i="7"/>
  <c r="F32" i="7"/>
  <c r="H32" i="7"/>
  <c r="I32" i="7"/>
  <c r="B76" i="8"/>
  <c r="K38" i="7"/>
  <c r="J38" i="7"/>
  <c r="B75" i="8"/>
  <c r="H38" i="7"/>
  <c r="G38" i="7"/>
  <c r="F38" i="7"/>
  <c r="I38" i="7"/>
  <c r="H15" i="7"/>
  <c r="G15" i="7"/>
  <c r="B30" i="8"/>
  <c r="B29" i="8"/>
  <c r="F15" i="7"/>
  <c r="I15" i="7"/>
  <c r="K15" i="7"/>
  <c r="J15" i="7"/>
  <c r="H27" i="7"/>
  <c r="G27" i="7"/>
  <c r="B54" i="8"/>
  <c r="B53" i="8"/>
  <c r="F27" i="7"/>
  <c r="I27" i="7"/>
  <c r="J27" i="7"/>
  <c r="K27" i="7"/>
  <c r="H7" i="7"/>
  <c r="G7" i="7"/>
  <c r="B14" i="8"/>
  <c r="B13" i="8"/>
  <c r="F7" i="7"/>
  <c r="I7" i="7"/>
  <c r="K7" i="7"/>
  <c r="J7" i="7"/>
  <c r="H25" i="7"/>
  <c r="G25" i="7"/>
  <c r="B50" i="8"/>
  <c r="B49" i="8"/>
  <c r="F25" i="7"/>
  <c r="I25" i="7"/>
  <c r="K25" i="7"/>
  <c r="J25" i="7"/>
  <c r="H59" i="7"/>
  <c r="G59" i="7"/>
  <c r="F59" i="7"/>
  <c r="B118" i="8"/>
  <c r="I59" i="7"/>
  <c r="B117" i="8"/>
  <c r="K59" i="7"/>
  <c r="J59" i="7"/>
  <c r="D2" i="8"/>
  <c r="K2" i="7"/>
  <c r="B4" i="8"/>
  <c r="B3" i="8"/>
  <c r="J2" i="7"/>
  <c r="I2" i="7"/>
  <c r="H2" i="7"/>
  <c r="G2" i="7"/>
  <c r="F2" i="7"/>
  <c r="K16" i="7"/>
  <c r="B32" i="8"/>
  <c r="B31" i="8"/>
  <c r="J16" i="7"/>
  <c r="G16" i="7"/>
  <c r="F16" i="7"/>
  <c r="H16" i="7"/>
  <c r="I16" i="7"/>
  <c r="H37" i="7"/>
  <c r="G37" i="7"/>
  <c r="F37" i="7"/>
  <c r="I37" i="7"/>
  <c r="B73" i="8"/>
  <c r="K37" i="7"/>
  <c r="B74" i="8"/>
  <c r="J37" i="7"/>
  <c r="H9" i="7"/>
  <c r="G9" i="7"/>
  <c r="B18" i="8"/>
  <c r="B17" i="8"/>
  <c r="F9" i="7"/>
  <c r="I9" i="7"/>
  <c r="K9" i="7"/>
  <c r="J9" i="7"/>
  <c r="B96" i="8"/>
  <c r="B95" i="8"/>
  <c r="K48" i="7"/>
  <c r="J48" i="7"/>
  <c r="G48" i="7"/>
  <c r="F48" i="7"/>
  <c r="I48" i="7"/>
  <c r="H48" i="7"/>
  <c r="H5" i="7"/>
  <c r="G5" i="7"/>
  <c r="B10" i="8"/>
  <c r="B9" i="8"/>
  <c r="F5" i="7"/>
  <c r="I5" i="7"/>
  <c r="J5" i="7"/>
  <c r="K5" i="7"/>
  <c r="H47" i="7"/>
  <c r="G47" i="7"/>
  <c r="F47" i="7"/>
  <c r="B94" i="8"/>
  <c r="I47" i="7"/>
  <c r="B93" i="8"/>
  <c r="K47" i="7"/>
  <c r="J47" i="7"/>
  <c r="K26" i="7"/>
  <c r="B52" i="8"/>
  <c r="B51" i="8"/>
  <c r="J26" i="7"/>
  <c r="F26" i="7"/>
  <c r="G26" i="7"/>
  <c r="I26" i="7"/>
  <c r="H26" i="7"/>
  <c r="B104" i="8"/>
  <c r="B103" i="8"/>
  <c r="K52" i="7"/>
  <c r="J52" i="7"/>
  <c r="I52" i="7"/>
  <c r="H52" i="7"/>
  <c r="G52" i="7"/>
  <c r="F52" i="7"/>
  <c r="B71" i="8"/>
  <c r="K36" i="7"/>
  <c r="B72" i="8"/>
  <c r="J36" i="7"/>
  <c r="I36" i="7"/>
  <c r="H36" i="7"/>
  <c r="F36" i="7"/>
  <c r="G36" i="7"/>
  <c r="H11" i="7"/>
  <c r="G11" i="7"/>
  <c r="B22" i="8"/>
  <c r="B21" i="8"/>
  <c r="F11" i="7"/>
  <c r="I11" i="7"/>
  <c r="J11" i="7"/>
  <c r="K11" i="7"/>
  <c r="K28" i="7"/>
  <c r="B56" i="8"/>
  <c r="B55" i="8"/>
  <c r="J28" i="7"/>
  <c r="I28" i="7"/>
  <c r="H28" i="7"/>
  <c r="G28" i="7"/>
  <c r="F28" i="7"/>
  <c r="B112" i="8"/>
  <c r="B111" i="8"/>
  <c r="K56" i="7"/>
  <c r="J56" i="7"/>
  <c r="I56" i="7"/>
  <c r="H56" i="7"/>
  <c r="G56" i="7"/>
  <c r="F56" i="7"/>
  <c r="K34" i="7"/>
  <c r="J34" i="7"/>
  <c r="I34" i="7"/>
  <c r="B67" i="8"/>
  <c r="H34" i="7"/>
  <c r="G34" i="7"/>
  <c r="F34" i="7"/>
  <c r="B68" i="8"/>
  <c r="B89" i="8"/>
  <c r="B90" i="8"/>
  <c r="H45" i="7"/>
  <c r="G45" i="7"/>
  <c r="F45" i="7"/>
  <c r="I45" i="7"/>
  <c r="K45" i="7"/>
  <c r="J45" i="7"/>
  <c r="K40" i="7"/>
  <c r="J40" i="7"/>
  <c r="B80" i="8"/>
  <c r="I40" i="7"/>
  <c r="H40" i="7"/>
  <c r="G40" i="7"/>
  <c r="B79" i="8"/>
  <c r="F40" i="7"/>
  <c r="H33" i="7"/>
  <c r="G33" i="7"/>
  <c r="F33" i="7"/>
  <c r="I33" i="7"/>
  <c r="B65" i="8"/>
  <c r="J33" i="7"/>
  <c r="B66" i="8"/>
  <c r="K33" i="7"/>
  <c r="B115" i="8"/>
  <c r="K58" i="7"/>
  <c r="J58" i="7"/>
  <c r="F58" i="7"/>
  <c r="B116" i="8"/>
  <c r="I58" i="7"/>
  <c r="H58" i="7"/>
  <c r="G58" i="7"/>
  <c r="K30" i="7"/>
  <c r="J30" i="7"/>
  <c r="B59" i="8"/>
  <c r="I30" i="7"/>
  <c r="H30" i="7"/>
  <c r="G30" i="7"/>
  <c r="B60" i="8"/>
  <c r="F30" i="7"/>
  <c r="H51" i="7"/>
  <c r="G51" i="7"/>
  <c r="F51" i="7"/>
  <c r="B102" i="8"/>
  <c r="I51" i="7"/>
  <c r="K51" i="7"/>
  <c r="J51" i="7"/>
  <c r="B101" i="8"/>
  <c r="K24" i="7"/>
  <c r="B48" i="8"/>
  <c r="B47" i="8"/>
  <c r="J24" i="7"/>
  <c r="H24" i="7"/>
  <c r="I24" i="7"/>
  <c r="F24" i="7"/>
  <c r="G24" i="7"/>
  <c r="B120" i="8"/>
  <c r="B119" i="8"/>
  <c r="K60" i="7"/>
  <c r="J60" i="7"/>
  <c r="I60" i="7"/>
  <c r="H60" i="7"/>
  <c r="G60" i="7"/>
  <c r="F60" i="7"/>
  <c r="G60" i="8" l="1"/>
  <c r="H60" i="8"/>
  <c r="F60" i="8"/>
  <c r="E60" i="8"/>
  <c r="D60" i="8"/>
  <c r="C60" i="8"/>
  <c r="BJ48" i="9" s="1"/>
  <c r="CC31" i="9"/>
  <c r="CC19" i="9"/>
  <c r="G79" i="8"/>
  <c r="F79" i="8"/>
  <c r="E79" i="8"/>
  <c r="CC5" i="9"/>
  <c r="H79" i="8"/>
  <c r="D79" i="8"/>
  <c r="CC35" i="9" s="1"/>
  <c r="C79" i="8"/>
  <c r="CC4" i="9" s="1"/>
  <c r="BX32" i="9"/>
  <c r="BX22" i="9"/>
  <c r="BX21" i="9"/>
  <c r="G74" i="8"/>
  <c r="H74" i="8"/>
  <c r="F74" i="8"/>
  <c r="E74" i="8"/>
  <c r="D74" i="8"/>
  <c r="BX41" i="9" s="1"/>
  <c r="C74" i="8"/>
  <c r="G77" i="8"/>
  <c r="F77" i="8"/>
  <c r="E77" i="8"/>
  <c r="H77" i="8"/>
  <c r="D77" i="8"/>
  <c r="C77" i="8"/>
  <c r="CA44" i="9" s="1"/>
  <c r="BH37" i="9"/>
  <c r="BH32" i="9"/>
  <c r="BH36" i="9"/>
  <c r="BH20" i="9"/>
  <c r="BH5" i="9"/>
  <c r="BH26" i="9"/>
  <c r="G58" i="8"/>
  <c r="BH16" i="9"/>
  <c r="F58" i="8"/>
  <c r="E58" i="8"/>
  <c r="D58" i="8"/>
  <c r="BH35" i="9" s="1"/>
  <c r="H58" i="8"/>
  <c r="BH6" i="9"/>
  <c r="C58" i="8"/>
  <c r="BH25" i="9" s="1"/>
  <c r="DG48" i="9"/>
  <c r="DG49" i="9"/>
  <c r="DG47" i="9"/>
  <c r="DG45" i="9"/>
  <c r="DG36" i="9"/>
  <c r="DG37" i="9"/>
  <c r="DG31" i="9"/>
  <c r="DG34" i="9"/>
  <c r="DG30" i="9"/>
  <c r="DG21" i="9"/>
  <c r="DG18" i="9"/>
  <c r="DG16" i="9"/>
  <c r="DG12" i="9"/>
  <c r="DG14" i="9"/>
  <c r="H109" i="8"/>
  <c r="DG20" i="9"/>
  <c r="DG10" i="9"/>
  <c r="DG2" i="9"/>
  <c r="G109" i="8"/>
  <c r="F109" i="8"/>
  <c r="DG15" i="9"/>
  <c r="E109" i="8"/>
  <c r="DG11" i="9"/>
  <c r="DG17" i="9"/>
  <c r="DG7" i="9"/>
  <c r="D109" i="8"/>
  <c r="DG44" i="9" s="1"/>
  <c r="C109" i="8"/>
  <c r="DG13" i="9"/>
  <c r="DF49" i="9"/>
  <c r="DF45" i="9"/>
  <c r="DF46" i="9"/>
  <c r="DF47" i="9"/>
  <c r="DF41" i="9"/>
  <c r="DF33" i="9"/>
  <c r="DF31" i="9"/>
  <c r="DF29" i="9"/>
  <c r="DF38" i="9"/>
  <c r="DF42" i="9"/>
  <c r="DF16" i="9"/>
  <c r="DF21" i="9"/>
  <c r="DF27" i="9"/>
  <c r="DF18" i="9"/>
  <c r="DF17" i="9"/>
  <c r="DF15" i="9"/>
  <c r="DF7" i="9"/>
  <c r="DF4" i="9"/>
  <c r="DF28" i="9"/>
  <c r="DF9" i="9"/>
  <c r="H108" i="8"/>
  <c r="DF13" i="9"/>
  <c r="DF5" i="9"/>
  <c r="DF11" i="9"/>
  <c r="F108" i="8"/>
  <c r="DF8" i="9"/>
  <c r="E108" i="8"/>
  <c r="DF2" i="9"/>
  <c r="D108" i="8"/>
  <c r="DF36" i="9" s="1"/>
  <c r="DF19" i="9"/>
  <c r="DF25" i="9"/>
  <c r="DF14" i="9"/>
  <c r="G108" i="8"/>
  <c r="DF20" i="9"/>
  <c r="DF3" i="9"/>
  <c r="DF10" i="9"/>
  <c r="C108" i="8"/>
  <c r="DF24" i="9" s="1"/>
  <c r="DF6" i="9"/>
  <c r="CI43" i="9"/>
  <c r="CI45" i="9"/>
  <c r="H85" i="8"/>
  <c r="G85" i="8"/>
  <c r="F85" i="8"/>
  <c r="E85" i="8"/>
  <c r="D85" i="8"/>
  <c r="CI27" i="9" s="1"/>
  <c r="C85" i="8"/>
  <c r="CP45" i="9"/>
  <c r="H92" i="8"/>
  <c r="F92" i="8"/>
  <c r="E92" i="8"/>
  <c r="D92" i="8"/>
  <c r="G92" i="8"/>
  <c r="C92" i="8"/>
  <c r="CE40" i="9"/>
  <c r="CE30" i="9"/>
  <c r="CE8" i="9"/>
  <c r="CE13" i="9"/>
  <c r="G81" i="8"/>
  <c r="F81" i="8"/>
  <c r="CE3" i="9"/>
  <c r="E81" i="8"/>
  <c r="H81" i="8"/>
  <c r="D81" i="8"/>
  <c r="CE38" i="9" s="1"/>
  <c r="C81" i="8"/>
  <c r="CE32" i="9" s="1"/>
  <c r="BP39" i="9"/>
  <c r="G66" i="8"/>
  <c r="F66" i="8"/>
  <c r="E66" i="8"/>
  <c r="D66" i="8"/>
  <c r="BP10" i="9" s="1"/>
  <c r="H66" i="8"/>
  <c r="C66" i="8"/>
  <c r="BG39" i="9"/>
  <c r="G57" i="8"/>
  <c r="E57" i="8"/>
  <c r="D57" i="8"/>
  <c r="BG40" i="9" s="1"/>
  <c r="C57" i="8"/>
  <c r="F57" i="8"/>
  <c r="H57" i="8"/>
  <c r="CG41" i="9"/>
  <c r="CG42" i="9"/>
  <c r="CG26" i="9"/>
  <c r="CG31" i="9"/>
  <c r="CG2" i="9"/>
  <c r="CG23" i="9"/>
  <c r="G83" i="8"/>
  <c r="F83" i="8"/>
  <c r="CG13" i="9"/>
  <c r="E83" i="8"/>
  <c r="H83" i="8"/>
  <c r="D83" i="8"/>
  <c r="CG47" i="9" s="1"/>
  <c r="C83" i="8"/>
  <c r="CG14" i="9"/>
  <c r="CG5" i="9"/>
  <c r="BS36" i="9"/>
  <c r="BS33" i="9"/>
  <c r="BS47" i="9"/>
  <c r="BS41" i="9"/>
  <c r="BS31" i="9"/>
  <c r="BS43" i="9"/>
  <c r="BS21" i="9"/>
  <c r="BS18" i="9"/>
  <c r="BS25" i="9"/>
  <c r="BS16" i="9"/>
  <c r="BS27" i="9"/>
  <c r="BS10" i="9"/>
  <c r="G69" i="8"/>
  <c r="BS8" i="9"/>
  <c r="H69" i="8"/>
  <c r="BS11" i="9"/>
  <c r="BS5" i="9"/>
  <c r="D69" i="8"/>
  <c r="BS44" i="9" s="1"/>
  <c r="C69" i="8"/>
  <c r="F69" i="8"/>
  <c r="E69" i="8"/>
  <c r="BO2" i="9"/>
  <c r="G65" i="8"/>
  <c r="E65" i="8"/>
  <c r="D65" i="8"/>
  <c r="BO22" i="9" s="1"/>
  <c r="C65" i="8"/>
  <c r="F65" i="8"/>
  <c r="H65" i="8"/>
  <c r="S27" i="9"/>
  <c r="S24" i="9"/>
  <c r="D17" i="8"/>
  <c r="S19" i="9" s="1"/>
  <c r="C17" i="8"/>
  <c r="S42" i="9" s="1"/>
  <c r="E17" i="8"/>
  <c r="H17" i="8"/>
  <c r="G17" i="8"/>
  <c r="F17" i="8"/>
  <c r="G61" i="8"/>
  <c r="H61" i="8"/>
  <c r="D61" i="8"/>
  <c r="C61" i="8"/>
  <c r="BK19" i="9" s="1"/>
  <c r="F61" i="8"/>
  <c r="E61" i="8"/>
  <c r="BI49" i="9"/>
  <c r="BI45" i="9"/>
  <c r="BI48" i="9"/>
  <c r="BI41" i="9"/>
  <c r="BI44" i="9"/>
  <c r="BI32" i="9"/>
  <c r="BI33" i="9"/>
  <c r="BI29" i="9"/>
  <c r="BI26" i="9"/>
  <c r="BI35" i="9"/>
  <c r="BI38" i="9"/>
  <c r="BI16" i="9"/>
  <c r="BI21" i="9"/>
  <c r="BI10" i="9"/>
  <c r="BI2" i="9"/>
  <c r="BI7" i="9"/>
  <c r="BI18" i="9"/>
  <c r="BI22" i="9"/>
  <c r="BI8" i="9"/>
  <c r="BI14" i="9"/>
  <c r="G59" i="8"/>
  <c r="H59" i="8"/>
  <c r="F59" i="8"/>
  <c r="E59" i="8"/>
  <c r="BI13" i="9"/>
  <c r="BI3" i="9"/>
  <c r="D59" i="8"/>
  <c r="BI47" i="9" s="1"/>
  <c r="C59" i="8"/>
  <c r="BI39" i="9" s="1"/>
  <c r="BI9" i="9"/>
  <c r="D55" i="8"/>
  <c r="C55" i="8"/>
  <c r="BE40" i="9" s="1"/>
  <c r="E55" i="8"/>
  <c r="H55" i="8"/>
  <c r="G55" i="8"/>
  <c r="F55" i="8"/>
  <c r="BA29" i="9"/>
  <c r="BA26" i="9"/>
  <c r="BA30" i="9"/>
  <c r="BA17" i="9"/>
  <c r="BA6" i="9"/>
  <c r="D51" i="8"/>
  <c r="C51" i="8"/>
  <c r="BA49" i="9" s="1"/>
  <c r="E51" i="8"/>
  <c r="H51" i="8"/>
  <c r="G51" i="8"/>
  <c r="F51" i="8"/>
  <c r="L37" i="9"/>
  <c r="L40" i="9"/>
  <c r="L23" i="9"/>
  <c r="L26" i="9"/>
  <c r="L28" i="9"/>
  <c r="L4" i="9"/>
  <c r="D10" i="8"/>
  <c r="L49" i="9" s="1"/>
  <c r="C10" i="8"/>
  <c r="E10" i="8"/>
  <c r="H10" i="8"/>
  <c r="G10" i="8"/>
  <c r="F10" i="8"/>
  <c r="D18" i="8"/>
  <c r="C18" i="8"/>
  <c r="E18" i="8"/>
  <c r="H18" i="8"/>
  <c r="F18" i="8"/>
  <c r="G18" i="8"/>
  <c r="D31" i="8"/>
  <c r="C31" i="8"/>
  <c r="AG32" i="9" s="1"/>
  <c r="E31" i="8"/>
  <c r="H31" i="8"/>
  <c r="G31" i="8"/>
  <c r="F31" i="8"/>
  <c r="E45" i="9"/>
  <c r="E48" i="9"/>
  <c r="E43" i="9"/>
  <c r="E44" i="9"/>
  <c r="E39" i="9"/>
  <c r="E37" i="9"/>
  <c r="E38" i="9"/>
  <c r="E29" i="9"/>
  <c r="E26" i="9"/>
  <c r="E27" i="9"/>
  <c r="E30" i="9"/>
  <c r="E10" i="9"/>
  <c r="E31" i="9"/>
  <c r="E12" i="9"/>
  <c r="E4" i="9"/>
  <c r="E18" i="9"/>
  <c r="E17" i="9"/>
  <c r="E13" i="9"/>
  <c r="E9" i="9"/>
  <c r="E5" i="9"/>
  <c r="D3" i="8"/>
  <c r="E36" i="9" s="1"/>
  <c r="C3" i="8"/>
  <c r="E20" i="9" s="1"/>
  <c r="E11" i="9"/>
  <c r="E3" i="8"/>
  <c r="H3" i="8"/>
  <c r="G3" i="8"/>
  <c r="F3" i="8"/>
  <c r="DP46" i="9"/>
  <c r="DP39" i="9"/>
  <c r="DP32" i="9"/>
  <c r="DP19" i="9"/>
  <c r="DP14" i="9"/>
  <c r="DP6" i="9"/>
  <c r="H118" i="8"/>
  <c r="G118" i="8"/>
  <c r="DP4" i="9"/>
  <c r="F118" i="8"/>
  <c r="DP21" i="9"/>
  <c r="DP27" i="9"/>
  <c r="E118" i="8"/>
  <c r="D118" i="8"/>
  <c r="DP36" i="9" s="1"/>
  <c r="C118" i="8"/>
  <c r="DP31" i="9" s="1"/>
  <c r="DP8" i="9"/>
  <c r="AY9" i="9"/>
  <c r="D49" i="8"/>
  <c r="C49" i="8"/>
  <c r="E49" i="8"/>
  <c r="H49" i="8"/>
  <c r="G49" i="8"/>
  <c r="F49" i="8"/>
  <c r="O33" i="9"/>
  <c r="O18" i="9"/>
  <c r="O9" i="9"/>
  <c r="O11" i="9"/>
  <c r="D13" i="8"/>
  <c r="C13" i="8"/>
  <c r="O34" i="9" s="1"/>
  <c r="O16" i="9"/>
  <c r="E13" i="8"/>
  <c r="H13" i="8"/>
  <c r="G13" i="8"/>
  <c r="F13" i="8"/>
  <c r="BC40" i="9"/>
  <c r="BC29" i="9"/>
  <c r="BC15" i="9"/>
  <c r="D53" i="8"/>
  <c r="C53" i="8"/>
  <c r="E53" i="8"/>
  <c r="H53" i="8"/>
  <c r="G53" i="8"/>
  <c r="BC8" i="9"/>
  <c r="F53" i="8"/>
  <c r="AE36" i="9"/>
  <c r="AE28" i="9"/>
  <c r="D29" i="8"/>
  <c r="C29" i="8"/>
  <c r="E29" i="8"/>
  <c r="H29" i="8"/>
  <c r="AE3" i="9"/>
  <c r="G29" i="8"/>
  <c r="F29" i="8"/>
  <c r="BY20" i="9"/>
  <c r="BY15" i="9"/>
  <c r="BY22" i="9"/>
  <c r="G75" i="8"/>
  <c r="H75" i="8"/>
  <c r="E75" i="8"/>
  <c r="D75" i="8"/>
  <c r="BY38" i="9" s="1"/>
  <c r="C75" i="8"/>
  <c r="F75" i="8"/>
  <c r="CJ23" i="9"/>
  <c r="H86" i="8"/>
  <c r="G86" i="8"/>
  <c r="F86" i="8"/>
  <c r="E86" i="8"/>
  <c r="D86" i="8"/>
  <c r="CJ33" i="9" s="1"/>
  <c r="C86" i="8"/>
  <c r="D25" i="8"/>
  <c r="AA45" i="9" s="1"/>
  <c r="C25" i="8"/>
  <c r="E25" i="8"/>
  <c r="H25" i="8"/>
  <c r="G25" i="8"/>
  <c r="F25" i="8"/>
  <c r="G78" i="8"/>
  <c r="F78" i="8"/>
  <c r="E78" i="8"/>
  <c r="H78" i="8"/>
  <c r="C78" i="8"/>
  <c r="D78" i="8"/>
  <c r="CB30" i="9" s="1"/>
  <c r="D41" i="8"/>
  <c r="C41" i="8"/>
  <c r="E41" i="8"/>
  <c r="H41" i="8"/>
  <c r="G41" i="8"/>
  <c r="F41" i="8"/>
  <c r="D45" i="8"/>
  <c r="C45" i="8"/>
  <c r="AU26" i="9" s="1"/>
  <c r="E45" i="8"/>
  <c r="H45" i="8"/>
  <c r="G45" i="8"/>
  <c r="F45" i="8"/>
  <c r="DH49" i="9"/>
  <c r="DH43" i="9"/>
  <c r="DH45" i="9"/>
  <c r="DH36" i="9"/>
  <c r="DH26" i="9"/>
  <c r="DH24" i="9"/>
  <c r="H110" i="8"/>
  <c r="G110" i="8"/>
  <c r="DH12" i="9"/>
  <c r="F110" i="8"/>
  <c r="DH8" i="9"/>
  <c r="DH10" i="9"/>
  <c r="C110" i="8"/>
  <c r="DH46" i="9" s="1"/>
  <c r="E110" i="8"/>
  <c r="D110" i="8"/>
  <c r="DH39" i="9" s="1"/>
  <c r="CX49" i="9"/>
  <c r="CX41" i="9"/>
  <c r="CX24" i="9"/>
  <c r="H100" i="8"/>
  <c r="F100" i="8"/>
  <c r="E100" i="8"/>
  <c r="D100" i="8"/>
  <c r="CX30" i="9" s="1"/>
  <c r="CX6" i="9"/>
  <c r="G100" i="8"/>
  <c r="C100" i="8"/>
  <c r="AM21" i="9"/>
  <c r="AM18" i="9"/>
  <c r="AM30" i="9"/>
  <c r="AM10" i="9"/>
  <c r="AM17" i="9"/>
  <c r="D37" i="8"/>
  <c r="C37" i="8"/>
  <c r="AM38" i="9" s="1"/>
  <c r="E37" i="8"/>
  <c r="H37" i="8"/>
  <c r="G37" i="8"/>
  <c r="F37" i="8"/>
  <c r="G48" i="9"/>
  <c r="G39" i="9"/>
  <c r="G26" i="9"/>
  <c r="G31" i="9"/>
  <c r="G22" i="9"/>
  <c r="G20" i="9"/>
  <c r="D5" i="8"/>
  <c r="C5" i="8"/>
  <c r="G15" i="9"/>
  <c r="E5" i="8"/>
  <c r="H5" i="8"/>
  <c r="G5" i="8"/>
  <c r="F5" i="8"/>
  <c r="CF41" i="9"/>
  <c r="CF44" i="9"/>
  <c r="CF46" i="9"/>
  <c r="CF38" i="9"/>
  <c r="CF16" i="9"/>
  <c r="CF20" i="9"/>
  <c r="CF23" i="9"/>
  <c r="CF26" i="9"/>
  <c r="CF21" i="9"/>
  <c r="G82" i="8"/>
  <c r="F82" i="8"/>
  <c r="E82" i="8"/>
  <c r="CF18" i="9"/>
  <c r="CF12" i="9"/>
  <c r="H82" i="8"/>
  <c r="CF4" i="9"/>
  <c r="D82" i="8"/>
  <c r="CF25" i="9" s="1"/>
  <c r="C82" i="8"/>
  <c r="D33" i="8"/>
  <c r="AI49" i="9" s="1"/>
  <c r="C33" i="8"/>
  <c r="AI31" i="9" s="1"/>
  <c r="E33" i="8"/>
  <c r="H33" i="8"/>
  <c r="G33" i="8"/>
  <c r="F33" i="8"/>
  <c r="DN38" i="9"/>
  <c r="DN19" i="9"/>
  <c r="H116" i="8"/>
  <c r="F116" i="8"/>
  <c r="E116" i="8"/>
  <c r="D116" i="8"/>
  <c r="G116" i="8"/>
  <c r="DN11" i="9"/>
  <c r="C116" i="8"/>
  <c r="DN5" i="9" s="1"/>
  <c r="H117" i="8"/>
  <c r="G117" i="8"/>
  <c r="F117" i="8"/>
  <c r="E117" i="8"/>
  <c r="D117" i="8"/>
  <c r="C117" i="8"/>
  <c r="BQ40" i="9"/>
  <c r="BQ41" i="9"/>
  <c r="BQ39" i="9"/>
  <c r="BQ46" i="9"/>
  <c r="BQ36" i="9"/>
  <c r="BQ26" i="9"/>
  <c r="BQ31" i="9"/>
  <c r="BQ27" i="9"/>
  <c r="BQ21" i="9"/>
  <c r="BQ33" i="9"/>
  <c r="BQ15" i="9"/>
  <c r="BQ4" i="9"/>
  <c r="BQ20" i="9"/>
  <c r="BQ23" i="9"/>
  <c r="BQ6" i="9"/>
  <c r="G67" i="8"/>
  <c r="H67" i="8"/>
  <c r="F67" i="8"/>
  <c r="BQ14" i="9"/>
  <c r="E67" i="8"/>
  <c r="BQ11" i="9"/>
  <c r="D67" i="8"/>
  <c r="BQ49" i="9" s="1"/>
  <c r="C67" i="8"/>
  <c r="BQ48" i="9" s="1"/>
  <c r="CS44" i="9"/>
  <c r="CS21" i="9"/>
  <c r="CS16" i="9"/>
  <c r="H95" i="8"/>
  <c r="G95" i="8"/>
  <c r="E95" i="8"/>
  <c r="CS13" i="9"/>
  <c r="D95" i="8"/>
  <c r="CS47" i="9" s="1"/>
  <c r="C95" i="8"/>
  <c r="F95" i="8"/>
  <c r="AH49" i="9"/>
  <c r="AH46" i="9"/>
  <c r="AH44" i="9"/>
  <c r="AH37" i="9"/>
  <c r="AH8" i="9"/>
  <c r="AH13" i="9"/>
  <c r="AH12" i="9"/>
  <c r="AH6" i="9"/>
  <c r="D32" i="8"/>
  <c r="AH17" i="9" s="1"/>
  <c r="C32" i="8"/>
  <c r="E32" i="8"/>
  <c r="H32" i="8"/>
  <c r="G32" i="8"/>
  <c r="F32" i="8"/>
  <c r="F49" i="9"/>
  <c r="F48" i="9"/>
  <c r="F33" i="9"/>
  <c r="F29" i="9"/>
  <c r="F24" i="9"/>
  <c r="F30" i="9"/>
  <c r="F27" i="9"/>
  <c r="F23" i="9"/>
  <c r="F28" i="9"/>
  <c r="F17" i="9"/>
  <c r="D4" i="8"/>
  <c r="C4" i="8"/>
  <c r="E4" i="8"/>
  <c r="F2" i="9"/>
  <c r="H4" i="8"/>
  <c r="G4" i="8"/>
  <c r="F4" i="8"/>
  <c r="AZ39" i="9"/>
  <c r="AZ40" i="9"/>
  <c r="AZ38" i="9"/>
  <c r="AZ28" i="9"/>
  <c r="AZ26" i="9"/>
  <c r="AZ18" i="9"/>
  <c r="AZ8" i="9"/>
  <c r="D50" i="8"/>
  <c r="C50" i="8"/>
  <c r="E50" i="8"/>
  <c r="H50" i="8"/>
  <c r="G50" i="8"/>
  <c r="F50" i="8"/>
  <c r="P37" i="9"/>
  <c r="P43" i="9"/>
  <c r="P39" i="9"/>
  <c r="P21" i="9"/>
  <c r="P6" i="9"/>
  <c r="D14" i="8"/>
  <c r="C14" i="8"/>
  <c r="E14" i="8"/>
  <c r="H14" i="8"/>
  <c r="G14" i="8"/>
  <c r="F14" i="8"/>
  <c r="BD45" i="9"/>
  <c r="BD38" i="9"/>
  <c r="BD28" i="9"/>
  <c r="BD18" i="9"/>
  <c r="BD29" i="9"/>
  <c r="BD17" i="9"/>
  <c r="BD3" i="9"/>
  <c r="BD13" i="9"/>
  <c r="D54" i="8"/>
  <c r="C54" i="8"/>
  <c r="BD5" i="9"/>
  <c r="BD12" i="9"/>
  <c r="E54" i="8"/>
  <c r="H54" i="8"/>
  <c r="G54" i="8"/>
  <c r="F54" i="8"/>
  <c r="BD8" i="9"/>
  <c r="AF38" i="9"/>
  <c r="AF35" i="9"/>
  <c r="AF43" i="9"/>
  <c r="AF22" i="9"/>
  <c r="AF19" i="9"/>
  <c r="AF5" i="9"/>
  <c r="D30" i="8"/>
  <c r="C30" i="8"/>
  <c r="AF41" i="9" s="1"/>
  <c r="E30" i="8"/>
  <c r="H30" i="8"/>
  <c r="G30" i="8"/>
  <c r="F30" i="8"/>
  <c r="G64" i="8"/>
  <c r="D64" i="8"/>
  <c r="C64" i="8"/>
  <c r="BN4" i="9" s="1"/>
  <c r="E64" i="8"/>
  <c r="H64" i="8"/>
  <c r="F64" i="8"/>
  <c r="Q45" i="9"/>
  <c r="Q21" i="9"/>
  <c r="Q14" i="9"/>
  <c r="Q8" i="9"/>
  <c r="D15" i="8"/>
  <c r="Q35" i="9" s="1"/>
  <c r="C15" i="8"/>
  <c r="E15" i="8"/>
  <c r="H15" i="8"/>
  <c r="G15" i="8"/>
  <c r="F15" i="8"/>
  <c r="AK32" i="9"/>
  <c r="AK2" i="9"/>
  <c r="AK7" i="9"/>
  <c r="AK5" i="9"/>
  <c r="D35" i="8"/>
  <c r="AK35" i="9" s="1"/>
  <c r="C35" i="8"/>
  <c r="E35" i="8"/>
  <c r="H35" i="8"/>
  <c r="G35" i="8"/>
  <c r="F35" i="8"/>
  <c r="M14" i="9"/>
  <c r="D11" i="8"/>
  <c r="M6" i="9" s="1"/>
  <c r="C11" i="8"/>
  <c r="E11" i="8"/>
  <c r="H11" i="8"/>
  <c r="G11" i="8"/>
  <c r="F11" i="8"/>
  <c r="AB33" i="9"/>
  <c r="AB29" i="9"/>
  <c r="AB42" i="9"/>
  <c r="AB8" i="9"/>
  <c r="AB4" i="9"/>
  <c r="AB16" i="9"/>
  <c r="D26" i="8"/>
  <c r="C26" i="8"/>
  <c r="AB48" i="9" s="1"/>
  <c r="E26" i="8"/>
  <c r="H26" i="8"/>
  <c r="G26" i="8"/>
  <c r="F26" i="8"/>
  <c r="AB9" i="9"/>
  <c r="D27" i="8"/>
  <c r="AC48" i="9" s="1"/>
  <c r="C27" i="8"/>
  <c r="E27" i="8"/>
  <c r="H27" i="8"/>
  <c r="G27" i="8"/>
  <c r="F27" i="8"/>
  <c r="D39" i="8"/>
  <c r="C39" i="8"/>
  <c r="AO28" i="9" s="1"/>
  <c r="E39" i="8"/>
  <c r="H39" i="8"/>
  <c r="G39" i="8"/>
  <c r="F39" i="8"/>
  <c r="I48" i="9"/>
  <c r="I46" i="9"/>
  <c r="I42" i="9"/>
  <c r="I45" i="9"/>
  <c r="I40" i="9"/>
  <c r="I49" i="9"/>
  <c r="I28" i="9"/>
  <c r="I30" i="9"/>
  <c r="I23" i="9"/>
  <c r="I29" i="9"/>
  <c r="I20" i="9"/>
  <c r="I26" i="9"/>
  <c r="I16" i="9"/>
  <c r="I8" i="9"/>
  <c r="I22" i="9"/>
  <c r="I7" i="9"/>
  <c r="I24" i="9"/>
  <c r="I13" i="9"/>
  <c r="D7" i="8"/>
  <c r="C7" i="8"/>
  <c r="I38" i="9" s="1"/>
  <c r="E7" i="8"/>
  <c r="I5" i="9"/>
  <c r="I9" i="9"/>
  <c r="H7" i="8"/>
  <c r="G7" i="8"/>
  <c r="F7" i="8"/>
  <c r="D42" i="8"/>
  <c r="AR45" i="9" s="1"/>
  <c r="C42" i="8"/>
  <c r="E42" i="8"/>
  <c r="H42" i="8"/>
  <c r="G42" i="8"/>
  <c r="F42" i="8"/>
  <c r="D46" i="8"/>
  <c r="C46" i="8"/>
  <c r="E46" i="8"/>
  <c r="H46" i="8"/>
  <c r="G46" i="8"/>
  <c r="F46" i="8"/>
  <c r="CH23" i="9"/>
  <c r="CH24" i="9"/>
  <c r="CH20" i="9"/>
  <c r="G84" i="8"/>
  <c r="F84" i="8"/>
  <c r="E84" i="8"/>
  <c r="H84" i="8"/>
  <c r="CH2" i="9"/>
  <c r="D84" i="8"/>
  <c r="C84" i="8"/>
  <c r="AN16" i="9"/>
  <c r="D38" i="8"/>
  <c r="C38" i="8"/>
  <c r="E38" i="8"/>
  <c r="H38" i="8"/>
  <c r="G38" i="8"/>
  <c r="F38" i="8"/>
  <c r="H47" i="9"/>
  <c r="H42" i="9"/>
  <c r="H35" i="9"/>
  <c r="H36" i="9"/>
  <c r="H32" i="9"/>
  <c r="H49" i="9"/>
  <c r="H30" i="9"/>
  <c r="H3" i="9"/>
  <c r="H27" i="9"/>
  <c r="H15" i="9"/>
  <c r="H4" i="9"/>
  <c r="H22" i="9"/>
  <c r="D6" i="8"/>
  <c r="C6" i="8"/>
  <c r="H34" i="9" s="1"/>
  <c r="E6" i="8"/>
  <c r="H2" i="9"/>
  <c r="H6" i="8"/>
  <c r="G6" i="8"/>
  <c r="F6" i="8"/>
  <c r="D43" i="8"/>
  <c r="C43" i="8"/>
  <c r="E43" i="8"/>
  <c r="H43" i="8"/>
  <c r="G43" i="8"/>
  <c r="F43" i="8"/>
  <c r="U34" i="9"/>
  <c r="D19" i="8"/>
  <c r="C19" i="8"/>
  <c r="E19" i="8"/>
  <c r="H19" i="8"/>
  <c r="G19" i="8"/>
  <c r="F19" i="8"/>
  <c r="Y48" i="9"/>
  <c r="Y46" i="9"/>
  <c r="Y43" i="9"/>
  <c r="Y49" i="9"/>
  <c r="Y33" i="9"/>
  <c r="Y39" i="9"/>
  <c r="Y25" i="9"/>
  <c r="Y34" i="9"/>
  <c r="Y29" i="9"/>
  <c r="Y20" i="9"/>
  <c r="Y26" i="9"/>
  <c r="Y17" i="9"/>
  <c r="Y21" i="9"/>
  <c r="Y24" i="9"/>
  <c r="Y27" i="9"/>
  <c r="Y10" i="9"/>
  <c r="Y7" i="9"/>
  <c r="Y19" i="9"/>
  <c r="Y13" i="9"/>
  <c r="D23" i="8"/>
  <c r="C23" i="8"/>
  <c r="Y18" i="9"/>
  <c r="Y15" i="9"/>
  <c r="E23" i="8"/>
  <c r="H23" i="8"/>
  <c r="G23" i="8"/>
  <c r="F23" i="8"/>
  <c r="D34" i="8"/>
  <c r="C34" i="8"/>
  <c r="E34" i="8"/>
  <c r="H34" i="8"/>
  <c r="G34" i="8"/>
  <c r="F34" i="8"/>
  <c r="K40" i="9"/>
  <c r="K14" i="9"/>
  <c r="K7" i="9"/>
  <c r="D9" i="8"/>
  <c r="C9" i="8"/>
  <c r="E9" i="8"/>
  <c r="H9" i="8"/>
  <c r="G9" i="8"/>
  <c r="F9" i="8"/>
  <c r="AW48" i="9"/>
  <c r="AW28" i="9"/>
  <c r="D47" i="8"/>
  <c r="C47" i="8"/>
  <c r="E47" i="8"/>
  <c r="H47" i="8"/>
  <c r="G47" i="8"/>
  <c r="F47" i="8"/>
  <c r="BV44" i="9"/>
  <c r="BV30" i="9"/>
  <c r="G72" i="8"/>
  <c r="D72" i="8"/>
  <c r="C72" i="8"/>
  <c r="E72" i="8"/>
  <c r="H72" i="8"/>
  <c r="F72" i="8"/>
  <c r="DQ40" i="9"/>
  <c r="H119" i="8"/>
  <c r="G119" i="8"/>
  <c r="E119" i="8"/>
  <c r="D119" i="8"/>
  <c r="C119" i="8"/>
  <c r="F119" i="8"/>
  <c r="CN25" i="9"/>
  <c r="H90" i="8"/>
  <c r="D90" i="8"/>
  <c r="C90" i="8"/>
  <c r="E90" i="8"/>
  <c r="G90" i="8"/>
  <c r="F90" i="8"/>
  <c r="H111" i="8"/>
  <c r="G111" i="8"/>
  <c r="E111" i="8"/>
  <c r="D111" i="8"/>
  <c r="C111" i="8"/>
  <c r="F111" i="8"/>
  <c r="BF46" i="9"/>
  <c r="BF44" i="9"/>
  <c r="BF42" i="9"/>
  <c r="BF40" i="9"/>
  <c r="BF25" i="9"/>
  <c r="BF34" i="9"/>
  <c r="BF30" i="9"/>
  <c r="BF3" i="9"/>
  <c r="BF16" i="9"/>
  <c r="BF8" i="9"/>
  <c r="BF13" i="9"/>
  <c r="G56" i="8"/>
  <c r="BF4" i="9"/>
  <c r="BF14" i="9"/>
  <c r="D56" i="8"/>
  <c r="C56" i="8"/>
  <c r="BF12" i="9"/>
  <c r="E56" i="8"/>
  <c r="H56" i="8"/>
  <c r="F56" i="8"/>
  <c r="DA25" i="9"/>
  <c r="DA23" i="9"/>
  <c r="H103" i="8"/>
  <c r="DA10" i="9"/>
  <c r="G103" i="8"/>
  <c r="E103" i="8"/>
  <c r="D103" i="8"/>
  <c r="C103" i="8"/>
  <c r="F103" i="8"/>
  <c r="BB36" i="9"/>
  <c r="BB34" i="9"/>
  <c r="BB23" i="9"/>
  <c r="BB7" i="9"/>
  <c r="D52" i="8"/>
  <c r="C52" i="8"/>
  <c r="BB11" i="9"/>
  <c r="BB14" i="9"/>
  <c r="E52" i="8"/>
  <c r="H52" i="8"/>
  <c r="G52" i="8"/>
  <c r="F52" i="8"/>
  <c r="H89" i="8"/>
  <c r="C89" i="8"/>
  <c r="CM38" i="9" s="1"/>
  <c r="D89" i="8"/>
  <c r="CM25" i="9" s="1"/>
  <c r="E89" i="8"/>
  <c r="F89" i="8"/>
  <c r="G89" i="8"/>
  <c r="G71" i="8"/>
  <c r="C71" i="8"/>
  <c r="D71" i="8"/>
  <c r="H71" i="8"/>
  <c r="F71" i="8"/>
  <c r="E71" i="8"/>
  <c r="H104" i="8"/>
  <c r="DB4" i="9"/>
  <c r="C104" i="8"/>
  <c r="DB34" i="9" s="1"/>
  <c r="G104" i="8"/>
  <c r="F104" i="8"/>
  <c r="E104" i="8"/>
  <c r="D104" i="8"/>
  <c r="DB25" i="9" s="1"/>
  <c r="H96" i="8"/>
  <c r="C96" i="8"/>
  <c r="G96" i="8"/>
  <c r="F96" i="8"/>
  <c r="E96" i="8"/>
  <c r="D96" i="8"/>
  <c r="CT26" i="9" s="1"/>
  <c r="D16" i="8"/>
  <c r="C16" i="8"/>
  <c r="E16" i="8"/>
  <c r="F16" i="8"/>
  <c r="H16" i="8"/>
  <c r="G16" i="8"/>
  <c r="AL49" i="9"/>
  <c r="AL48" i="9"/>
  <c r="AL47" i="9"/>
  <c r="AL44" i="9"/>
  <c r="AL39" i="9"/>
  <c r="AL42" i="9"/>
  <c r="AL41" i="9"/>
  <c r="AL37" i="9"/>
  <c r="AL29" i="9"/>
  <c r="AL26" i="9"/>
  <c r="AL30" i="9"/>
  <c r="AL27" i="9"/>
  <c r="AL22" i="9"/>
  <c r="AL12" i="9"/>
  <c r="AL4" i="9"/>
  <c r="AL17" i="9"/>
  <c r="AL3" i="9"/>
  <c r="AL16" i="9"/>
  <c r="AL10" i="9"/>
  <c r="AL6" i="9"/>
  <c r="D36" i="8"/>
  <c r="AL45" i="9" s="1"/>
  <c r="C36" i="8"/>
  <c r="E36" i="8"/>
  <c r="AL8" i="9"/>
  <c r="H36" i="8"/>
  <c r="G36" i="8"/>
  <c r="AL11" i="9"/>
  <c r="F36" i="8"/>
  <c r="D12" i="8"/>
  <c r="C12" i="8"/>
  <c r="N46" i="9" s="1"/>
  <c r="E12" i="8"/>
  <c r="H12" i="8"/>
  <c r="G12" i="8"/>
  <c r="F12" i="8"/>
  <c r="D28" i="8"/>
  <c r="AD37" i="9" s="1"/>
  <c r="C28" i="8"/>
  <c r="E28" i="8"/>
  <c r="H28" i="8"/>
  <c r="G28" i="8"/>
  <c r="F28" i="8"/>
  <c r="D40" i="8"/>
  <c r="AP35" i="9" s="1"/>
  <c r="C40" i="8"/>
  <c r="E40" i="8"/>
  <c r="H40" i="8"/>
  <c r="G40" i="8"/>
  <c r="F40" i="8"/>
  <c r="J47" i="9"/>
  <c r="J13" i="9"/>
  <c r="D8" i="8"/>
  <c r="J49" i="9" s="1"/>
  <c r="C8" i="8"/>
  <c r="E8" i="8"/>
  <c r="H8" i="8"/>
  <c r="G8" i="8"/>
  <c r="F8" i="8"/>
  <c r="DD37" i="9"/>
  <c r="DD20" i="9"/>
  <c r="DD15" i="9"/>
  <c r="H106" i="8"/>
  <c r="D106" i="8"/>
  <c r="C106" i="8"/>
  <c r="E106" i="8"/>
  <c r="G106" i="8"/>
  <c r="F106" i="8"/>
  <c r="DL48" i="9"/>
  <c r="DL41" i="9"/>
  <c r="DL7" i="9"/>
  <c r="H114" i="8"/>
  <c r="D114" i="8"/>
  <c r="DL40" i="9" s="1"/>
  <c r="C114" i="8"/>
  <c r="E114" i="8"/>
  <c r="G114" i="8"/>
  <c r="F114" i="8"/>
  <c r="H98" i="8"/>
  <c r="D98" i="8"/>
  <c r="C98" i="8"/>
  <c r="E98" i="8"/>
  <c r="G98" i="8"/>
  <c r="F98" i="8"/>
  <c r="CK43" i="9"/>
  <c r="CK39" i="9"/>
  <c r="CK41" i="9"/>
  <c r="H87" i="8"/>
  <c r="CK7" i="9"/>
  <c r="G87" i="8"/>
  <c r="E87" i="8"/>
  <c r="D87" i="8"/>
  <c r="C87" i="8"/>
  <c r="F87" i="8"/>
  <c r="AT43" i="9"/>
  <c r="AT11" i="9"/>
  <c r="D44" i="8"/>
  <c r="C44" i="8"/>
  <c r="AT37" i="9" s="1"/>
  <c r="E44" i="8"/>
  <c r="H44" i="8"/>
  <c r="G44" i="8"/>
  <c r="F44" i="8"/>
  <c r="V36" i="9"/>
  <c r="V33" i="9"/>
  <c r="V21" i="9"/>
  <c r="V18" i="9"/>
  <c r="V19" i="9"/>
  <c r="V12" i="9"/>
  <c r="V16" i="9"/>
  <c r="D20" i="8"/>
  <c r="C20" i="8"/>
  <c r="V43" i="9" s="1"/>
  <c r="V17" i="9"/>
  <c r="V11" i="9"/>
  <c r="E20" i="8"/>
  <c r="H20" i="8"/>
  <c r="G20" i="8"/>
  <c r="F20" i="8"/>
  <c r="DS43" i="9"/>
  <c r="DS23" i="9"/>
  <c r="DS10" i="9"/>
  <c r="H121" i="8"/>
  <c r="C121" i="8"/>
  <c r="D121" i="8"/>
  <c r="DS46" i="9" s="1"/>
  <c r="E121" i="8"/>
  <c r="DS12" i="9"/>
  <c r="F121" i="8"/>
  <c r="G121" i="8"/>
  <c r="Z30" i="9"/>
  <c r="D24" i="8"/>
  <c r="C24" i="8"/>
  <c r="Z31" i="9" s="1"/>
  <c r="E24" i="8"/>
  <c r="H24" i="8"/>
  <c r="G24" i="8"/>
  <c r="F24" i="8"/>
  <c r="CQ40" i="9"/>
  <c r="CQ38" i="9"/>
  <c r="CQ29" i="9"/>
  <c r="CQ12" i="9"/>
  <c r="H93" i="8"/>
  <c r="CQ22" i="9"/>
  <c r="CQ20" i="9"/>
  <c r="G93" i="8"/>
  <c r="F93" i="8"/>
  <c r="E93" i="8"/>
  <c r="D93" i="8"/>
  <c r="C93" i="8"/>
  <c r="CQ44" i="9" s="1"/>
  <c r="CQ13" i="9"/>
  <c r="G73" i="8"/>
  <c r="H73" i="8"/>
  <c r="E73" i="8"/>
  <c r="D73" i="8"/>
  <c r="BW5" i="9" s="1"/>
  <c r="C73" i="8"/>
  <c r="BW31" i="9" s="1"/>
  <c r="F73" i="8"/>
  <c r="CZ35" i="9"/>
  <c r="H102" i="8"/>
  <c r="CZ10" i="9"/>
  <c r="G102" i="8"/>
  <c r="F102" i="8"/>
  <c r="E102" i="8"/>
  <c r="D102" i="8"/>
  <c r="C102" i="8"/>
  <c r="D21" i="8"/>
  <c r="C21" i="8"/>
  <c r="E21" i="8"/>
  <c r="H21" i="8"/>
  <c r="G21" i="8"/>
  <c r="F21" i="8"/>
  <c r="H94" i="8"/>
  <c r="CR19" i="9"/>
  <c r="G94" i="8"/>
  <c r="F94" i="8"/>
  <c r="C94" i="8"/>
  <c r="CR22" i="9" s="1"/>
  <c r="E94" i="8"/>
  <c r="D94" i="8"/>
  <c r="CD42" i="9"/>
  <c r="CD35" i="9"/>
  <c r="CD39" i="9"/>
  <c r="CD11" i="9"/>
  <c r="CD16" i="9"/>
  <c r="CD15" i="9"/>
  <c r="G80" i="8"/>
  <c r="F80" i="8"/>
  <c r="E80" i="8"/>
  <c r="H80" i="8"/>
  <c r="CD14" i="9"/>
  <c r="D80" i="8"/>
  <c r="CD30" i="9" s="1"/>
  <c r="C80" i="8"/>
  <c r="X48" i="9"/>
  <c r="X45" i="9"/>
  <c r="X33" i="9"/>
  <c r="X36" i="9"/>
  <c r="X32" i="9"/>
  <c r="X41" i="9"/>
  <c r="X20" i="9"/>
  <c r="X17" i="9"/>
  <c r="X11" i="9"/>
  <c r="X21" i="9"/>
  <c r="X4" i="9"/>
  <c r="X16" i="9"/>
  <c r="D22" i="8"/>
  <c r="X35" i="9" s="1"/>
  <c r="C22" i="8"/>
  <c r="X5" i="9"/>
  <c r="E22" i="8"/>
  <c r="H22" i="8"/>
  <c r="X8" i="9"/>
  <c r="G22" i="8"/>
  <c r="F22" i="8"/>
  <c r="AX45" i="9"/>
  <c r="AX18" i="9"/>
  <c r="AX6" i="9"/>
  <c r="D48" i="8"/>
  <c r="AX42" i="9" s="1"/>
  <c r="C48" i="8"/>
  <c r="E48" i="8"/>
  <c r="H48" i="8"/>
  <c r="G48" i="8"/>
  <c r="F48" i="8"/>
  <c r="H120" i="8"/>
  <c r="C120" i="8"/>
  <c r="G120" i="8"/>
  <c r="F120" i="8"/>
  <c r="E120" i="8"/>
  <c r="D120" i="8"/>
  <c r="DR41" i="9" s="1"/>
  <c r="H115" i="8"/>
  <c r="E115" i="8"/>
  <c r="D115" i="8"/>
  <c r="C115" i="8"/>
  <c r="F115" i="8"/>
  <c r="G115" i="8"/>
  <c r="DJ49" i="9"/>
  <c r="DJ45" i="9"/>
  <c r="DJ27" i="9"/>
  <c r="DJ34" i="9"/>
  <c r="DJ8" i="9"/>
  <c r="H112" i="8"/>
  <c r="DJ15" i="9"/>
  <c r="DJ12" i="9"/>
  <c r="C112" i="8"/>
  <c r="G112" i="8"/>
  <c r="F112" i="8"/>
  <c r="E112" i="8"/>
  <c r="D112" i="8"/>
  <c r="DJ43" i="9" s="1"/>
  <c r="CY44" i="9"/>
  <c r="CY39" i="9"/>
  <c r="CY6" i="9"/>
  <c r="H101" i="8"/>
  <c r="G101" i="8"/>
  <c r="F101" i="8"/>
  <c r="E101" i="8"/>
  <c r="D101" i="8"/>
  <c r="CY45" i="9" s="1"/>
  <c r="C101" i="8"/>
  <c r="CY33" i="9" s="1"/>
  <c r="CY15" i="9"/>
  <c r="BR22" i="9"/>
  <c r="G68" i="8"/>
  <c r="H68" i="8"/>
  <c r="F68" i="8"/>
  <c r="E68" i="8"/>
  <c r="D68" i="8"/>
  <c r="C68" i="8"/>
  <c r="BR40" i="9" s="1"/>
  <c r="D14" i="9"/>
  <c r="D4" i="9"/>
  <c r="G2" i="8"/>
  <c r="D8" i="9"/>
  <c r="D37" i="9"/>
  <c r="D35" i="9"/>
  <c r="D28" i="9"/>
  <c r="D2" i="9"/>
  <c r="D3" i="9"/>
  <c r="D27" i="9"/>
  <c r="D9" i="9"/>
  <c r="D24" i="9"/>
  <c r="D48" i="9"/>
  <c r="D40" i="9"/>
  <c r="D31" i="9"/>
  <c r="D49" i="9"/>
  <c r="D42" i="9"/>
  <c r="D19" i="9"/>
  <c r="D26" i="9"/>
  <c r="D39" i="9"/>
  <c r="D18" i="9"/>
  <c r="D44" i="9"/>
  <c r="D16" i="9"/>
  <c r="D30" i="9"/>
  <c r="D17" i="9"/>
  <c r="D45" i="9"/>
  <c r="D34" i="9"/>
  <c r="D36" i="9"/>
  <c r="D25" i="9"/>
  <c r="D15" i="9"/>
  <c r="D6" i="9"/>
  <c r="D33" i="9"/>
  <c r="D29" i="9"/>
  <c r="D13" i="9"/>
  <c r="D38" i="9"/>
  <c r="D20" i="9"/>
  <c r="D21" i="9"/>
  <c r="D5" i="9"/>
  <c r="D46" i="9"/>
  <c r="D32" i="9"/>
  <c r="D22" i="9"/>
  <c r="D10" i="9"/>
  <c r="D11" i="9"/>
  <c r="D47" i="9"/>
  <c r="D7" i="9"/>
  <c r="D23" i="9"/>
  <c r="D41" i="9"/>
  <c r="D12" i="9"/>
  <c r="D43" i="9"/>
  <c r="BZ29" i="9"/>
  <c r="G76" i="8"/>
  <c r="H76" i="8"/>
  <c r="C76" i="8"/>
  <c r="D76" i="8"/>
  <c r="BZ47" i="9" s="1"/>
  <c r="F76" i="8"/>
  <c r="E76" i="8"/>
  <c r="BM17" i="9"/>
  <c r="G63" i="8"/>
  <c r="C63" i="8"/>
  <c r="D63" i="8"/>
  <c r="BM7" i="9"/>
  <c r="H63" i="8"/>
  <c r="F63" i="8"/>
  <c r="E63" i="8"/>
  <c r="BL46" i="9"/>
  <c r="BL19" i="9"/>
  <c r="G62" i="8"/>
  <c r="C62" i="8"/>
  <c r="H62" i="8"/>
  <c r="F62" i="8"/>
  <c r="E62" i="8"/>
  <c r="D62" i="8"/>
  <c r="BL49" i="9" s="1"/>
  <c r="H91" i="8"/>
  <c r="E91" i="8"/>
  <c r="D91" i="8"/>
  <c r="CO10" i="9" s="1"/>
  <c r="C91" i="8"/>
  <c r="F91" i="8"/>
  <c r="G91" i="8"/>
  <c r="DC41" i="9"/>
  <c r="DC42" i="9"/>
  <c r="H105" i="8"/>
  <c r="DC21" i="9"/>
  <c r="DC18" i="9"/>
  <c r="C105" i="8"/>
  <c r="DC40" i="9" s="1"/>
  <c r="D105" i="8"/>
  <c r="E105" i="8"/>
  <c r="F105" i="8"/>
  <c r="G105" i="8"/>
  <c r="DE47" i="9"/>
  <c r="DE49" i="9"/>
  <c r="DE39" i="9"/>
  <c r="DE29" i="9"/>
  <c r="DE38" i="9"/>
  <c r="DE16" i="9"/>
  <c r="DE2" i="9"/>
  <c r="H107" i="8"/>
  <c r="DE23" i="9"/>
  <c r="DE22" i="9"/>
  <c r="DE8" i="9"/>
  <c r="E107" i="8"/>
  <c r="D107" i="8"/>
  <c r="C107" i="8"/>
  <c r="DE24" i="9" s="1"/>
  <c r="F107" i="8"/>
  <c r="DE13" i="9"/>
  <c r="G107" i="8"/>
  <c r="DK37" i="9"/>
  <c r="DK31" i="9"/>
  <c r="H113" i="8"/>
  <c r="DK23" i="9"/>
  <c r="C113" i="8"/>
  <c r="DK44" i="9" s="1"/>
  <c r="DK21" i="9"/>
  <c r="D113" i="8"/>
  <c r="DK47" i="9" s="1"/>
  <c r="E113" i="8"/>
  <c r="DK4" i="9"/>
  <c r="F113" i="8"/>
  <c r="G113" i="8"/>
  <c r="CW43" i="9"/>
  <c r="CW17" i="9"/>
  <c r="H99" i="8"/>
  <c r="E99" i="8"/>
  <c r="D99" i="8"/>
  <c r="C99" i="8"/>
  <c r="F99" i="8"/>
  <c r="G99" i="8"/>
  <c r="CU40" i="9"/>
  <c r="H97" i="8"/>
  <c r="C97" i="8"/>
  <c r="CU11" i="9" s="1"/>
  <c r="D97" i="8"/>
  <c r="E97" i="8"/>
  <c r="F97" i="8"/>
  <c r="G97" i="8"/>
  <c r="CL49" i="9"/>
  <c r="CL35" i="9"/>
  <c r="CL40" i="9"/>
  <c r="CL36" i="9"/>
  <c r="CL20" i="9"/>
  <c r="CL26" i="9"/>
  <c r="CL23" i="9"/>
  <c r="CL13" i="9"/>
  <c r="H88" i="8"/>
  <c r="CL9" i="9"/>
  <c r="C88" i="8"/>
  <c r="CL29" i="9" s="1"/>
  <c r="G88" i="8"/>
  <c r="CL12" i="9"/>
  <c r="CL6" i="9"/>
  <c r="F88" i="8"/>
  <c r="E88" i="8"/>
  <c r="D88" i="8"/>
  <c r="BT44" i="9"/>
  <c r="BT41" i="9"/>
  <c r="BT30" i="9"/>
  <c r="G70" i="8"/>
  <c r="C70" i="8"/>
  <c r="H70" i="8"/>
  <c r="F70" i="8"/>
  <c r="E70" i="8"/>
  <c r="D70" i="8"/>
  <c r="BT45" i="9" s="1"/>
  <c r="H122" i="8"/>
  <c r="D122" i="8"/>
  <c r="DT21" i="9" s="1"/>
  <c r="F122" i="8"/>
  <c r="DT14" i="9"/>
  <c r="E122" i="8"/>
  <c r="C122" i="8"/>
  <c r="G122" i="8"/>
  <c r="DT41" i="9" l="1"/>
  <c r="BT22" i="9"/>
  <c r="BT17" i="9"/>
  <c r="BT47" i="9"/>
  <c r="BT38" i="9"/>
  <c r="CL7" i="9"/>
  <c r="CL11" i="9"/>
  <c r="CL33" i="9"/>
  <c r="CL48" i="9"/>
  <c r="DK11" i="9"/>
  <c r="DK26" i="9"/>
  <c r="DK18" i="9"/>
  <c r="DK40" i="9"/>
  <c r="DK49" i="9"/>
  <c r="DC20" i="9"/>
  <c r="BL40" i="9"/>
  <c r="BL28" i="9"/>
  <c r="BZ7" i="9"/>
  <c r="BR11" i="9"/>
  <c r="BR35" i="9"/>
  <c r="CY7" i="9"/>
  <c r="CY23" i="9"/>
  <c r="DJ16" i="9"/>
  <c r="DJ19" i="9"/>
  <c r="DJ39" i="9"/>
  <c r="DJ48" i="9"/>
  <c r="DR27" i="9"/>
  <c r="AX13" i="9"/>
  <c r="AX27" i="9"/>
  <c r="AX48" i="9"/>
  <c r="X12" i="9"/>
  <c r="X13" i="9"/>
  <c r="X37" i="9"/>
  <c r="X31" i="9"/>
  <c r="X44" i="9"/>
  <c r="CD20" i="9"/>
  <c r="CR41" i="9"/>
  <c r="CZ47" i="9"/>
  <c r="CZ44" i="9"/>
  <c r="CZ37" i="9"/>
  <c r="BW37" i="9"/>
  <c r="CQ17" i="9"/>
  <c r="CQ4" i="9"/>
  <c r="CQ39" i="9"/>
  <c r="AT16" i="9"/>
  <c r="AT29" i="9"/>
  <c r="CK38" i="9"/>
  <c r="CK42" i="9"/>
  <c r="CK3" i="9"/>
  <c r="CK45" i="9"/>
  <c r="CK8" i="9"/>
  <c r="CK18" i="9"/>
  <c r="CK23" i="9"/>
  <c r="DL45" i="9"/>
  <c r="DL35" i="9"/>
  <c r="DL26" i="9"/>
  <c r="DL38" i="9"/>
  <c r="DD46" i="9"/>
  <c r="DD24" i="9"/>
  <c r="DD16" i="9"/>
  <c r="DD25" i="9"/>
  <c r="DD9" i="9"/>
  <c r="DD43" i="9"/>
  <c r="J45" i="9"/>
  <c r="J26" i="9"/>
  <c r="AD21" i="9"/>
  <c r="CT7" i="9"/>
  <c r="CT44" i="9"/>
  <c r="CM16" i="9"/>
  <c r="CM13" i="9"/>
  <c r="CM48" i="9"/>
  <c r="DA45" i="9"/>
  <c r="DA44" i="9"/>
  <c r="DA31" i="9"/>
  <c r="DA11" i="9"/>
  <c r="DA18" i="9"/>
  <c r="DA42" i="9"/>
  <c r="DA30" i="9"/>
  <c r="DA16" i="9"/>
  <c r="DA9" i="9"/>
  <c r="DA35" i="9"/>
  <c r="DA41" i="9"/>
  <c r="DA22" i="9"/>
  <c r="DA13" i="9"/>
  <c r="DA5" i="9"/>
  <c r="DA43" i="9"/>
  <c r="DA39" i="9"/>
  <c r="DA14" i="9"/>
  <c r="DA15" i="9"/>
  <c r="DA6" i="9"/>
  <c r="DA47" i="9"/>
  <c r="BV47" i="9"/>
  <c r="BV34" i="9"/>
  <c r="BV15" i="9"/>
  <c r="BV8" i="9"/>
  <c r="BV12" i="9"/>
  <c r="BV5" i="9"/>
  <c r="BV33" i="9"/>
  <c r="BV2" i="9"/>
  <c r="U36" i="9"/>
  <c r="U15" i="9"/>
  <c r="U43" i="9"/>
  <c r="U20" i="9"/>
  <c r="U24" i="9"/>
  <c r="U18" i="9"/>
  <c r="U25" i="9"/>
  <c r="U49" i="9"/>
  <c r="U22" i="9"/>
  <c r="U42" i="9"/>
  <c r="U16" i="9"/>
  <c r="U28" i="9"/>
  <c r="U14" i="9"/>
  <c r="U19" i="9"/>
  <c r="BZ15" i="9"/>
  <c r="BR39" i="9"/>
  <c r="DR39" i="9"/>
  <c r="AX19" i="9"/>
  <c r="AX49" i="9"/>
  <c r="CV35" i="9"/>
  <c r="CV22" i="9"/>
  <c r="J41" i="9"/>
  <c r="J37" i="9"/>
  <c r="J18" i="9"/>
  <c r="J4" i="9"/>
  <c r="J48" i="9"/>
  <c r="J36" i="9"/>
  <c r="J3" i="9"/>
  <c r="J14" i="9"/>
  <c r="J46" i="9"/>
  <c r="J32" i="9"/>
  <c r="J23" i="9"/>
  <c r="J10" i="9"/>
  <c r="J20" i="9"/>
  <c r="AD30" i="9"/>
  <c r="N42" i="9"/>
  <c r="CT41" i="9"/>
  <c r="CM23" i="9"/>
  <c r="DA21" i="9"/>
  <c r="DA46" i="9"/>
  <c r="DI40" i="9"/>
  <c r="DI20" i="9"/>
  <c r="DI16" i="9"/>
  <c r="CN13" i="9"/>
  <c r="CN27" i="9"/>
  <c r="K28" i="9"/>
  <c r="K2" i="9"/>
  <c r="K41" i="9"/>
  <c r="K21" i="9"/>
  <c r="K39" i="9"/>
  <c r="K44" i="9"/>
  <c r="U8" i="9"/>
  <c r="BT6" i="9"/>
  <c r="BT42" i="9"/>
  <c r="DK29" i="9"/>
  <c r="DK35" i="9"/>
  <c r="DK43" i="9"/>
  <c r="BL12" i="9"/>
  <c r="BL23" i="9"/>
  <c r="BR13" i="9"/>
  <c r="AX39" i="9"/>
  <c r="BW47" i="9"/>
  <c r="BT21" i="9"/>
  <c r="BT19" i="9"/>
  <c r="BT37" i="9"/>
  <c r="BT46" i="9"/>
  <c r="CL15" i="9"/>
  <c r="CL19" i="9"/>
  <c r="CL17" i="9"/>
  <c r="CL39" i="9"/>
  <c r="CL47" i="9"/>
  <c r="CU13" i="9"/>
  <c r="DK14" i="9"/>
  <c r="DK19" i="9"/>
  <c r="DK34" i="9"/>
  <c r="DC26" i="9"/>
  <c r="DC33" i="9"/>
  <c r="BL2" i="9"/>
  <c r="BL35" i="9"/>
  <c r="BM35" i="9"/>
  <c r="BZ3" i="9"/>
  <c r="BZ30" i="9"/>
  <c r="BR49" i="9"/>
  <c r="BR28" i="9"/>
  <c r="BR47" i="9"/>
  <c r="DJ3" i="9"/>
  <c r="DJ40" i="9"/>
  <c r="DJ47" i="9"/>
  <c r="AX7" i="9"/>
  <c r="AX14" i="9"/>
  <c r="AX21" i="9"/>
  <c r="AX38" i="9"/>
  <c r="X49" i="9"/>
  <c r="X24" i="9"/>
  <c r="X29" i="9"/>
  <c r="CD21" i="9"/>
  <c r="CD9" i="9"/>
  <c r="CZ43" i="9"/>
  <c r="BW6" i="9"/>
  <c r="CQ3" i="9"/>
  <c r="CQ5" i="9"/>
  <c r="CQ19" i="9"/>
  <c r="CQ47" i="9"/>
  <c r="Z45" i="9"/>
  <c r="Z27" i="9"/>
  <c r="DS48" i="9"/>
  <c r="V28" i="9"/>
  <c r="V49" i="9"/>
  <c r="AT45" i="9"/>
  <c r="AT35" i="9"/>
  <c r="AT3" i="9"/>
  <c r="AT48" i="9"/>
  <c r="CK19" i="9"/>
  <c r="CK36" i="9"/>
  <c r="DL23" i="9"/>
  <c r="DL43" i="9"/>
  <c r="DD7" i="9"/>
  <c r="J7" i="9"/>
  <c r="J27" i="9"/>
  <c r="AD42" i="9"/>
  <c r="CM3" i="9"/>
  <c r="DA34" i="9"/>
  <c r="DA17" i="9"/>
  <c r="BV9" i="9"/>
  <c r="U27" i="9"/>
  <c r="AS24" i="9"/>
  <c r="AS40" i="9"/>
  <c r="AS35" i="9"/>
  <c r="AS2" i="9"/>
  <c r="AS28" i="9"/>
  <c r="BT4" i="9"/>
  <c r="BT25" i="9"/>
  <c r="BT5" i="9"/>
  <c r="BT10" i="9"/>
  <c r="BT24" i="9"/>
  <c r="BT28" i="9"/>
  <c r="BT49" i="9"/>
  <c r="DK48" i="9"/>
  <c r="DK36" i="9"/>
  <c r="DK28" i="9"/>
  <c r="DK42" i="9"/>
  <c r="CO32" i="9"/>
  <c r="BL45" i="9"/>
  <c r="BZ38" i="9"/>
  <c r="BR15" i="9"/>
  <c r="CY11" i="9"/>
  <c r="CY40" i="9"/>
  <c r="DJ6" i="9"/>
  <c r="DJ11" i="9"/>
  <c r="DJ30" i="9"/>
  <c r="AX4" i="9"/>
  <c r="AX2" i="9"/>
  <c r="AX26" i="9"/>
  <c r="AX40" i="9"/>
  <c r="X43" i="9"/>
  <c r="X47" i="9"/>
  <c r="X28" i="9"/>
  <c r="X30" i="9"/>
  <c r="X15" i="9"/>
  <c r="X3" i="9"/>
  <c r="X23" i="9"/>
  <c r="X38" i="9"/>
  <c r="CD48" i="9"/>
  <c r="CD32" i="9"/>
  <c r="CD3" i="9"/>
  <c r="CD2" i="9"/>
  <c r="CD24" i="9"/>
  <c r="CD25" i="9"/>
  <c r="CQ7" i="9"/>
  <c r="CQ30" i="9"/>
  <c r="CQ42" i="9"/>
  <c r="AT6" i="9"/>
  <c r="AT8" i="9"/>
  <c r="AT40" i="9"/>
  <c r="J9" i="9"/>
  <c r="J30" i="9"/>
  <c r="AD3" i="9"/>
  <c r="CM36" i="9"/>
  <c r="CM22" i="9"/>
  <c r="CM14" i="9"/>
  <c r="CM12" i="9"/>
  <c r="CM33" i="9"/>
  <c r="CM8" i="9"/>
  <c r="CM6" i="9"/>
  <c r="CM47" i="9"/>
  <c r="CM42" i="9"/>
  <c r="CM20" i="9"/>
  <c r="CM4" i="9"/>
  <c r="CM40" i="9"/>
  <c r="CM17" i="9"/>
  <c r="CM21" i="9"/>
  <c r="CM39" i="9"/>
  <c r="U39" i="9"/>
  <c r="AN42" i="9"/>
  <c r="AN47" i="9"/>
  <c r="AN25" i="9"/>
  <c r="AN10" i="9"/>
  <c r="AN44" i="9"/>
  <c r="AN29" i="9"/>
  <c r="AN4" i="9"/>
  <c r="AN33" i="9"/>
  <c r="AN20" i="9"/>
  <c r="AN22" i="9"/>
  <c r="AN6" i="9"/>
  <c r="AN38" i="9"/>
  <c r="AN11" i="9"/>
  <c r="AN35" i="9"/>
  <c r="AN3" i="9"/>
  <c r="AN32" i="9"/>
  <c r="AN30" i="9"/>
  <c r="AC38" i="9"/>
  <c r="AC20" i="9"/>
  <c r="AC16" i="9"/>
  <c r="AC40" i="9"/>
  <c r="AC19" i="9"/>
  <c r="BN36" i="9"/>
  <c r="BN46" i="9"/>
  <c r="BN38" i="9"/>
  <c r="CT17" i="9"/>
  <c r="CT23" i="9"/>
  <c r="CT45" i="9"/>
  <c r="CT13" i="9"/>
  <c r="CT10" i="9"/>
  <c r="CT28" i="9"/>
  <c r="CT5" i="9"/>
  <c r="DO48" i="9"/>
  <c r="DO9" i="9"/>
  <c r="DO41" i="9"/>
  <c r="DO5" i="9"/>
  <c r="DO33" i="9"/>
  <c r="AD45" i="9"/>
  <c r="AD15" i="9"/>
  <c r="AD33" i="9"/>
  <c r="AD13" i="9"/>
  <c r="AD34" i="9"/>
  <c r="AD5" i="9"/>
  <c r="DT20" i="9"/>
  <c r="BT27" i="9"/>
  <c r="BT48" i="9"/>
  <c r="CL24" i="9"/>
  <c r="CL42" i="9"/>
  <c r="DK7" i="9"/>
  <c r="DK33" i="9"/>
  <c r="DK32" i="9"/>
  <c r="BL22" i="9"/>
  <c r="BR24" i="9"/>
  <c r="DR16" i="9"/>
  <c r="AX12" i="9"/>
  <c r="AX37" i="9"/>
  <c r="BW32" i="9"/>
  <c r="BW4" i="9"/>
  <c r="BW17" i="9"/>
  <c r="CQ43" i="9"/>
  <c r="V3" i="9"/>
  <c r="V29" i="9"/>
  <c r="AT12" i="9"/>
  <c r="CK15" i="9"/>
  <c r="DL16" i="9"/>
  <c r="DD27" i="9"/>
  <c r="J8" i="9"/>
  <c r="J40" i="9"/>
  <c r="AD8" i="9"/>
  <c r="CT20" i="9"/>
  <c r="CM18" i="9"/>
  <c r="CM37" i="9"/>
  <c r="DA4" i="9"/>
  <c r="DA33" i="9"/>
  <c r="DI38" i="9"/>
  <c r="K29" i="9"/>
  <c r="AN37" i="9"/>
  <c r="AO43" i="9"/>
  <c r="AO48" i="9"/>
  <c r="AO36" i="9"/>
  <c r="AO37" i="9"/>
  <c r="AO6" i="9"/>
  <c r="AO15" i="9"/>
  <c r="AC8" i="9"/>
  <c r="BT20" i="9"/>
  <c r="BT2" i="9"/>
  <c r="BW38" i="9"/>
  <c r="CQ48" i="9"/>
  <c r="CQ46" i="9"/>
  <c r="CQ28" i="9"/>
  <c r="CQ6" i="9"/>
  <c r="CQ15" i="9"/>
  <c r="CQ34" i="9"/>
  <c r="DS5" i="9"/>
  <c r="V5" i="9"/>
  <c r="V38" i="9"/>
  <c r="AT7" i="9"/>
  <c r="CK16" i="9"/>
  <c r="CK20" i="9"/>
  <c r="DL12" i="9"/>
  <c r="DL25" i="9"/>
  <c r="DD36" i="9"/>
  <c r="J12" i="9"/>
  <c r="J16" i="9"/>
  <c r="J44" i="9"/>
  <c r="AD11" i="9"/>
  <c r="CT40" i="9"/>
  <c r="CM41" i="9"/>
  <c r="DA19" i="9"/>
  <c r="DA12" i="9"/>
  <c r="DA32" i="9"/>
  <c r="K26" i="9"/>
  <c r="AN31" i="9"/>
  <c r="AV37" i="9"/>
  <c r="AV36" i="9"/>
  <c r="AV16" i="9"/>
  <c r="AV42" i="9"/>
  <c r="AO27" i="9"/>
  <c r="AC46" i="9"/>
  <c r="DT9" i="9"/>
  <c r="BT36" i="9"/>
  <c r="DK20" i="9"/>
  <c r="BL47" i="9"/>
  <c r="BZ43" i="9"/>
  <c r="CY22" i="9"/>
  <c r="DJ29" i="9"/>
  <c r="DJ37" i="9"/>
  <c r="AX31" i="9"/>
  <c r="DT25" i="9"/>
  <c r="BT3" i="9"/>
  <c r="BT29" i="9"/>
  <c r="BT40" i="9"/>
  <c r="CL46" i="9"/>
  <c r="CL14" i="9"/>
  <c r="CL8" i="9"/>
  <c r="CL34" i="9"/>
  <c r="CL44" i="9"/>
  <c r="DK3" i="9"/>
  <c r="DK2" i="9"/>
  <c r="DK24" i="9"/>
  <c r="DK46" i="9"/>
  <c r="DE21" i="9"/>
  <c r="DC3" i="9"/>
  <c r="BL29" i="9"/>
  <c r="BM20" i="9"/>
  <c r="BZ11" i="9"/>
  <c r="BZ48" i="9"/>
  <c r="BR14" i="9"/>
  <c r="BR38" i="9"/>
  <c r="CY43" i="9"/>
  <c r="CY19" i="9"/>
  <c r="DJ9" i="9"/>
  <c r="DJ31" i="9"/>
  <c r="DJ32" i="9"/>
  <c r="AX29" i="9"/>
  <c r="AX28" i="9"/>
  <c r="AX43" i="9"/>
  <c r="X10" i="9"/>
  <c r="X6" i="9"/>
  <c r="X34" i="9"/>
  <c r="X42" i="9"/>
  <c r="CD22" i="9"/>
  <c r="CD47" i="9"/>
  <c r="W27" i="9"/>
  <c r="CZ3" i="9"/>
  <c r="BW15" i="9"/>
  <c r="DT37" i="9"/>
  <c r="BT43" i="9"/>
  <c r="BT11" i="9"/>
  <c r="BT34" i="9"/>
  <c r="BT35" i="9"/>
  <c r="CL4" i="9"/>
  <c r="CL3" i="9"/>
  <c r="CL25" i="9"/>
  <c r="CL41" i="9"/>
  <c r="CU17" i="9"/>
  <c r="DK16" i="9"/>
  <c r="DK9" i="9"/>
  <c r="DK8" i="9"/>
  <c r="DK27" i="9"/>
  <c r="DK45" i="9"/>
  <c r="DE46" i="9"/>
  <c r="DE30" i="9"/>
  <c r="DC16" i="9"/>
  <c r="BL20" i="9"/>
  <c r="BZ19" i="9"/>
  <c r="BR6" i="9"/>
  <c r="BR32" i="9"/>
  <c r="CY28" i="9"/>
  <c r="DJ22" i="9"/>
  <c r="DJ35" i="9"/>
  <c r="DR28" i="9"/>
  <c r="AX5" i="9"/>
  <c r="AX36" i="9"/>
  <c r="AX46" i="9"/>
  <c r="X2" i="9"/>
  <c r="X22" i="9"/>
  <c r="X19" i="9"/>
  <c r="X25" i="9"/>
  <c r="X46" i="9"/>
  <c r="CD17" i="9"/>
  <c r="CR27" i="9"/>
  <c r="CR37" i="9"/>
  <c r="CZ30" i="9"/>
  <c r="BW44" i="9"/>
  <c r="CQ9" i="9"/>
  <c r="CQ37" i="9"/>
  <c r="DS15" i="9"/>
  <c r="DS22" i="9"/>
  <c r="V14" i="9"/>
  <c r="V13" i="9"/>
  <c r="V37" i="9"/>
  <c r="AT30" i="9"/>
  <c r="CK49" i="9"/>
  <c r="CK29" i="9"/>
  <c r="DL18" i="9"/>
  <c r="DL22" i="9"/>
  <c r="DD47" i="9"/>
  <c r="J15" i="9"/>
  <c r="J17" i="9"/>
  <c r="J35" i="9"/>
  <c r="AD17" i="9"/>
  <c r="CT38" i="9"/>
  <c r="CM5" i="9"/>
  <c r="CM46" i="9"/>
  <c r="BB9" i="9"/>
  <c r="BB24" i="9"/>
  <c r="DA49" i="9"/>
  <c r="DA40" i="9"/>
  <c r="BF43" i="9"/>
  <c r="BF47" i="9"/>
  <c r="BF32" i="9"/>
  <c r="BF26" i="9"/>
  <c r="BF9" i="9"/>
  <c r="BF15" i="9"/>
  <c r="BF49" i="9"/>
  <c r="BF36" i="9"/>
  <c r="BF17" i="9"/>
  <c r="BF7" i="9"/>
  <c r="BF48" i="9"/>
  <c r="BF33" i="9"/>
  <c r="BF23" i="9"/>
  <c r="BF2" i="9"/>
  <c r="BF35" i="9"/>
  <c r="BF29" i="9"/>
  <c r="BF24" i="9"/>
  <c r="BF20" i="9"/>
  <c r="DQ49" i="9"/>
  <c r="DQ7" i="9"/>
  <c r="DQ26" i="9"/>
  <c r="BV48" i="9"/>
  <c r="K35" i="9"/>
  <c r="AJ45" i="9"/>
  <c r="AJ47" i="9"/>
  <c r="AJ29" i="9"/>
  <c r="AJ23" i="9"/>
  <c r="AJ8" i="9"/>
  <c r="U40" i="9"/>
  <c r="AN40" i="9"/>
  <c r="CH44" i="9"/>
  <c r="CH25" i="9"/>
  <c r="CH16" i="9"/>
  <c r="CH40" i="9"/>
  <c r="CH28" i="9"/>
  <c r="CH6" i="9"/>
  <c r="CH5" i="9"/>
  <c r="AB28" i="9"/>
  <c r="AB45" i="9"/>
  <c r="AF18" i="9"/>
  <c r="CS19" i="9"/>
  <c r="CS40" i="9"/>
  <c r="DN3" i="9"/>
  <c r="BF6" i="9"/>
  <c r="AW38" i="9"/>
  <c r="AW11" i="9"/>
  <c r="K25" i="9"/>
  <c r="CH17" i="9"/>
  <c r="CH13" i="9"/>
  <c r="AB37" i="9"/>
  <c r="AB41" i="9"/>
  <c r="AB36" i="9"/>
  <c r="AB15" i="9"/>
  <c r="AB44" i="9"/>
  <c r="AB38" i="9"/>
  <c r="AB7" i="9"/>
  <c r="AB6" i="9"/>
  <c r="AB47" i="9"/>
  <c r="AB25" i="9"/>
  <c r="AB14" i="9"/>
  <c r="AB20" i="9"/>
  <c r="Q16" i="9"/>
  <c r="AF47" i="9"/>
  <c r="AF49" i="9"/>
  <c r="AF39" i="9"/>
  <c r="AF29" i="9"/>
  <c r="AF12" i="9"/>
  <c r="AF46" i="9"/>
  <c r="AF31" i="9"/>
  <c r="AF6" i="9"/>
  <c r="AF30" i="9"/>
  <c r="AF33" i="9"/>
  <c r="AF28" i="9"/>
  <c r="AF11" i="9"/>
  <c r="AF8" i="9"/>
  <c r="AF45" i="9"/>
  <c r="AF44" i="9"/>
  <c r="AF34" i="9"/>
  <c r="AF20" i="9"/>
  <c r="AF2" i="9"/>
  <c r="AF10" i="9"/>
  <c r="AF25" i="9"/>
  <c r="AZ44" i="9"/>
  <c r="AZ24" i="9"/>
  <c r="AZ13" i="9"/>
  <c r="AZ3" i="9"/>
  <c r="AZ37" i="9"/>
  <c r="AZ29" i="9"/>
  <c r="AZ5" i="9"/>
  <c r="AZ6" i="9"/>
  <c r="AZ17" i="9"/>
  <c r="AZ34" i="9"/>
  <c r="AZ36" i="9"/>
  <c r="AZ10" i="9"/>
  <c r="AZ16" i="9"/>
  <c r="AZ14" i="9"/>
  <c r="AZ45" i="9"/>
  <c r="AZ32" i="9"/>
  <c r="AZ22" i="9"/>
  <c r="AZ7" i="9"/>
  <c r="AZ12" i="9"/>
  <c r="AZ41" i="9"/>
  <c r="AZ27" i="9"/>
  <c r="AZ25" i="9"/>
  <c r="AZ11" i="9"/>
  <c r="AZ4" i="9"/>
  <c r="AZ30" i="9"/>
  <c r="CS49" i="9"/>
  <c r="CS41" i="9"/>
  <c r="CS39" i="9"/>
  <c r="CS6" i="9"/>
  <c r="CS15" i="9"/>
  <c r="CS48" i="9"/>
  <c r="CS33" i="9"/>
  <c r="CS23" i="9"/>
  <c r="CS18" i="9"/>
  <c r="CS9" i="9"/>
  <c r="CS7" i="9"/>
  <c r="CS43" i="9"/>
  <c r="CS34" i="9"/>
  <c r="CS24" i="9"/>
  <c r="CS22" i="9"/>
  <c r="CS10" i="9"/>
  <c r="CS42" i="9"/>
  <c r="CS36" i="9"/>
  <c r="CS26" i="9"/>
  <c r="CS45" i="9"/>
  <c r="CS37" i="9"/>
  <c r="CS14" i="9"/>
  <c r="CS12" i="9"/>
  <c r="CS8" i="9"/>
  <c r="CS38" i="9"/>
  <c r="DN36" i="9"/>
  <c r="DN25" i="9"/>
  <c r="DN47" i="9"/>
  <c r="DN7" i="9"/>
  <c r="DN42" i="9"/>
  <c r="DN14" i="9"/>
  <c r="DN23" i="9"/>
  <c r="AQ33" i="9"/>
  <c r="AQ5" i="9"/>
  <c r="AQ3" i="9"/>
  <c r="AQ42" i="9"/>
  <c r="AQ10" i="9"/>
  <c r="AQ20" i="9"/>
  <c r="AQ47" i="9"/>
  <c r="AQ13" i="9"/>
  <c r="AQ43" i="9"/>
  <c r="AQ4" i="9"/>
  <c r="AQ37" i="9"/>
  <c r="AQ11" i="9"/>
  <c r="AQ34" i="9"/>
  <c r="AQ25" i="9"/>
  <c r="AQ15" i="9"/>
  <c r="AQ22" i="9"/>
  <c r="DS27" i="9"/>
  <c r="V47" i="9"/>
  <c r="V30" i="9"/>
  <c r="V39" i="9"/>
  <c r="AL20" i="9"/>
  <c r="AL18" i="9"/>
  <c r="AL33" i="9"/>
  <c r="BB40" i="9"/>
  <c r="CN33" i="9"/>
  <c r="CN8" i="9"/>
  <c r="H20" i="9"/>
  <c r="H46" i="9"/>
  <c r="CH36" i="9"/>
  <c r="I27" i="9"/>
  <c r="I41" i="9"/>
  <c r="AB21" i="9"/>
  <c r="AB46" i="9"/>
  <c r="Q34" i="9"/>
  <c r="BN48" i="9"/>
  <c r="BN5" i="9"/>
  <c r="BN2" i="9"/>
  <c r="BN21" i="9"/>
  <c r="AF3" i="9"/>
  <c r="AF48" i="9"/>
  <c r="P47" i="9"/>
  <c r="P27" i="9"/>
  <c r="P5" i="9"/>
  <c r="P42" i="9"/>
  <c r="P18" i="9"/>
  <c r="P12" i="9"/>
  <c r="P10" i="9"/>
  <c r="P41" i="9"/>
  <c r="P24" i="9"/>
  <c r="P8" i="9"/>
  <c r="P34" i="9"/>
  <c r="P14" i="9"/>
  <c r="P46" i="9"/>
  <c r="P26" i="9"/>
  <c r="P7" i="9"/>
  <c r="AZ23" i="9"/>
  <c r="AZ43" i="9"/>
  <c r="CS5" i="9"/>
  <c r="CS20" i="9"/>
  <c r="DN15" i="9"/>
  <c r="DN43" i="9"/>
  <c r="AI5" i="9"/>
  <c r="AL43" i="9"/>
  <c r="AL9" i="9"/>
  <c r="AL21" i="9"/>
  <c r="AL36" i="9"/>
  <c r="BB20" i="9"/>
  <c r="Y2" i="9"/>
  <c r="Y38" i="9"/>
  <c r="Y32" i="9"/>
  <c r="Y16" i="9"/>
  <c r="Y9" i="9"/>
  <c r="Y40" i="9"/>
  <c r="Y3" i="9"/>
  <c r="Y28" i="9"/>
  <c r="CH39" i="9"/>
  <c r="AV49" i="9"/>
  <c r="AV25" i="9"/>
  <c r="AV21" i="9"/>
  <c r="AV30" i="9"/>
  <c r="I47" i="9"/>
  <c r="I43" i="9"/>
  <c r="I37" i="9"/>
  <c r="I17" i="9"/>
  <c r="I10" i="9"/>
  <c r="I2" i="9"/>
  <c r="I35" i="9"/>
  <c r="I25" i="9"/>
  <c r="I21" i="9"/>
  <c r="I19" i="9"/>
  <c r="I15" i="9"/>
  <c r="I44" i="9"/>
  <c r="I32" i="9"/>
  <c r="I11" i="9"/>
  <c r="I18" i="9"/>
  <c r="I3" i="9"/>
  <c r="I33" i="9"/>
  <c r="AB2" i="9"/>
  <c r="AB40" i="9"/>
  <c r="Q36" i="9"/>
  <c r="AF16" i="9"/>
  <c r="AF23" i="9"/>
  <c r="BD31" i="9"/>
  <c r="BD30" i="9"/>
  <c r="BD4" i="9"/>
  <c r="BD2" i="9"/>
  <c r="BD23" i="9"/>
  <c r="BD14" i="9"/>
  <c r="BD21" i="9"/>
  <c r="BD42" i="9"/>
  <c r="BD40" i="9"/>
  <c r="BD6" i="9"/>
  <c r="BD27" i="9"/>
  <c r="BD43" i="9"/>
  <c r="BD26" i="9"/>
  <c r="BD11" i="9"/>
  <c r="BD32" i="9"/>
  <c r="BD20" i="9"/>
  <c r="BD10" i="9"/>
  <c r="BD22" i="9"/>
  <c r="BD33" i="9"/>
  <c r="P3" i="9"/>
  <c r="AZ15" i="9"/>
  <c r="AZ48" i="9"/>
  <c r="F45" i="9"/>
  <c r="F26" i="9"/>
  <c r="F15" i="9"/>
  <c r="F16" i="9"/>
  <c r="F46" i="9"/>
  <c r="F31" i="9"/>
  <c r="F12" i="9"/>
  <c r="F10" i="9"/>
  <c r="F36" i="9"/>
  <c r="F38" i="9"/>
  <c r="F4" i="9"/>
  <c r="F6" i="9"/>
  <c r="F8" i="9"/>
  <c r="F42" i="9"/>
  <c r="F21" i="9"/>
  <c r="F20" i="9"/>
  <c r="F44" i="9"/>
  <c r="F40" i="9"/>
  <c r="F22" i="9"/>
  <c r="F3" i="9"/>
  <c r="F34" i="9"/>
  <c r="CS30" i="9"/>
  <c r="DN33" i="9"/>
  <c r="G33" i="9"/>
  <c r="G28" i="9"/>
  <c r="G9" i="9"/>
  <c r="G3" i="9"/>
  <c r="G38" i="9"/>
  <c r="G49" i="9"/>
  <c r="G40" i="9"/>
  <c r="G24" i="9"/>
  <c r="G16" i="9"/>
  <c r="G5" i="9"/>
  <c r="G42" i="9"/>
  <c r="G18" i="9"/>
  <c r="G13" i="9"/>
  <c r="G11" i="9"/>
  <c r="G36" i="9"/>
  <c r="G30" i="9"/>
  <c r="G7" i="9"/>
  <c r="G45" i="9"/>
  <c r="G19" i="9"/>
  <c r="G17" i="9"/>
  <c r="G35" i="9"/>
  <c r="G25" i="9"/>
  <c r="G44" i="9"/>
  <c r="G37" i="9"/>
  <c r="G27" i="9"/>
  <c r="AQ26" i="9"/>
  <c r="DD41" i="9"/>
  <c r="AL23" i="9"/>
  <c r="AL31" i="9"/>
  <c r="AL46" i="9"/>
  <c r="AW13" i="9"/>
  <c r="CH3" i="9"/>
  <c r="CH43" i="9"/>
  <c r="AB23" i="9"/>
  <c r="Q31" i="9"/>
  <c r="Q29" i="9"/>
  <c r="Q42" i="9"/>
  <c r="Q32" i="9"/>
  <c r="Q9" i="9"/>
  <c r="Q44" i="9"/>
  <c r="Q24" i="9"/>
  <c r="Q5" i="9"/>
  <c r="Q39" i="9"/>
  <c r="Q19" i="9"/>
  <c r="Q38" i="9"/>
  <c r="AF13" i="9"/>
  <c r="AF24" i="9"/>
  <c r="AZ19" i="9"/>
  <c r="AZ47" i="9"/>
  <c r="CS27" i="9"/>
  <c r="CS31" i="9"/>
  <c r="G6" i="9"/>
  <c r="AH25" i="9"/>
  <c r="BQ30" i="9"/>
  <c r="BQ43" i="9"/>
  <c r="CF17" i="9"/>
  <c r="CF11" i="9"/>
  <c r="CF35" i="9"/>
  <c r="CJ25" i="9"/>
  <c r="BC44" i="9"/>
  <c r="BC14" i="9"/>
  <c r="O13" i="9"/>
  <c r="O22" i="9"/>
  <c r="BK7" i="9"/>
  <c r="BO40" i="9"/>
  <c r="BO45" i="9"/>
  <c r="BK39" i="9"/>
  <c r="BK21" i="9"/>
  <c r="BK16" i="9"/>
  <c r="BK13" i="9"/>
  <c r="BK43" i="9"/>
  <c r="BK23" i="9"/>
  <c r="BK4" i="9"/>
  <c r="BK17" i="9"/>
  <c r="BK30" i="9"/>
  <c r="CJ10" i="9"/>
  <c r="CJ31" i="9"/>
  <c r="O43" i="9"/>
  <c r="O31" i="9"/>
  <c r="O14" i="9"/>
  <c r="O7" i="9"/>
  <c r="O35" i="9"/>
  <c r="O41" i="9"/>
  <c r="BK40" i="9"/>
  <c r="BD44" i="9"/>
  <c r="CX40" i="9"/>
  <c r="CX19" i="9"/>
  <c r="CX34" i="9"/>
  <c r="CX43" i="9"/>
  <c r="CJ13" i="9"/>
  <c r="O48" i="9"/>
  <c r="O23" i="9"/>
  <c r="O44" i="9"/>
  <c r="AY48" i="9"/>
  <c r="AY28" i="9"/>
  <c r="BK34" i="9"/>
  <c r="CP24" i="9"/>
  <c r="CP20" i="9"/>
  <c r="CP18" i="9"/>
  <c r="CP39" i="9"/>
  <c r="CP13" i="9"/>
  <c r="CP3" i="9"/>
  <c r="CP34" i="9"/>
  <c r="CJ38" i="9"/>
  <c r="CJ9" i="9"/>
  <c r="CJ35" i="9"/>
  <c r="CJ17" i="9"/>
  <c r="CJ12" i="9"/>
  <c r="CJ28" i="9"/>
  <c r="CJ21" i="9"/>
  <c r="CJ16" i="9"/>
  <c r="CJ43" i="9"/>
  <c r="O47" i="9"/>
  <c r="BE23" i="9"/>
  <c r="BE24" i="9"/>
  <c r="BE43" i="9"/>
  <c r="BE19" i="9"/>
  <c r="BE21" i="9"/>
  <c r="BE2" i="9"/>
  <c r="BK38" i="9"/>
  <c r="S49" i="9"/>
  <c r="S47" i="9"/>
  <c r="S25" i="9"/>
  <c r="S14" i="9"/>
  <c r="S7" i="9"/>
  <c r="S37" i="9"/>
  <c r="S28" i="9"/>
  <c r="S9" i="9"/>
  <c r="S11" i="9"/>
  <c r="S34" i="9"/>
  <c r="S23" i="9"/>
  <c r="S26" i="9"/>
  <c r="S35" i="9"/>
  <c r="S18" i="9"/>
  <c r="S15" i="9"/>
  <c r="S48" i="9"/>
  <c r="S33" i="9"/>
  <c r="S2" i="9"/>
  <c r="S46" i="9"/>
  <c r="H33" i="9"/>
  <c r="H11" i="9"/>
  <c r="H25" i="9"/>
  <c r="H44" i="9"/>
  <c r="AC27" i="9"/>
  <c r="AK37" i="9"/>
  <c r="AH16" i="9"/>
  <c r="AE11" i="9"/>
  <c r="AE5" i="9"/>
  <c r="O15" i="9"/>
  <c r="O27" i="9"/>
  <c r="O49" i="9"/>
  <c r="AY38" i="9"/>
  <c r="BA34" i="9"/>
  <c r="BE47" i="9"/>
  <c r="BK2" i="9"/>
  <c r="BK46" i="9"/>
  <c r="S3" i="9"/>
  <c r="S45" i="9"/>
  <c r="BO5" i="9"/>
  <c r="CP15" i="9"/>
  <c r="Y42" i="9"/>
  <c r="Y8" i="9"/>
  <c r="Y30" i="9"/>
  <c r="Y35" i="9"/>
  <c r="H12" i="9"/>
  <c r="H19" i="9"/>
  <c r="H39" i="9"/>
  <c r="AC28" i="9"/>
  <c r="AC36" i="9"/>
  <c r="AK14" i="9"/>
  <c r="AK49" i="9"/>
  <c r="AH32" i="9"/>
  <c r="BQ5" i="9"/>
  <c r="BQ10" i="9"/>
  <c r="BQ29" i="9"/>
  <c r="BQ44" i="9"/>
  <c r="CF48" i="9"/>
  <c r="AM8" i="9"/>
  <c r="CX20" i="9"/>
  <c r="DH3" i="9"/>
  <c r="CJ8" i="9"/>
  <c r="CJ19" i="9"/>
  <c r="O5" i="9"/>
  <c r="O26" i="9"/>
  <c r="BA43" i="9"/>
  <c r="BA46" i="9"/>
  <c r="BA4" i="9"/>
  <c r="BA11" i="9"/>
  <c r="BA24" i="9"/>
  <c r="BA23" i="9"/>
  <c r="BA48" i="9"/>
  <c r="BA25" i="9"/>
  <c r="BA9" i="9"/>
  <c r="BA36" i="9"/>
  <c r="BA7" i="9"/>
  <c r="BA44" i="9"/>
  <c r="BE10" i="9"/>
  <c r="BK20" i="9"/>
  <c r="BK47" i="9"/>
  <c r="S10" i="9"/>
  <c r="H5" i="9"/>
  <c r="H16" i="9"/>
  <c r="H24" i="9"/>
  <c r="H41" i="9"/>
  <c r="AC23" i="9"/>
  <c r="M45" i="9"/>
  <c r="BQ3" i="9"/>
  <c r="BQ17" i="9"/>
  <c r="BQ24" i="9"/>
  <c r="CF33" i="9"/>
  <c r="CF47" i="9"/>
  <c r="CF31" i="9"/>
  <c r="CF29" i="9"/>
  <c r="AM46" i="9"/>
  <c r="AM9" i="9"/>
  <c r="AM43" i="9"/>
  <c r="DH42" i="9"/>
  <c r="DH37" i="9"/>
  <c r="DH22" i="9"/>
  <c r="DH29" i="9"/>
  <c r="CJ2" i="9"/>
  <c r="CJ37" i="9"/>
  <c r="BY36" i="9"/>
  <c r="BY47" i="9"/>
  <c r="BY34" i="9"/>
  <c r="BY19" i="9"/>
  <c r="BY48" i="9"/>
  <c r="AE4" i="9"/>
  <c r="BC11" i="9"/>
  <c r="O25" i="9"/>
  <c r="O32" i="9"/>
  <c r="BA13" i="9"/>
  <c r="BE20" i="9"/>
  <c r="BK12" i="9"/>
  <c r="S29" i="9"/>
  <c r="T46" i="9"/>
  <c r="L32" i="9"/>
  <c r="BS2" i="9"/>
  <c r="BS30" i="9"/>
  <c r="BS34" i="9"/>
  <c r="BS48" i="9"/>
  <c r="CG12" i="9"/>
  <c r="CG27" i="9"/>
  <c r="CG46" i="9"/>
  <c r="BG22" i="9"/>
  <c r="BP24" i="9"/>
  <c r="CE15" i="9"/>
  <c r="CE5" i="9"/>
  <c r="CE39" i="9"/>
  <c r="CE47" i="9"/>
  <c r="CA18" i="9"/>
  <c r="BX17" i="9"/>
  <c r="BX38" i="9"/>
  <c r="BX34" i="9"/>
  <c r="CC49" i="9"/>
  <c r="BG24" i="9"/>
  <c r="BP35" i="9"/>
  <c r="BH13" i="9"/>
  <c r="BH44" i="9"/>
  <c r="CA28" i="9"/>
  <c r="BX6" i="9"/>
  <c r="BX3" i="9"/>
  <c r="BX26" i="9"/>
  <c r="BX29" i="9"/>
  <c r="BX47" i="9"/>
  <c r="CC11" i="9"/>
  <c r="CC28" i="9"/>
  <c r="CC48" i="9"/>
  <c r="CA15" i="9"/>
  <c r="CA31" i="9"/>
  <c r="BX12" i="9"/>
  <c r="BX11" i="9"/>
  <c r="BX25" i="9"/>
  <c r="BX24" i="9"/>
  <c r="BX45" i="9"/>
  <c r="CC9" i="9"/>
  <c r="CC18" i="9"/>
  <c r="CC37" i="9"/>
  <c r="AM42" i="9"/>
  <c r="AM34" i="9"/>
  <c r="DH20" i="9"/>
  <c r="DH47" i="9"/>
  <c r="AQ46" i="9"/>
  <c r="AQ17" i="9"/>
  <c r="AQ48" i="9"/>
  <c r="O17" i="9"/>
  <c r="O8" i="9"/>
  <c r="O24" i="9"/>
  <c r="O38" i="9"/>
  <c r="DP34" i="9"/>
  <c r="E3" i="9"/>
  <c r="E2" i="9"/>
  <c r="E24" i="9"/>
  <c r="E47" i="9"/>
  <c r="L15" i="9"/>
  <c r="L41" i="9"/>
  <c r="BI6" i="9"/>
  <c r="BI25" i="9"/>
  <c r="BI30" i="9"/>
  <c r="BI24" i="9"/>
  <c r="BI40" i="9"/>
  <c r="BK48" i="9"/>
  <c r="BK10" i="9"/>
  <c r="BK24" i="9"/>
  <c r="BK37" i="9"/>
  <c r="BS15" i="9"/>
  <c r="BS9" i="9"/>
  <c r="BS29" i="9"/>
  <c r="BS38" i="9"/>
  <c r="CG11" i="9"/>
  <c r="CG3" i="9"/>
  <c r="CG10" i="9"/>
  <c r="CG29" i="9"/>
  <c r="CG40" i="9"/>
  <c r="BG7" i="9"/>
  <c r="BG35" i="9"/>
  <c r="BP42" i="9"/>
  <c r="CE16" i="9"/>
  <c r="CP19" i="9"/>
  <c r="CI34" i="9"/>
  <c r="DF12" i="9"/>
  <c r="DF30" i="9"/>
  <c r="DF43" i="9"/>
  <c r="DF44" i="9"/>
  <c r="DG25" i="9"/>
  <c r="DG27" i="9"/>
  <c r="DG39" i="9"/>
  <c r="BH9" i="9"/>
  <c r="BH8" i="9"/>
  <c r="BH23" i="9"/>
  <c r="BH41" i="9"/>
  <c r="CA38" i="9"/>
  <c r="BX28" i="9"/>
  <c r="BX16" i="9"/>
  <c r="BX27" i="9"/>
  <c r="BX49" i="9"/>
  <c r="CC27" i="9"/>
  <c r="CC36" i="9"/>
  <c r="BJ49" i="9"/>
  <c r="CG45" i="9"/>
  <c r="CG17" i="9"/>
  <c r="CG35" i="9"/>
  <c r="CG44" i="9"/>
  <c r="BG44" i="9"/>
  <c r="BP17" i="9"/>
  <c r="CE7" i="9"/>
  <c r="CE28" i="9"/>
  <c r="CE37" i="9"/>
  <c r="CI46" i="9"/>
  <c r="BH30" i="9"/>
  <c r="CA17" i="9"/>
  <c r="CA33" i="9"/>
  <c r="BX9" i="9"/>
  <c r="BX18" i="9"/>
  <c r="BX19" i="9"/>
  <c r="BX33" i="9"/>
  <c r="CC7" i="9"/>
  <c r="CC6" i="9"/>
  <c r="CC34" i="9"/>
  <c r="CG18" i="9"/>
  <c r="CG30" i="9"/>
  <c r="CG38" i="9"/>
  <c r="CG48" i="9"/>
  <c r="BG4" i="9"/>
  <c r="BG46" i="9"/>
  <c r="CE12" i="9"/>
  <c r="CE22" i="9"/>
  <c r="CA20" i="9"/>
  <c r="CA46" i="9"/>
  <c r="CC20" i="9"/>
  <c r="AM20" i="9"/>
  <c r="AM48" i="9"/>
  <c r="DH19" i="9"/>
  <c r="AE46" i="9"/>
  <c r="O46" i="9"/>
  <c r="O6" i="9"/>
  <c r="O28" i="9"/>
  <c r="O36" i="9"/>
  <c r="E33" i="9"/>
  <c r="L9" i="9"/>
  <c r="L22" i="9"/>
  <c r="BI11" i="9"/>
  <c r="BI15" i="9"/>
  <c r="BI19" i="9"/>
  <c r="BK11" i="9"/>
  <c r="BK22" i="9"/>
  <c r="BK29" i="9"/>
  <c r="BK45" i="9"/>
  <c r="BO49" i="9"/>
  <c r="BS13" i="9"/>
  <c r="BS4" i="9"/>
  <c r="BS26" i="9"/>
  <c r="BS40" i="9"/>
  <c r="CG20" i="9"/>
  <c r="CG21" i="9"/>
  <c r="CG37" i="9"/>
  <c r="BG21" i="9"/>
  <c r="BG48" i="9"/>
  <c r="BP9" i="9"/>
  <c r="CE45" i="9"/>
  <c r="CE20" i="9"/>
  <c r="CE17" i="9"/>
  <c r="CE44" i="9"/>
  <c r="CP49" i="9"/>
  <c r="CP43" i="9"/>
  <c r="DF23" i="9"/>
  <c r="DG28" i="9"/>
  <c r="DG9" i="9"/>
  <c r="DG29" i="9"/>
  <c r="DG42" i="9"/>
  <c r="BH18" i="9"/>
  <c r="CA45" i="9"/>
  <c r="CA6" i="9"/>
  <c r="CA49" i="9"/>
  <c r="BX2" i="9"/>
  <c r="BX23" i="9"/>
  <c r="BX46" i="9"/>
  <c r="CC43" i="9"/>
  <c r="CC12" i="9"/>
  <c r="CC24" i="9"/>
  <c r="CC38" i="9"/>
  <c r="DP17" i="9"/>
  <c r="E41" i="9"/>
  <c r="E23" i="9"/>
  <c r="E28" i="9"/>
  <c r="E46" i="9"/>
  <c r="L47" i="9"/>
  <c r="L29" i="9"/>
  <c r="BI46" i="9"/>
  <c r="BI23" i="9"/>
  <c r="BI27" i="9"/>
  <c r="BI34" i="9"/>
  <c r="BK15" i="9"/>
  <c r="BK9" i="9"/>
  <c r="BK28" i="9"/>
  <c r="BK42" i="9"/>
  <c r="BS12" i="9"/>
  <c r="BS35" i="9"/>
  <c r="BS49" i="9"/>
  <c r="CG9" i="9"/>
  <c r="CG4" i="9"/>
  <c r="CG28" i="9"/>
  <c r="CG43" i="9"/>
  <c r="BG5" i="9"/>
  <c r="BP19" i="9"/>
  <c r="CE6" i="9"/>
  <c r="CE36" i="9"/>
  <c r="CE41" i="9"/>
  <c r="CP42" i="9"/>
  <c r="CI13" i="9"/>
  <c r="DF40" i="9"/>
  <c r="DF35" i="9"/>
  <c r="DF26" i="9"/>
  <c r="DF39" i="9"/>
  <c r="DG8" i="9"/>
  <c r="DG4" i="9"/>
  <c r="DG26" i="9"/>
  <c r="DG43" i="9"/>
  <c r="BH49" i="9"/>
  <c r="BH15" i="9"/>
  <c r="BH46" i="9"/>
  <c r="CA3" i="9"/>
  <c r="CA19" i="9"/>
  <c r="BX4" i="9"/>
  <c r="BX14" i="9"/>
  <c r="BX10" i="9"/>
  <c r="BX44" i="9"/>
  <c r="BX39" i="9"/>
  <c r="CC29" i="9"/>
  <c r="CC23" i="9"/>
  <c r="CC40" i="9"/>
  <c r="BU44" i="9"/>
  <c r="BU39" i="9"/>
  <c r="BU31" i="9"/>
  <c r="BU14" i="9"/>
  <c r="BU4" i="9"/>
  <c r="BU13" i="9"/>
  <c r="BU42" i="9"/>
  <c r="BU40" i="9"/>
  <c r="BU23" i="9"/>
  <c r="BU6" i="9"/>
  <c r="BU18" i="9"/>
  <c r="BU45" i="9"/>
  <c r="BU36" i="9"/>
  <c r="BU29" i="9"/>
  <c r="BU11" i="9"/>
  <c r="BU10" i="9"/>
  <c r="BU2" i="9"/>
  <c r="BU49" i="9"/>
  <c r="BU28" i="9"/>
  <c r="BU17" i="9"/>
  <c r="BU19" i="9"/>
  <c r="BU9" i="9"/>
  <c r="BU38" i="9"/>
  <c r="BU27" i="9"/>
  <c r="BU46" i="9"/>
  <c r="BU37" i="9"/>
  <c r="BU21" i="9"/>
  <c r="BU7" i="9"/>
  <c r="BU43" i="9"/>
  <c r="BU25" i="9"/>
  <c r="BU3" i="9"/>
  <c r="BU24" i="9"/>
  <c r="BU16" i="9"/>
  <c r="BU41" i="9"/>
  <c r="BU35" i="9"/>
  <c r="BU30" i="9"/>
  <c r="BU8" i="9"/>
  <c r="BU32" i="9"/>
  <c r="BU20" i="9"/>
  <c r="BU22" i="9"/>
  <c r="BU15" i="9"/>
  <c r="BU48" i="9"/>
  <c r="BU33" i="9"/>
  <c r="BU26" i="9"/>
  <c r="BU5" i="9"/>
  <c r="DM5" i="9"/>
  <c r="DM38" i="9"/>
  <c r="DM13" i="9"/>
  <c r="DM40" i="9"/>
  <c r="DM43" i="9"/>
  <c r="DM10" i="9"/>
  <c r="DM27" i="9"/>
  <c r="DM28" i="9"/>
  <c r="AP41" i="9"/>
  <c r="AP29" i="9"/>
  <c r="AP16" i="9"/>
  <c r="AP2" i="9"/>
  <c r="DM45" i="9"/>
  <c r="CV41" i="9"/>
  <c r="CV34" i="9"/>
  <c r="CV29" i="9"/>
  <c r="CV16" i="9"/>
  <c r="CV15" i="9"/>
  <c r="CV17" i="9"/>
  <c r="CV8" i="9"/>
  <c r="CV44" i="9"/>
  <c r="CV47" i="9"/>
  <c r="CV36" i="9"/>
  <c r="CV25" i="9"/>
  <c r="CV7" i="9"/>
  <c r="CV4" i="9"/>
  <c r="CV30" i="9"/>
  <c r="CV3" i="9"/>
  <c r="CV37" i="9"/>
  <c r="CV24" i="9"/>
  <c r="CV33" i="9"/>
  <c r="CV23" i="9"/>
  <c r="CV42" i="9"/>
  <c r="CV40" i="9"/>
  <c r="CV20" i="9"/>
  <c r="CV21" i="9"/>
  <c r="CV12" i="9"/>
  <c r="CV49" i="9"/>
  <c r="CV13" i="9"/>
  <c r="CV45" i="9"/>
  <c r="CV5" i="9"/>
  <c r="CV39" i="9"/>
  <c r="CV11" i="9"/>
  <c r="CV32" i="9"/>
  <c r="CV48" i="9"/>
  <c r="CV27" i="9"/>
  <c r="CV19" i="9"/>
  <c r="CV26" i="9"/>
  <c r="CV6" i="9"/>
  <c r="CV31" i="9"/>
  <c r="CV18" i="9"/>
  <c r="CV38" i="9"/>
  <c r="W44" i="9"/>
  <c r="CV9" i="9"/>
  <c r="DM19" i="9"/>
  <c r="W34" i="9"/>
  <c r="CW41" i="9"/>
  <c r="CW35" i="9"/>
  <c r="CW25" i="9"/>
  <c r="CW22" i="9"/>
  <c r="CW23" i="9"/>
  <c r="CW47" i="9"/>
  <c r="CW32" i="9"/>
  <c r="CW15" i="9"/>
  <c r="CW18" i="9"/>
  <c r="CW49" i="9"/>
  <c r="CW34" i="9"/>
  <c r="CW24" i="9"/>
  <c r="CW33" i="9"/>
  <c r="CW7" i="9"/>
  <c r="CW8" i="9"/>
  <c r="CW21" i="9"/>
  <c r="CW5" i="9"/>
  <c r="CW42" i="9"/>
  <c r="CW16" i="9"/>
  <c r="CW9" i="9"/>
  <c r="CW45" i="9"/>
  <c r="CW39" i="9"/>
  <c r="CW6" i="9"/>
  <c r="CW29" i="9"/>
  <c r="CW40" i="9"/>
  <c r="CW38" i="9"/>
  <c r="CW19" i="9"/>
  <c r="CW2" i="9"/>
  <c r="CW20" i="9"/>
  <c r="CW13" i="9"/>
  <c r="CW12" i="9"/>
  <c r="DT30" i="9"/>
  <c r="CW3" i="9"/>
  <c r="CW48" i="9"/>
  <c r="BM30" i="9"/>
  <c r="DM32" i="9"/>
  <c r="CR40" i="9"/>
  <c r="CO3" i="9"/>
  <c r="DM35" i="9"/>
  <c r="CV46" i="9"/>
  <c r="AP8" i="9"/>
  <c r="R7" i="9"/>
  <c r="R35" i="9"/>
  <c r="R17" i="9"/>
  <c r="R19" i="9"/>
  <c r="R10" i="9"/>
  <c r="DB41" i="9"/>
  <c r="DB39" i="9"/>
  <c r="DB29" i="9"/>
  <c r="DB11" i="9"/>
  <c r="DB24" i="9"/>
  <c r="DB6" i="9"/>
  <c r="DB44" i="9"/>
  <c r="DB36" i="9"/>
  <c r="DB20" i="9"/>
  <c r="DB3" i="9"/>
  <c r="DB19" i="9"/>
  <c r="DB2" i="9"/>
  <c r="DB47" i="9"/>
  <c r="DB42" i="9"/>
  <c r="DB33" i="9"/>
  <c r="DB26" i="9"/>
  <c r="DB8" i="9"/>
  <c r="DB9" i="9"/>
  <c r="DB15" i="9"/>
  <c r="DB45" i="9"/>
  <c r="DB30" i="9"/>
  <c r="DB16" i="9"/>
  <c r="DB10" i="9"/>
  <c r="DB17" i="9"/>
  <c r="DB35" i="9"/>
  <c r="DB27" i="9"/>
  <c r="DB13" i="9"/>
  <c r="DB40" i="9"/>
  <c r="DB28" i="9"/>
  <c r="DB5" i="9"/>
  <c r="DB32" i="9"/>
  <c r="DB12" i="9"/>
  <c r="DB49" i="9"/>
  <c r="DB37" i="9"/>
  <c r="DB23" i="9"/>
  <c r="DB21" i="9"/>
  <c r="DB48" i="9"/>
  <c r="DB38" i="9"/>
  <c r="DB22" i="9"/>
  <c r="DB7" i="9"/>
  <c r="DB43" i="9"/>
  <c r="DB31" i="9"/>
  <c r="DB18" i="9"/>
  <c r="DB14" i="9"/>
  <c r="DT12" i="9"/>
  <c r="DT7" i="9"/>
  <c r="DT36" i="9"/>
  <c r="CU6" i="9"/>
  <c r="CW11" i="9"/>
  <c r="CW31" i="9"/>
  <c r="CW26" i="9"/>
  <c r="DE7" i="9"/>
  <c r="BZ46" i="9"/>
  <c r="BZ22" i="9"/>
  <c r="BZ10" i="9"/>
  <c r="BZ40" i="9"/>
  <c r="BZ24" i="9"/>
  <c r="BZ44" i="9"/>
  <c r="BZ41" i="9"/>
  <c r="BZ23" i="9"/>
  <c r="BZ18" i="9"/>
  <c r="BZ28" i="9"/>
  <c r="BZ8" i="9"/>
  <c r="BZ6" i="9"/>
  <c r="BZ45" i="9"/>
  <c r="BZ33" i="9"/>
  <c r="BZ32" i="9"/>
  <c r="BZ35" i="9"/>
  <c r="BZ9" i="9"/>
  <c r="BZ2" i="9"/>
  <c r="BZ17" i="9"/>
  <c r="BZ34" i="9"/>
  <c r="BZ14" i="9"/>
  <c r="BZ37" i="9"/>
  <c r="BZ49" i="9"/>
  <c r="BZ39" i="9"/>
  <c r="BZ26" i="9"/>
  <c r="BZ21" i="9"/>
  <c r="BZ12" i="9"/>
  <c r="BZ25" i="9"/>
  <c r="BZ42" i="9"/>
  <c r="BZ13" i="9"/>
  <c r="BZ5" i="9"/>
  <c r="BZ16" i="9"/>
  <c r="DM20" i="9"/>
  <c r="DM42" i="9"/>
  <c r="DR21" i="9"/>
  <c r="CR21" i="9"/>
  <c r="CZ11" i="9"/>
  <c r="Z10" i="9"/>
  <c r="Z38" i="9"/>
  <c r="CV43" i="9"/>
  <c r="AP20" i="9"/>
  <c r="R37" i="9"/>
  <c r="DB46" i="9"/>
  <c r="BU34" i="9"/>
  <c r="CO44" i="9"/>
  <c r="CO24" i="9"/>
  <c r="CO19" i="9"/>
  <c r="CO23" i="9"/>
  <c r="CO22" i="9"/>
  <c r="CO36" i="9"/>
  <c r="CO21" i="9"/>
  <c r="CO37" i="9"/>
  <c r="CO12" i="9"/>
  <c r="CO13" i="9"/>
  <c r="CO47" i="9"/>
  <c r="CO34" i="9"/>
  <c r="CO29" i="9"/>
  <c r="CO16" i="9"/>
  <c r="CO15" i="9"/>
  <c r="CO8" i="9"/>
  <c r="CO49" i="9"/>
  <c r="CO39" i="9"/>
  <c r="CO26" i="9"/>
  <c r="CO30" i="9"/>
  <c r="CO7" i="9"/>
  <c r="CO14" i="9"/>
  <c r="CO46" i="9"/>
  <c r="CO31" i="9"/>
  <c r="CO17" i="9"/>
  <c r="CO11" i="9"/>
  <c r="CO45" i="9"/>
  <c r="CO18" i="9"/>
  <c r="CO41" i="9"/>
  <c r="CO33" i="9"/>
  <c r="CO38" i="9"/>
  <c r="CO2" i="9"/>
  <c r="CO25" i="9"/>
  <c r="CO5" i="9"/>
  <c r="CO35" i="9"/>
  <c r="CO6" i="9"/>
  <c r="W36" i="9"/>
  <c r="W26" i="9"/>
  <c r="W18" i="9"/>
  <c r="W12" i="9"/>
  <c r="W2" i="9"/>
  <c r="W11" i="9"/>
  <c r="W30" i="9"/>
  <c r="W41" i="9"/>
  <c r="W8" i="9"/>
  <c r="W33" i="9"/>
  <c r="W31" i="9"/>
  <c r="W35" i="9"/>
  <c r="W4" i="9"/>
  <c r="W16" i="9"/>
  <c r="W7" i="9"/>
  <c r="W48" i="9"/>
  <c r="W38" i="9"/>
  <c r="W28" i="9"/>
  <c r="W23" i="9"/>
  <c r="W9" i="9"/>
  <c r="W13" i="9"/>
  <c r="W49" i="9"/>
  <c r="W20" i="9"/>
  <c r="W47" i="9"/>
  <c r="W14" i="9"/>
  <c r="W40" i="9"/>
  <c r="W39" i="9"/>
  <c r="W24" i="9"/>
  <c r="W42" i="9"/>
  <c r="W32" i="9"/>
  <c r="W21" i="9"/>
  <c r="W22" i="9"/>
  <c r="W10" i="9"/>
  <c r="W17" i="9"/>
  <c r="W46" i="9"/>
  <c r="W5" i="9"/>
  <c r="W3" i="9"/>
  <c r="CU43" i="9"/>
  <c r="CU37" i="9"/>
  <c r="CU27" i="9"/>
  <c r="CU28" i="9"/>
  <c r="CU10" i="9"/>
  <c r="CU7" i="9"/>
  <c r="CU45" i="9"/>
  <c r="CU36" i="9"/>
  <c r="CU2" i="9"/>
  <c r="CU9" i="9"/>
  <c r="CU49" i="9"/>
  <c r="CU34" i="9"/>
  <c r="CU24" i="9"/>
  <c r="CU29" i="9"/>
  <c r="CU3" i="9"/>
  <c r="CU23" i="9"/>
  <c r="CU42" i="9"/>
  <c r="CU19" i="9"/>
  <c r="CU20" i="9"/>
  <c r="CU4" i="9"/>
  <c r="CU33" i="9"/>
  <c r="CU46" i="9"/>
  <c r="CU26" i="9"/>
  <c r="CU47" i="9"/>
  <c r="CU48" i="9"/>
  <c r="CU30" i="9"/>
  <c r="CU22" i="9"/>
  <c r="CU5" i="9"/>
  <c r="CU12" i="9"/>
  <c r="CU35" i="9"/>
  <c r="CU21" i="9"/>
  <c r="DT48" i="9"/>
  <c r="CU44" i="9"/>
  <c r="CW28" i="9"/>
  <c r="CO9" i="9"/>
  <c r="CO48" i="9"/>
  <c r="BM43" i="9"/>
  <c r="BM41" i="9"/>
  <c r="BM40" i="9"/>
  <c r="BM21" i="9"/>
  <c r="BM8" i="9"/>
  <c r="BM9" i="9"/>
  <c r="BM23" i="9"/>
  <c r="BM13" i="9"/>
  <c r="BM44" i="9"/>
  <c r="BM33" i="9"/>
  <c r="BM39" i="9"/>
  <c r="BM29" i="9"/>
  <c r="BM19" i="9"/>
  <c r="BM5" i="9"/>
  <c r="BM10" i="9"/>
  <c r="BM42" i="9"/>
  <c r="BM34" i="9"/>
  <c r="BM31" i="9"/>
  <c r="BM14" i="9"/>
  <c r="BM27" i="9"/>
  <c r="BM38" i="9"/>
  <c r="BM24" i="9"/>
  <c r="BM4" i="9"/>
  <c r="BM36" i="9"/>
  <c r="BM12" i="9"/>
  <c r="BM16" i="9"/>
  <c r="BM46" i="9"/>
  <c r="BM32" i="9"/>
  <c r="BM37" i="9"/>
  <c r="BM26" i="9"/>
  <c r="BM22" i="9"/>
  <c r="BM15" i="9"/>
  <c r="BM49" i="9"/>
  <c r="BM6" i="9"/>
  <c r="BM28" i="9"/>
  <c r="BM18" i="9"/>
  <c r="W25" i="9"/>
  <c r="DT6" i="9"/>
  <c r="DT38" i="9"/>
  <c r="CO4" i="9"/>
  <c r="BM25" i="9"/>
  <c r="DR38" i="9"/>
  <c r="CR16" i="9"/>
  <c r="BU12" i="9"/>
  <c r="DT15" i="9"/>
  <c r="DT35" i="9"/>
  <c r="CU14" i="9"/>
  <c r="CU25" i="9"/>
  <c r="CW14" i="9"/>
  <c r="CW37" i="9"/>
  <c r="DE43" i="9"/>
  <c r="DE28" i="9"/>
  <c r="DE34" i="9"/>
  <c r="DE6" i="9"/>
  <c r="DE32" i="9"/>
  <c r="DE5" i="9"/>
  <c r="DE33" i="9"/>
  <c r="DE45" i="9"/>
  <c r="DE44" i="9"/>
  <c r="DE26" i="9"/>
  <c r="DE31" i="9"/>
  <c r="DE18" i="9"/>
  <c r="DE14" i="9"/>
  <c r="DE10" i="9"/>
  <c r="DE15" i="9"/>
  <c r="DE36" i="9"/>
  <c r="DC48" i="9"/>
  <c r="DC37" i="9"/>
  <c r="DC31" i="9"/>
  <c r="DC23" i="9"/>
  <c r="DC5" i="9"/>
  <c r="DC6" i="9"/>
  <c r="DC12" i="9"/>
  <c r="DC46" i="9"/>
  <c r="DC2" i="9"/>
  <c r="DC39" i="9"/>
  <c r="DC43" i="9"/>
  <c r="DC34" i="9"/>
  <c r="DC30" i="9"/>
  <c r="DC22" i="9"/>
  <c r="DC29" i="9"/>
  <c r="DC4" i="9"/>
  <c r="DC45" i="9"/>
  <c r="DC44" i="9"/>
  <c r="DC27" i="9"/>
  <c r="DC19" i="9"/>
  <c r="DC10" i="9"/>
  <c r="DC9" i="9"/>
  <c r="DC28" i="9"/>
  <c r="DC49" i="9"/>
  <c r="DC8" i="9"/>
  <c r="DC7" i="9"/>
  <c r="DC35" i="9"/>
  <c r="DC11" i="9"/>
  <c r="DC36" i="9"/>
  <c r="DC47" i="9"/>
  <c r="DC32" i="9"/>
  <c r="DC38" i="9"/>
  <c r="DC17" i="9"/>
  <c r="DC13" i="9"/>
  <c r="DC14" i="9"/>
  <c r="DC15" i="9"/>
  <c r="DC24" i="9"/>
  <c r="DC25" i="9"/>
  <c r="CO20" i="9"/>
  <c r="BM2" i="9"/>
  <c r="BM45" i="9"/>
  <c r="DM41" i="9"/>
  <c r="DR45" i="9"/>
  <c r="W19" i="9"/>
  <c r="CZ42" i="9"/>
  <c r="CZ36" i="9"/>
  <c r="CZ34" i="9"/>
  <c r="CZ19" i="9"/>
  <c r="CZ27" i="9"/>
  <c r="CZ23" i="9"/>
  <c r="CZ8" i="9"/>
  <c r="CZ48" i="9"/>
  <c r="CZ13" i="9"/>
  <c r="CZ45" i="9"/>
  <c r="CZ41" i="9"/>
  <c r="CZ26" i="9"/>
  <c r="CZ9" i="9"/>
  <c r="CZ15" i="9"/>
  <c r="CZ22" i="9"/>
  <c r="CZ5" i="9"/>
  <c r="CZ17" i="9"/>
  <c r="CZ40" i="9"/>
  <c r="CZ39" i="9"/>
  <c r="CZ18" i="9"/>
  <c r="CZ14" i="9"/>
  <c r="CZ7" i="9"/>
  <c r="CZ12" i="9"/>
  <c r="CZ6" i="9"/>
  <c r="CZ20" i="9"/>
  <c r="CZ29" i="9"/>
  <c r="CZ28" i="9"/>
  <c r="CZ46" i="9"/>
  <c r="CZ49" i="9"/>
  <c r="CZ31" i="9"/>
  <c r="CZ24" i="9"/>
  <c r="CZ4" i="9"/>
  <c r="CZ2" i="9"/>
  <c r="CZ33" i="9"/>
  <c r="CZ16" i="9"/>
  <c r="CZ38" i="9"/>
  <c r="CZ21" i="9"/>
  <c r="CZ32" i="9"/>
  <c r="Z5" i="9"/>
  <c r="DS40" i="9"/>
  <c r="DS14" i="9"/>
  <c r="DS47" i="9"/>
  <c r="DS38" i="9"/>
  <c r="DS20" i="9"/>
  <c r="DS6" i="9"/>
  <c r="DS42" i="9"/>
  <c r="DS32" i="9"/>
  <c r="DS13" i="9"/>
  <c r="DS26" i="9"/>
  <c r="DS3" i="9"/>
  <c r="DS17" i="9"/>
  <c r="DS30" i="9"/>
  <c r="CV2" i="9"/>
  <c r="AP42" i="9"/>
  <c r="R13" i="9"/>
  <c r="BU47" i="9"/>
  <c r="CU32" i="9"/>
  <c r="CO43" i="9"/>
  <c r="CU18" i="9"/>
  <c r="CR48" i="9"/>
  <c r="CR38" i="9"/>
  <c r="CR39" i="9"/>
  <c r="CR24" i="9"/>
  <c r="CR6" i="9"/>
  <c r="CR15" i="9"/>
  <c r="CR4" i="9"/>
  <c r="CR35" i="9"/>
  <c r="CR2" i="9"/>
  <c r="CR9" i="9"/>
  <c r="CR44" i="9"/>
  <c r="CR47" i="9"/>
  <c r="CR23" i="9"/>
  <c r="CR20" i="9"/>
  <c r="CR11" i="9"/>
  <c r="CR7" i="9"/>
  <c r="CR13" i="9"/>
  <c r="CR49" i="9"/>
  <c r="CR45" i="9"/>
  <c r="CR31" i="9"/>
  <c r="CR32" i="9"/>
  <c r="CR3" i="9"/>
  <c r="CR5" i="9"/>
  <c r="CR10" i="9"/>
  <c r="CR28" i="9"/>
  <c r="CR36" i="9"/>
  <c r="CR30" i="9"/>
  <c r="CR46" i="9"/>
  <c r="CR42" i="9"/>
  <c r="CR33" i="9"/>
  <c r="CR43" i="9"/>
  <c r="CR18" i="9"/>
  <c r="CR14" i="9"/>
  <c r="CR17" i="9"/>
  <c r="CR8" i="9"/>
  <c r="CR29" i="9"/>
  <c r="CR25" i="9"/>
  <c r="W43" i="9"/>
  <c r="CU41" i="9"/>
  <c r="DM18" i="9"/>
  <c r="W6" i="9"/>
  <c r="Z42" i="9"/>
  <c r="Z33" i="9"/>
  <c r="Z29" i="9"/>
  <c r="Z3" i="9"/>
  <c r="Z19" i="9"/>
  <c r="Z12" i="9"/>
  <c r="Z34" i="9"/>
  <c r="Z6" i="9"/>
  <c r="Z32" i="9"/>
  <c r="Z35" i="9"/>
  <c r="Z44" i="9"/>
  <c r="Z20" i="9"/>
  <c r="Z23" i="9"/>
  <c r="Z9" i="9"/>
  <c r="Z15" i="9"/>
  <c r="Z49" i="9"/>
  <c r="Z40" i="9"/>
  <c r="Z25" i="9"/>
  <c r="Z26" i="9"/>
  <c r="Z16" i="9"/>
  <c r="Z7" i="9"/>
  <c r="Z37" i="9"/>
  <c r="Z4" i="9"/>
  <c r="Z22" i="9"/>
  <c r="Z48" i="9"/>
  <c r="Z17" i="9"/>
  <c r="Z47" i="9"/>
  <c r="Z24" i="9"/>
  <c r="Z41" i="9"/>
  <c r="Z36" i="9"/>
  <c r="Z28" i="9"/>
  <c r="Z11" i="9"/>
  <c r="Z21" i="9"/>
  <c r="Z2" i="9"/>
  <c r="Z8" i="9"/>
  <c r="Z46" i="9"/>
  <c r="Z14" i="9"/>
  <c r="CU16" i="9"/>
  <c r="CU39" i="9"/>
  <c r="CW4" i="9"/>
  <c r="CW36" i="9"/>
  <c r="CO27" i="9"/>
  <c r="BM3" i="9"/>
  <c r="BM47" i="9"/>
  <c r="DM22" i="9"/>
  <c r="DM47" i="9"/>
  <c r="CR12" i="9"/>
  <c r="CR26" i="9"/>
  <c r="W29" i="9"/>
  <c r="Z13" i="9"/>
  <c r="Z43" i="9"/>
  <c r="DS4" i="9"/>
  <c r="DS44" i="9"/>
  <c r="CV10" i="9"/>
  <c r="N48" i="9"/>
  <c r="N32" i="9"/>
  <c r="N21" i="9"/>
  <c r="N12" i="9"/>
  <c r="N19" i="9"/>
  <c r="N3" i="9"/>
  <c r="N39" i="9"/>
  <c r="N29" i="9"/>
  <c r="N27" i="9"/>
  <c r="N4" i="9"/>
  <c r="N11" i="9"/>
  <c r="N16" i="9"/>
  <c r="N49" i="9"/>
  <c r="N36" i="9"/>
  <c r="N38" i="9"/>
  <c r="N18" i="9"/>
  <c r="N28" i="9"/>
  <c r="N20" i="9"/>
  <c r="N33" i="9"/>
  <c r="N30" i="9"/>
  <c r="N13" i="9"/>
  <c r="N37" i="9"/>
  <c r="N34" i="9"/>
  <c r="N35" i="9"/>
  <c r="N5" i="9"/>
  <c r="N47" i="9"/>
  <c r="N40" i="9"/>
  <c r="N22" i="9"/>
  <c r="N25" i="9"/>
  <c r="N6" i="9"/>
  <c r="N44" i="9"/>
  <c r="N8" i="9"/>
  <c r="N17" i="9"/>
  <c r="N45" i="9"/>
  <c r="N26" i="9"/>
  <c r="N15" i="9"/>
  <c r="N2" i="9"/>
  <c r="N43" i="9"/>
  <c r="N31" i="9"/>
  <c r="N7" i="9"/>
  <c r="N14" i="9"/>
  <c r="N10" i="9"/>
  <c r="N41" i="9"/>
  <c r="N24" i="9"/>
  <c r="N23" i="9"/>
  <c r="R31" i="9"/>
  <c r="CU8" i="9"/>
  <c r="CW30" i="9"/>
  <c r="CW44" i="9"/>
  <c r="W15" i="9"/>
  <c r="W45" i="9"/>
  <c r="DT34" i="9"/>
  <c r="DT24" i="9"/>
  <c r="DT22" i="9"/>
  <c r="DT5" i="9"/>
  <c r="DT18" i="9"/>
  <c r="DT8" i="9"/>
  <c r="DT49" i="9"/>
  <c r="DT39" i="9"/>
  <c r="DT43" i="9"/>
  <c r="DT19" i="9"/>
  <c r="DT17" i="9"/>
  <c r="DT26" i="9"/>
  <c r="DT47" i="9"/>
  <c r="DT42" i="9"/>
  <c r="DT16" i="9"/>
  <c r="DT11" i="9"/>
  <c r="DT4" i="9"/>
  <c r="DT3" i="9"/>
  <c r="DT40" i="9"/>
  <c r="DT10" i="9"/>
  <c r="DT45" i="9"/>
  <c r="DT29" i="9"/>
  <c r="DT2" i="9"/>
  <c r="DT44" i="9"/>
  <c r="DT27" i="9"/>
  <c r="DT23" i="9"/>
  <c r="DT13" i="9"/>
  <c r="DT32" i="9"/>
  <c r="DT31" i="9"/>
  <c r="CU15" i="9"/>
  <c r="CU31" i="9"/>
  <c r="CW27" i="9"/>
  <c r="CO40" i="9"/>
  <c r="Z39" i="9"/>
  <c r="DT46" i="9"/>
  <c r="DT28" i="9"/>
  <c r="DT33" i="9"/>
  <c r="CU38" i="9"/>
  <c r="CW10" i="9"/>
  <c r="CW46" i="9"/>
  <c r="CO28" i="9"/>
  <c r="CO42" i="9"/>
  <c r="BM11" i="9"/>
  <c r="BM48" i="9"/>
  <c r="DM9" i="9"/>
  <c r="DM2" i="9"/>
  <c r="DR47" i="9"/>
  <c r="DR42" i="9"/>
  <c r="DR33" i="9"/>
  <c r="DR20" i="9"/>
  <c r="DR3" i="9"/>
  <c r="DR9" i="9"/>
  <c r="DR15" i="9"/>
  <c r="DR32" i="9"/>
  <c r="DR13" i="9"/>
  <c r="DR5" i="9"/>
  <c r="DR49" i="9"/>
  <c r="DR35" i="9"/>
  <c r="DR31" i="9"/>
  <c r="DR26" i="9"/>
  <c r="DR8" i="9"/>
  <c r="DR7" i="9"/>
  <c r="DR2" i="9"/>
  <c r="DR48" i="9"/>
  <c r="DR40" i="9"/>
  <c r="DR25" i="9"/>
  <c r="DR17" i="9"/>
  <c r="DR24" i="9"/>
  <c r="DR4" i="9"/>
  <c r="DR6" i="9"/>
  <c r="DR46" i="9"/>
  <c r="DR14" i="9"/>
  <c r="DR43" i="9"/>
  <c r="DR22" i="9"/>
  <c r="DR23" i="9"/>
  <c r="DR30" i="9"/>
  <c r="DR44" i="9"/>
  <c r="DR36" i="9"/>
  <c r="DR29" i="9"/>
  <c r="DR11" i="9"/>
  <c r="DR19" i="9"/>
  <c r="DR12" i="9"/>
  <c r="DR34" i="9"/>
  <c r="DR37" i="9"/>
  <c r="DR10" i="9"/>
  <c r="DR18" i="9"/>
  <c r="CR34" i="9"/>
  <c r="W37" i="9"/>
  <c r="CZ25" i="9"/>
  <c r="BW48" i="9"/>
  <c r="BW35" i="9"/>
  <c r="BW27" i="9"/>
  <c r="BW22" i="9"/>
  <c r="BW2" i="9"/>
  <c r="BW16" i="9"/>
  <c r="BW12" i="9"/>
  <c r="BW29" i="9"/>
  <c r="BW42" i="9"/>
  <c r="BW14" i="9"/>
  <c r="BW43" i="9"/>
  <c r="BW40" i="9"/>
  <c r="BW24" i="9"/>
  <c r="BW19" i="9"/>
  <c r="BW21" i="9"/>
  <c r="BW11" i="9"/>
  <c r="BW45" i="9"/>
  <c r="BW36" i="9"/>
  <c r="BW39" i="9"/>
  <c r="BW28" i="9"/>
  <c r="BW18" i="9"/>
  <c r="BW7" i="9"/>
  <c r="BW3" i="9"/>
  <c r="BW25" i="9"/>
  <c r="BW9" i="9"/>
  <c r="BW26" i="9"/>
  <c r="BW46" i="9"/>
  <c r="BW33" i="9"/>
  <c r="BW49" i="9"/>
  <c r="BW34" i="9"/>
  <c r="BW30" i="9"/>
  <c r="BW23" i="9"/>
  <c r="BW10" i="9"/>
  <c r="BW8" i="9"/>
  <c r="BW41" i="9"/>
  <c r="BW20" i="9"/>
  <c r="BW13" i="9"/>
  <c r="Z18" i="9"/>
  <c r="DS37" i="9"/>
  <c r="CV14" i="9"/>
  <c r="CV28" i="9"/>
  <c r="N9" i="9"/>
  <c r="R40" i="9"/>
  <c r="BL24" i="9"/>
  <c r="BL44" i="9"/>
  <c r="BR23" i="9"/>
  <c r="CY24" i="9"/>
  <c r="AT24" i="9"/>
  <c r="BL11" i="9"/>
  <c r="BL48" i="9"/>
  <c r="BR10" i="9"/>
  <c r="CY8" i="9"/>
  <c r="CY35" i="9"/>
  <c r="DM4" i="9"/>
  <c r="CD31" i="9"/>
  <c r="CD41" i="9"/>
  <c r="V25" i="9"/>
  <c r="AT17" i="9"/>
  <c r="CK11" i="9"/>
  <c r="DD14" i="9"/>
  <c r="DD42" i="9"/>
  <c r="AP45" i="9"/>
  <c r="BL8" i="9"/>
  <c r="BL30" i="9"/>
  <c r="BL9" i="9"/>
  <c r="BL25" i="9"/>
  <c r="BL36" i="9"/>
  <c r="BL42" i="9"/>
  <c r="BR5" i="9"/>
  <c r="BR7" i="9"/>
  <c r="BR25" i="9"/>
  <c r="BR41" i="9"/>
  <c r="BR46" i="9"/>
  <c r="CY5" i="9"/>
  <c r="CY27" i="9"/>
  <c r="CY12" i="9"/>
  <c r="CY37" i="9"/>
  <c r="CY32" i="9"/>
  <c r="CY42" i="9"/>
  <c r="DJ2" i="9"/>
  <c r="DJ13" i="9"/>
  <c r="DJ23" i="9"/>
  <c r="DJ36" i="9"/>
  <c r="DJ38" i="9"/>
  <c r="DJ46" i="9"/>
  <c r="DM8" i="9"/>
  <c r="DM15" i="9"/>
  <c r="DM25" i="9"/>
  <c r="DM24" i="9"/>
  <c r="DM34" i="9"/>
  <c r="DM49" i="9"/>
  <c r="AX24" i="9"/>
  <c r="AX11" i="9"/>
  <c r="AX20" i="9"/>
  <c r="AX44" i="9"/>
  <c r="AX41" i="9"/>
  <c r="CD10" i="9"/>
  <c r="CD8" i="9"/>
  <c r="CD29" i="9"/>
  <c r="CD27" i="9"/>
  <c r="CD37" i="9"/>
  <c r="CD49" i="9"/>
  <c r="CQ10" i="9"/>
  <c r="CQ32" i="9"/>
  <c r="CQ21" i="9"/>
  <c r="CQ26" i="9"/>
  <c r="CQ45" i="9"/>
  <c r="DS9" i="9"/>
  <c r="DS16" i="9"/>
  <c r="DS2" i="9"/>
  <c r="DS19" i="9"/>
  <c r="DS39" i="9"/>
  <c r="DS34" i="9"/>
  <c r="DS45" i="9"/>
  <c r="V8" i="9"/>
  <c r="V10" i="9"/>
  <c r="V4" i="9"/>
  <c r="V32" i="9"/>
  <c r="V26" i="9"/>
  <c r="V42" i="9"/>
  <c r="V48" i="9"/>
  <c r="AT20" i="9"/>
  <c r="AT2" i="9"/>
  <c r="AT4" i="9"/>
  <c r="AT21" i="9"/>
  <c r="AT42" i="9"/>
  <c r="AT36" i="9"/>
  <c r="CK13" i="9"/>
  <c r="CK24" i="9"/>
  <c r="CK26" i="9"/>
  <c r="CK28" i="9"/>
  <c r="DL17" i="9"/>
  <c r="DL21" i="9"/>
  <c r="DL20" i="9"/>
  <c r="DL33" i="9"/>
  <c r="DL44" i="9"/>
  <c r="DD12" i="9"/>
  <c r="DD28" i="9"/>
  <c r="DD13" i="9"/>
  <c r="DD29" i="9"/>
  <c r="AP15" i="9"/>
  <c r="AP24" i="9"/>
  <c r="AP26" i="9"/>
  <c r="AD10" i="9"/>
  <c r="AD7" i="9"/>
  <c r="AD32" i="9"/>
  <c r="AD46" i="9"/>
  <c r="R24" i="9"/>
  <c r="R22" i="9"/>
  <c r="CT9" i="9"/>
  <c r="CT18" i="9"/>
  <c r="CT33" i="9"/>
  <c r="CT46" i="9"/>
  <c r="BB13" i="9"/>
  <c r="BB25" i="9"/>
  <c r="BB35" i="9"/>
  <c r="DI12" i="9"/>
  <c r="DI17" i="9"/>
  <c r="DI35" i="9"/>
  <c r="CN21" i="9"/>
  <c r="CN46" i="9"/>
  <c r="CN48" i="9"/>
  <c r="DQ18" i="9"/>
  <c r="DQ17" i="9"/>
  <c r="DQ32" i="9"/>
  <c r="BV7" i="9"/>
  <c r="BV26" i="9"/>
  <c r="BV42" i="9"/>
  <c r="AW19" i="9"/>
  <c r="AW31" i="9"/>
  <c r="AW42" i="9"/>
  <c r="K48" i="9"/>
  <c r="K37" i="9"/>
  <c r="K38" i="9"/>
  <c r="K22" i="9"/>
  <c r="K13" i="9"/>
  <c r="K18" i="9"/>
  <c r="K3" i="9"/>
  <c r="K49" i="9"/>
  <c r="K34" i="9"/>
  <c r="K30" i="9"/>
  <c r="K19" i="9"/>
  <c r="K5" i="9"/>
  <c r="K4" i="9"/>
  <c r="K9" i="9"/>
  <c r="K45" i="9"/>
  <c r="K43" i="9"/>
  <c r="K27" i="9"/>
  <c r="K31" i="9"/>
  <c r="K10" i="9"/>
  <c r="K11" i="9"/>
  <c r="K12" i="9"/>
  <c r="K47" i="9"/>
  <c r="K32" i="9"/>
  <c r="K17" i="9"/>
  <c r="K20" i="9"/>
  <c r="K6" i="9"/>
  <c r="K23" i="9"/>
  <c r="K36" i="9"/>
  <c r="AJ21" i="9"/>
  <c r="AJ30" i="9"/>
  <c r="AJ43" i="9"/>
  <c r="AS22" i="9"/>
  <c r="AS27" i="9"/>
  <c r="AS41" i="9"/>
  <c r="CH48" i="9"/>
  <c r="CH33" i="9"/>
  <c r="CH38" i="9"/>
  <c r="CH21" i="9"/>
  <c r="CH19" i="9"/>
  <c r="CH11" i="9"/>
  <c r="CH22" i="9"/>
  <c r="CH32" i="9"/>
  <c r="AV17" i="9"/>
  <c r="AV26" i="9"/>
  <c r="AR2" i="9"/>
  <c r="AR24" i="9"/>
  <c r="AO4" i="9"/>
  <c r="AO23" i="9"/>
  <c r="AO45" i="9"/>
  <c r="AC49" i="9"/>
  <c r="AC34" i="9"/>
  <c r="AC29" i="9"/>
  <c r="AC21" i="9"/>
  <c r="AC18" i="9"/>
  <c r="AC14" i="9"/>
  <c r="AC3" i="9"/>
  <c r="AC45" i="9"/>
  <c r="AC39" i="9"/>
  <c r="AC42" i="9"/>
  <c r="AC31" i="9"/>
  <c r="AC12" i="9"/>
  <c r="AC11" i="9"/>
  <c r="AC47" i="9"/>
  <c r="AC43" i="9"/>
  <c r="AC26" i="9"/>
  <c r="AC17" i="9"/>
  <c r="AC4" i="9"/>
  <c r="AC5" i="9"/>
  <c r="AC9" i="9"/>
  <c r="AC41" i="9"/>
  <c r="AC24" i="9"/>
  <c r="AC30" i="9"/>
  <c r="AC7" i="9"/>
  <c r="AC22" i="9"/>
  <c r="AC13" i="9"/>
  <c r="AC10" i="9"/>
  <c r="AC37" i="9"/>
  <c r="M23" i="9"/>
  <c r="M21" i="9"/>
  <c r="M39" i="9"/>
  <c r="AK18" i="9"/>
  <c r="AK33" i="9"/>
  <c r="AK40" i="9"/>
  <c r="BN26" i="9"/>
  <c r="BN28" i="9"/>
  <c r="BN43" i="9"/>
  <c r="DO38" i="9"/>
  <c r="AI4" i="9"/>
  <c r="AI26" i="9"/>
  <c r="AI41" i="9"/>
  <c r="CB12" i="9"/>
  <c r="AR37" i="9"/>
  <c r="AR35" i="9"/>
  <c r="AR22" i="9"/>
  <c r="AR26" i="9"/>
  <c r="AR28" i="9"/>
  <c r="AR9" i="9"/>
  <c r="AR34" i="9"/>
  <c r="AR36" i="9"/>
  <c r="AR19" i="9"/>
  <c r="AR17" i="9"/>
  <c r="AR11" i="9"/>
  <c r="AR16" i="9"/>
  <c r="AR49" i="9"/>
  <c r="AR39" i="9"/>
  <c r="AR27" i="9"/>
  <c r="AR31" i="9"/>
  <c r="AR10" i="9"/>
  <c r="AR3" i="9"/>
  <c r="AR12" i="9"/>
  <c r="AR44" i="9"/>
  <c r="AR40" i="9"/>
  <c r="AR30" i="9"/>
  <c r="AR5" i="9"/>
  <c r="AR18" i="9"/>
  <c r="AR13" i="9"/>
  <c r="AR42" i="9"/>
  <c r="M30" i="9"/>
  <c r="M34" i="9"/>
  <c r="AU49" i="9"/>
  <c r="AU40" i="9"/>
  <c r="AU21" i="9"/>
  <c r="AU6" i="9"/>
  <c r="AU17" i="9"/>
  <c r="AU44" i="9"/>
  <c r="AU38" i="9"/>
  <c r="AU27" i="9"/>
  <c r="AU22" i="9"/>
  <c r="AU7" i="9"/>
  <c r="AU46" i="9"/>
  <c r="AU34" i="9"/>
  <c r="AU18" i="9"/>
  <c r="AU25" i="9"/>
  <c r="AU36" i="9"/>
  <c r="AU31" i="9"/>
  <c r="AU23" i="9"/>
  <c r="AU8" i="9"/>
  <c r="AU16" i="9"/>
  <c r="AU47" i="9"/>
  <c r="AU32" i="9"/>
  <c r="AU19" i="9"/>
  <c r="AU5" i="9"/>
  <c r="AU13" i="9"/>
  <c r="AU48" i="9"/>
  <c r="AU33" i="9"/>
  <c r="AU29" i="9"/>
  <c r="AU14" i="9"/>
  <c r="AU11" i="9"/>
  <c r="AU41" i="9"/>
  <c r="DI19" i="9"/>
  <c r="DI24" i="9"/>
  <c r="DI42" i="9"/>
  <c r="CN28" i="9"/>
  <c r="CN35" i="9"/>
  <c r="DQ15" i="9"/>
  <c r="DQ27" i="9"/>
  <c r="DQ30" i="9"/>
  <c r="DQ44" i="9"/>
  <c r="AW10" i="9"/>
  <c r="AW18" i="9"/>
  <c r="AW37" i="9"/>
  <c r="AJ7" i="9"/>
  <c r="AJ24" i="9"/>
  <c r="AJ41" i="9"/>
  <c r="AS4" i="9"/>
  <c r="AS43" i="9"/>
  <c r="AS46" i="9"/>
  <c r="AV19" i="9"/>
  <c r="AV28" i="9"/>
  <c r="AV43" i="9"/>
  <c r="AR4" i="9"/>
  <c r="AR23" i="9"/>
  <c r="AR33" i="9"/>
  <c r="AO2" i="9"/>
  <c r="AO3" i="9"/>
  <c r="M3" i="9"/>
  <c r="M12" i="9"/>
  <c r="M26" i="9"/>
  <c r="M47" i="9"/>
  <c r="AK15" i="9"/>
  <c r="BN13" i="9"/>
  <c r="BN27" i="9"/>
  <c r="DO27" i="9"/>
  <c r="AI23" i="9"/>
  <c r="AI47" i="9"/>
  <c r="AU43" i="9"/>
  <c r="AP48" i="9"/>
  <c r="AP32" i="9"/>
  <c r="AP27" i="9"/>
  <c r="AP34" i="9"/>
  <c r="AP13" i="9"/>
  <c r="AP14" i="9"/>
  <c r="AP46" i="9"/>
  <c r="AP37" i="9"/>
  <c r="AP40" i="9"/>
  <c r="AP31" i="9"/>
  <c r="AP5" i="9"/>
  <c r="AP10" i="9"/>
  <c r="AP43" i="9"/>
  <c r="AP38" i="9"/>
  <c r="AP28" i="9"/>
  <c r="AP18" i="9"/>
  <c r="AP21" i="9"/>
  <c r="AP6" i="9"/>
  <c r="AP23" i="9"/>
  <c r="AP30" i="9"/>
  <c r="AP44" i="9"/>
  <c r="R43" i="9"/>
  <c r="R49" i="9"/>
  <c r="R36" i="9"/>
  <c r="R26" i="9"/>
  <c r="R5" i="9"/>
  <c r="R6" i="9"/>
  <c r="R44" i="9"/>
  <c r="R45" i="9"/>
  <c r="R28" i="9"/>
  <c r="R21" i="9"/>
  <c r="R32" i="9"/>
  <c r="R2" i="9"/>
  <c r="R47" i="9"/>
  <c r="R38" i="9"/>
  <c r="R20" i="9"/>
  <c r="R11" i="9"/>
  <c r="R29" i="9"/>
  <c r="R14" i="9"/>
  <c r="R8" i="9"/>
  <c r="R27" i="9"/>
  <c r="R42" i="9"/>
  <c r="BB28" i="9"/>
  <c r="BB31" i="9"/>
  <c r="BB39" i="9"/>
  <c r="DI23" i="9"/>
  <c r="DI44" i="9"/>
  <c r="CN14" i="9"/>
  <c r="CN20" i="9"/>
  <c r="DQ24" i="9"/>
  <c r="DQ34" i="9"/>
  <c r="BV46" i="9"/>
  <c r="BV37" i="9"/>
  <c r="BV27" i="9"/>
  <c r="BV23" i="9"/>
  <c r="BV21" i="9"/>
  <c r="BV14" i="9"/>
  <c r="BV13" i="9"/>
  <c r="BV25" i="9"/>
  <c r="BV49" i="9"/>
  <c r="AW27" i="9"/>
  <c r="AW36" i="9"/>
  <c r="AJ15" i="9"/>
  <c r="AJ36" i="9"/>
  <c r="AS9" i="9"/>
  <c r="AS33" i="9"/>
  <c r="AV14" i="9"/>
  <c r="AR8" i="9"/>
  <c r="AR20" i="9"/>
  <c r="AR32" i="9"/>
  <c r="AO46" i="9"/>
  <c r="AO49" i="9"/>
  <c r="AO25" i="9"/>
  <c r="AO17" i="9"/>
  <c r="AO16" i="9"/>
  <c r="AO18" i="9"/>
  <c r="AO9" i="9"/>
  <c r="AO11" i="9"/>
  <c r="AO40" i="9"/>
  <c r="M18" i="9"/>
  <c r="M38" i="9"/>
  <c r="AK48" i="9"/>
  <c r="AK46" i="9"/>
  <c r="AK29" i="9"/>
  <c r="AK30" i="9"/>
  <c r="AK4" i="9"/>
  <c r="AK13" i="9"/>
  <c r="AK47" i="9"/>
  <c r="AK36" i="9"/>
  <c r="AK26" i="9"/>
  <c r="AK17" i="9"/>
  <c r="AK23" i="9"/>
  <c r="AK31" i="9"/>
  <c r="AK43" i="9"/>
  <c r="AK44" i="9"/>
  <c r="AK27" i="9"/>
  <c r="AK10" i="9"/>
  <c r="AK20" i="9"/>
  <c r="AK9" i="9"/>
  <c r="AK45" i="9"/>
  <c r="AK39" i="9"/>
  <c r="AK24" i="9"/>
  <c r="AK21" i="9"/>
  <c r="AK12" i="9"/>
  <c r="AK3" i="9"/>
  <c r="AK11" i="9"/>
  <c r="AK22" i="9"/>
  <c r="AK38" i="9"/>
  <c r="BN42" i="9"/>
  <c r="BN33" i="9"/>
  <c r="BN17" i="9"/>
  <c r="BN3" i="9"/>
  <c r="BN15" i="9"/>
  <c r="BN7" i="9"/>
  <c r="BN45" i="9"/>
  <c r="BN34" i="9"/>
  <c r="BN22" i="9"/>
  <c r="BN24" i="9"/>
  <c r="BN14" i="9"/>
  <c r="BN47" i="9"/>
  <c r="BN35" i="9"/>
  <c r="BN25" i="9"/>
  <c r="BN39" i="9"/>
  <c r="BN8" i="9"/>
  <c r="BN12" i="9"/>
  <c r="BN16" i="9"/>
  <c r="BN41" i="9"/>
  <c r="BN40" i="9"/>
  <c r="BN20" i="9"/>
  <c r="BN11" i="9"/>
  <c r="BN9" i="9"/>
  <c r="BN10" i="9"/>
  <c r="BN19" i="9"/>
  <c r="BN30" i="9"/>
  <c r="BN49" i="9"/>
  <c r="DO42" i="9"/>
  <c r="DO31" i="9"/>
  <c r="DO37" i="9"/>
  <c r="DO22" i="9"/>
  <c r="DO25" i="9"/>
  <c r="DO17" i="9"/>
  <c r="DO8" i="9"/>
  <c r="DO36" i="9"/>
  <c r="DO45" i="9"/>
  <c r="DO29" i="9"/>
  <c r="DO12" i="9"/>
  <c r="DO10" i="9"/>
  <c r="DO3" i="9"/>
  <c r="DO44" i="9"/>
  <c r="DO43" i="9"/>
  <c r="DO18" i="9"/>
  <c r="DO14" i="9"/>
  <c r="DO47" i="9"/>
  <c r="DO34" i="9"/>
  <c r="DO30" i="9"/>
  <c r="DO6" i="9"/>
  <c r="DO15" i="9"/>
  <c r="DO40" i="9"/>
  <c r="DO26" i="9"/>
  <c r="DO24" i="9"/>
  <c r="DO11" i="9"/>
  <c r="DO46" i="9"/>
  <c r="DO35" i="9"/>
  <c r="DO4" i="9"/>
  <c r="DO13" i="9"/>
  <c r="DO16" i="9"/>
  <c r="DO49" i="9"/>
  <c r="DO32" i="9"/>
  <c r="DO21" i="9"/>
  <c r="DO20" i="9"/>
  <c r="DO7" i="9"/>
  <c r="DO19" i="9"/>
  <c r="AI22" i="9"/>
  <c r="AU15" i="9"/>
  <c r="BL31" i="9"/>
  <c r="BR27" i="9"/>
  <c r="CY13" i="9"/>
  <c r="CY38" i="9"/>
  <c r="AT15" i="9"/>
  <c r="AT46" i="9"/>
  <c r="BL32" i="9"/>
  <c r="BL33" i="9"/>
  <c r="BR30" i="9"/>
  <c r="CY20" i="9"/>
  <c r="CY49" i="9"/>
  <c r="DM37" i="9"/>
  <c r="CD33" i="9"/>
  <c r="V41" i="9"/>
  <c r="AT13" i="9"/>
  <c r="CK31" i="9"/>
  <c r="DL32" i="9"/>
  <c r="DD19" i="9"/>
  <c r="AP4" i="9"/>
  <c r="R12" i="9"/>
  <c r="DI18" i="9"/>
  <c r="DI37" i="9"/>
  <c r="CN49" i="9"/>
  <c r="CN34" i="9"/>
  <c r="CN29" i="9"/>
  <c r="CN19" i="9"/>
  <c r="CN17" i="9"/>
  <c r="CN26" i="9"/>
  <c r="CN47" i="9"/>
  <c r="CN39" i="9"/>
  <c r="CN36" i="9"/>
  <c r="CN31" i="9"/>
  <c r="CN10" i="9"/>
  <c r="CN11" i="9"/>
  <c r="CN12" i="9"/>
  <c r="CN45" i="9"/>
  <c r="CN40" i="9"/>
  <c r="CN42" i="9"/>
  <c r="CN16" i="9"/>
  <c r="CN2" i="9"/>
  <c r="CN3" i="9"/>
  <c r="CN6" i="9"/>
  <c r="CN44" i="9"/>
  <c r="CN24" i="9"/>
  <c r="CN22" i="9"/>
  <c r="CN5" i="9"/>
  <c r="CN18" i="9"/>
  <c r="CN4" i="9"/>
  <c r="CN32" i="9"/>
  <c r="DQ45" i="9"/>
  <c r="DQ36" i="9"/>
  <c r="DQ23" i="9"/>
  <c r="DQ16" i="9"/>
  <c r="DQ12" i="9"/>
  <c r="DQ9" i="9"/>
  <c r="DQ38" i="9"/>
  <c r="DQ41" i="9"/>
  <c r="DQ29" i="9"/>
  <c r="DQ11" i="9"/>
  <c r="DQ4" i="9"/>
  <c r="DQ48" i="9"/>
  <c r="DQ35" i="9"/>
  <c r="DQ31" i="9"/>
  <c r="DQ20" i="9"/>
  <c r="DQ3" i="9"/>
  <c r="DQ10" i="9"/>
  <c r="DQ5" i="9"/>
  <c r="DQ42" i="9"/>
  <c r="DQ39" i="9"/>
  <c r="DQ37" i="9"/>
  <c r="DQ6" i="9"/>
  <c r="DQ22" i="9"/>
  <c r="DQ13" i="9"/>
  <c r="DQ2" i="9"/>
  <c r="DQ25" i="9"/>
  <c r="DQ43" i="9"/>
  <c r="AW6" i="9"/>
  <c r="AJ48" i="9"/>
  <c r="AJ38" i="9"/>
  <c r="AJ22" i="9"/>
  <c r="AJ10" i="9"/>
  <c r="AJ3" i="9"/>
  <c r="AJ14" i="9"/>
  <c r="AJ44" i="9"/>
  <c r="AJ35" i="9"/>
  <c r="AJ33" i="9"/>
  <c r="AJ2" i="9"/>
  <c r="AJ9" i="9"/>
  <c r="AJ18" i="9"/>
  <c r="AJ49" i="9"/>
  <c r="AJ37" i="9"/>
  <c r="AJ27" i="9"/>
  <c r="AJ28" i="9"/>
  <c r="AJ26" i="9"/>
  <c r="AJ17" i="9"/>
  <c r="AJ46" i="9"/>
  <c r="AJ32" i="9"/>
  <c r="AJ31" i="9"/>
  <c r="AJ5" i="9"/>
  <c r="AJ11" i="9"/>
  <c r="AJ4" i="9"/>
  <c r="AJ13" i="9"/>
  <c r="AJ39" i="9"/>
  <c r="AS47" i="9"/>
  <c r="AS36" i="9"/>
  <c r="AS38" i="9"/>
  <c r="AS21" i="9"/>
  <c r="AS7" i="9"/>
  <c r="AS14" i="9"/>
  <c r="AS49" i="9"/>
  <c r="AS48" i="9"/>
  <c r="AS26" i="9"/>
  <c r="AS17" i="9"/>
  <c r="AS18" i="9"/>
  <c r="AS11" i="9"/>
  <c r="AS3" i="9"/>
  <c r="AS45" i="9"/>
  <c r="AS37" i="9"/>
  <c r="AS31" i="9"/>
  <c r="AS25" i="9"/>
  <c r="AS12" i="9"/>
  <c r="AS5" i="9"/>
  <c r="AS39" i="9"/>
  <c r="AS29" i="9"/>
  <c r="AS30" i="9"/>
  <c r="AS15" i="9"/>
  <c r="AS8" i="9"/>
  <c r="AS32" i="9"/>
  <c r="AR14" i="9"/>
  <c r="AR25" i="9"/>
  <c r="AR46" i="9"/>
  <c r="M41" i="9"/>
  <c r="M40" i="9"/>
  <c r="M33" i="9"/>
  <c r="M2" i="9"/>
  <c r="M8" i="9"/>
  <c r="M9" i="9"/>
  <c r="M43" i="9"/>
  <c r="M37" i="9"/>
  <c r="M35" i="9"/>
  <c r="M25" i="9"/>
  <c r="M4" i="9"/>
  <c r="M5" i="9"/>
  <c r="M7" i="9"/>
  <c r="M29" i="9"/>
  <c r="M49" i="9"/>
  <c r="AU20" i="9"/>
  <c r="CB44" i="9"/>
  <c r="CB40" i="9"/>
  <c r="CB31" i="9"/>
  <c r="CB24" i="9"/>
  <c r="CB3" i="9"/>
  <c r="CB13" i="9"/>
  <c r="CB46" i="9"/>
  <c r="CB38" i="9"/>
  <c r="CB23" i="9"/>
  <c r="CB20" i="9"/>
  <c r="CB22" i="9"/>
  <c r="CB2" i="9"/>
  <c r="CB43" i="9"/>
  <c r="CB28" i="9"/>
  <c r="CB14" i="9"/>
  <c r="CB5" i="9"/>
  <c r="CB35" i="9"/>
  <c r="CB25" i="9"/>
  <c r="CB6" i="9"/>
  <c r="CB4" i="9"/>
  <c r="CB48" i="9"/>
  <c r="CB45" i="9"/>
  <c r="CB26" i="9"/>
  <c r="CB11" i="9"/>
  <c r="CB10" i="9"/>
  <c r="CB47" i="9"/>
  <c r="CB37" i="9"/>
  <c r="CB18" i="9"/>
  <c r="CB19" i="9"/>
  <c r="CB42" i="9"/>
  <c r="CB34" i="9"/>
  <c r="CB29" i="9"/>
  <c r="CB17" i="9"/>
  <c r="CB16" i="9"/>
  <c r="CB41" i="9"/>
  <c r="CB39" i="9"/>
  <c r="CB9" i="9"/>
  <c r="CB15" i="9"/>
  <c r="CB8" i="9"/>
  <c r="CB33" i="9"/>
  <c r="CB32" i="9"/>
  <c r="CB21" i="9"/>
  <c r="CB7" i="9"/>
  <c r="CB27" i="9"/>
  <c r="AA40" i="9"/>
  <c r="AA42" i="9"/>
  <c r="AA17" i="9"/>
  <c r="AA29" i="9"/>
  <c r="AA14" i="9"/>
  <c r="AA12" i="9"/>
  <c r="AA48" i="9"/>
  <c r="AA37" i="9"/>
  <c r="AA38" i="9"/>
  <c r="AA22" i="9"/>
  <c r="AA20" i="9"/>
  <c r="AA6" i="9"/>
  <c r="AA15" i="9"/>
  <c r="AA35" i="9"/>
  <c r="AA24" i="9"/>
  <c r="AA8" i="9"/>
  <c r="AA11" i="9"/>
  <c r="AA43" i="9"/>
  <c r="AA36" i="9"/>
  <c r="AA25" i="9"/>
  <c r="AA13" i="9"/>
  <c r="AA7" i="9"/>
  <c r="AA49" i="9"/>
  <c r="AA47" i="9"/>
  <c r="AA26" i="9"/>
  <c r="AA5" i="9"/>
  <c r="AA3" i="9"/>
  <c r="AA46" i="9"/>
  <c r="AA32" i="9"/>
  <c r="AA31" i="9"/>
  <c r="AA2" i="9"/>
  <c r="AA41" i="9"/>
  <c r="AA39" i="9"/>
  <c r="AA28" i="9"/>
  <c r="AA21" i="9"/>
  <c r="AA9" i="9"/>
  <c r="AA44" i="9"/>
  <c r="AA30" i="9"/>
  <c r="AA23" i="9"/>
  <c r="AA18" i="9"/>
  <c r="AA34" i="9"/>
  <c r="AA27" i="9"/>
  <c r="AA16" i="9"/>
  <c r="AA4" i="9"/>
  <c r="BL3" i="9"/>
  <c r="BL38" i="9"/>
  <c r="BR43" i="9"/>
  <c r="CY14" i="9"/>
  <c r="BL10" i="9"/>
  <c r="BR9" i="9"/>
  <c r="BR45" i="9"/>
  <c r="CY30" i="9"/>
  <c r="DM17" i="9"/>
  <c r="CD34" i="9"/>
  <c r="AT39" i="9"/>
  <c r="AT34" i="9"/>
  <c r="CK10" i="9"/>
  <c r="CK46" i="9"/>
  <c r="DL30" i="9"/>
  <c r="DD21" i="9"/>
  <c r="AP3" i="9"/>
  <c r="R39" i="9"/>
  <c r="BB49" i="9"/>
  <c r="BB43" i="9"/>
  <c r="BB38" i="9"/>
  <c r="BB21" i="9"/>
  <c r="BB19" i="9"/>
  <c r="BB16" i="9"/>
  <c r="BB17" i="9"/>
  <c r="BB47" i="9"/>
  <c r="BB33" i="9"/>
  <c r="BB29" i="9"/>
  <c r="BB18" i="9"/>
  <c r="BB12" i="9"/>
  <c r="BB10" i="9"/>
  <c r="BB8" i="9"/>
  <c r="BB48" i="9"/>
  <c r="BB42" i="9"/>
  <c r="BB46" i="9"/>
  <c r="BB30" i="9"/>
  <c r="BB4" i="9"/>
  <c r="BB6" i="9"/>
  <c r="DK10" i="9"/>
  <c r="DK22" i="9"/>
  <c r="DK30" i="9"/>
  <c r="DE20" i="9"/>
  <c r="DE19" i="9"/>
  <c r="DE42" i="9"/>
  <c r="DE41" i="9"/>
  <c r="BL16" i="9"/>
  <c r="BL7" i="9"/>
  <c r="BL6" i="9"/>
  <c r="BL18" i="9"/>
  <c r="BL39" i="9"/>
  <c r="BL41" i="9"/>
  <c r="BR8" i="9"/>
  <c r="BR4" i="9"/>
  <c r="BR18" i="9"/>
  <c r="BR26" i="9"/>
  <c r="BR42" i="9"/>
  <c r="BR44" i="9"/>
  <c r="CY9" i="9"/>
  <c r="CY18" i="9"/>
  <c r="CY34" i="9"/>
  <c r="CY36" i="9"/>
  <c r="CY48" i="9"/>
  <c r="DJ10" i="9"/>
  <c r="DJ24" i="9"/>
  <c r="DJ21" i="9"/>
  <c r="DJ17" i="9"/>
  <c r="DJ25" i="9"/>
  <c r="DJ42" i="9"/>
  <c r="DM14" i="9"/>
  <c r="DM3" i="9"/>
  <c r="DM12" i="9"/>
  <c r="DM30" i="9"/>
  <c r="DM29" i="9"/>
  <c r="DM46" i="9"/>
  <c r="DM44" i="9"/>
  <c r="AX15" i="9"/>
  <c r="AX8" i="9"/>
  <c r="AX34" i="9"/>
  <c r="AX30" i="9"/>
  <c r="AX32" i="9"/>
  <c r="AX47" i="9"/>
  <c r="CD7" i="9"/>
  <c r="CD6" i="9"/>
  <c r="CD5" i="9"/>
  <c r="CD26" i="9"/>
  <c r="CD28" i="9"/>
  <c r="CD38" i="9"/>
  <c r="CD43" i="9"/>
  <c r="CQ14" i="9"/>
  <c r="CQ24" i="9"/>
  <c r="CQ31" i="9"/>
  <c r="CQ33" i="9"/>
  <c r="DS18" i="9"/>
  <c r="DS29" i="9"/>
  <c r="DS25" i="9"/>
  <c r="DS33" i="9"/>
  <c r="DS49" i="9"/>
  <c r="V20" i="9"/>
  <c r="V15" i="9"/>
  <c r="V24" i="9"/>
  <c r="V46" i="9"/>
  <c r="V45" i="9"/>
  <c r="AT14" i="9"/>
  <c r="AT23" i="9"/>
  <c r="AT22" i="9"/>
  <c r="AT31" i="9"/>
  <c r="AT33" i="9"/>
  <c r="AT44" i="9"/>
  <c r="CK44" i="9"/>
  <c r="CK33" i="9"/>
  <c r="CK37" i="9"/>
  <c r="CK14" i="9"/>
  <c r="CK22" i="9"/>
  <c r="CK9" i="9"/>
  <c r="CK4" i="9"/>
  <c r="CK6" i="9"/>
  <c r="CK30" i="9"/>
  <c r="CK32" i="9"/>
  <c r="CK47" i="9"/>
  <c r="DL6" i="9"/>
  <c r="DL10" i="9"/>
  <c r="DL36" i="9"/>
  <c r="DL39" i="9"/>
  <c r="DD34" i="9"/>
  <c r="DD44" i="9"/>
  <c r="DD30" i="9"/>
  <c r="DD5" i="9"/>
  <c r="DD8" i="9"/>
  <c r="DD39" i="9"/>
  <c r="DD35" i="9"/>
  <c r="DD23" i="9"/>
  <c r="DD26" i="9"/>
  <c r="DD18" i="9"/>
  <c r="DD4" i="9"/>
  <c r="DD2" i="9"/>
  <c r="DD22" i="9"/>
  <c r="DD33" i="9"/>
  <c r="DD48" i="9"/>
  <c r="AP7" i="9"/>
  <c r="AP11" i="9"/>
  <c r="AP33" i="9"/>
  <c r="AP49" i="9"/>
  <c r="AD6" i="9"/>
  <c r="AD23" i="9"/>
  <c r="AD24" i="9"/>
  <c r="AD43" i="9"/>
  <c r="R15" i="9"/>
  <c r="R3" i="9"/>
  <c r="R30" i="9"/>
  <c r="R46" i="9"/>
  <c r="CT3" i="9"/>
  <c r="CT31" i="9"/>
  <c r="CT42" i="9"/>
  <c r="BB2" i="9"/>
  <c r="BB15" i="9"/>
  <c r="BB37" i="9"/>
  <c r="BB45" i="9"/>
  <c r="DI27" i="9"/>
  <c r="DI36" i="9"/>
  <c r="CN9" i="9"/>
  <c r="CN23" i="9"/>
  <c r="CN37" i="9"/>
  <c r="DQ8" i="9"/>
  <c r="DQ28" i="9"/>
  <c r="DQ46" i="9"/>
  <c r="BV43" i="9"/>
  <c r="BV3" i="9"/>
  <c r="BV36" i="9"/>
  <c r="AW4" i="9"/>
  <c r="AW20" i="9"/>
  <c r="AW35" i="9"/>
  <c r="K24" i="9"/>
  <c r="K46" i="9"/>
  <c r="AJ12" i="9"/>
  <c r="AJ20" i="9"/>
  <c r="AJ34" i="9"/>
  <c r="AS13" i="9"/>
  <c r="AS10" i="9"/>
  <c r="AS44" i="9"/>
  <c r="CH46" i="9"/>
  <c r="CH49" i="9"/>
  <c r="AV48" i="9"/>
  <c r="AV33" i="9"/>
  <c r="AV39" i="9"/>
  <c r="AV24" i="9"/>
  <c r="AV11" i="9"/>
  <c r="AV5" i="9"/>
  <c r="AV44" i="9"/>
  <c r="AV40" i="9"/>
  <c r="AV31" i="9"/>
  <c r="AV23" i="9"/>
  <c r="AV3" i="9"/>
  <c r="AV2" i="9"/>
  <c r="AV10" i="9"/>
  <c r="AV46" i="9"/>
  <c r="AV38" i="9"/>
  <c r="AV32" i="9"/>
  <c r="AV20" i="9"/>
  <c r="AV22" i="9"/>
  <c r="AV12" i="9"/>
  <c r="AV41" i="9"/>
  <c r="AV34" i="9"/>
  <c r="AV18" i="9"/>
  <c r="AV6" i="9"/>
  <c r="AV7" i="9"/>
  <c r="AV13" i="9"/>
  <c r="AV9" i="9"/>
  <c r="AV45" i="9"/>
  <c r="AR7" i="9"/>
  <c r="AR43" i="9"/>
  <c r="AR47" i="9"/>
  <c r="AO24" i="9"/>
  <c r="AO26" i="9"/>
  <c r="AO35" i="9"/>
  <c r="AC25" i="9"/>
  <c r="AC35" i="9"/>
  <c r="AC44" i="9"/>
  <c r="M46" i="9"/>
  <c r="M15" i="9"/>
  <c r="M24" i="9"/>
  <c r="AK6" i="9"/>
  <c r="AK25" i="9"/>
  <c r="AK34" i="9"/>
  <c r="BN29" i="9"/>
  <c r="BN18" i="9"/>
  <c r="BN44" i="9"/>
  <c r="DO28" i="9"/>
  <c r="AI43" i="9"/>
  <c r="AI42" i="9"/>
  <c r="AI24" i="9"/>
  <c r="AI19" i="9"/>
  <c r="AI10" i="9"/>
  <c r="AI3" i="9"/>
  <c r="AI45" i="9"/>
  <c r="AI40" i="9"/>
  <c r="AI39" i="9"/>
  <c r="AI32" i="9"/>
  <c r="AI2" i="9"/>
  <c r="AI21" i="9"/>
  <c r="AI44" i="9"/>
  <c r="AI33" i="9"/>
  <c r="AI16" i="9"/>
  <c r="AI12" i="9"/>
  <c r="AI37" i="9"/>
  <c r="AI25" i="9"/>
  <c r="AI8" i="9"/>
  <c r="AI9" i="9"/>
  <c r="AI34" i="9"/>
  <c r="AI17" i="9"/>
  <c r="AI13" i="9"/>
  <c r="AI15" i="9"/>
  <c r="AI46" i="9"/>
  <c r="AI30" i="9"/>
  <c r="AI28" i="9"/>
  <c r="AI29" i="9"/>
  <c r="AI7" i="9"/>
  <c r="AI48" i="9"/>
  <c r="AI36" i="9"/>
  <c r="AI18" i="9"/>
  <c r="AI6" i="9"/>
  <c r="AI20" i="9"/>
  <c r="AI27" i="9"/>
  <c r="AU9" i="9"/>
  <c r="CB36" i="9"/>
  <c r="AA10" i="9"/>
  <c r="BR34" i="9"/>
  <c r="BT33" i="9"/>
  <c r="CL31" i="9"/>
  <c r="CL37" i="9"/>
  <c r="DK5" i="9"/>
  <c r="DK17" i="9"/>
  <c r="DK39" i="9"/>
  <c r="DK41" i="9"/>
  <c r="DE3" i="9"/>
  <c r="DE11" i="9"/>
  <c r="DE4" i="9"/>
  <c r="DE25" i="9"/>
  <c r="DE27" i="9"/>
  <c r="DE37" i="9"/>
  <c r="DE40" i="9"/>
  <c r="BL13" i="9"/>
  <c r="BL15" i="9"/>
  <c r="BL14" i="9"/>
  <c r="BL27" i="9"/>
  <c r="BL34" i="9"/>
  <c r="BL43" i="9"/>
  <c r="BR3" i="9"/>
  <c r="BR12" i="9"/>
  <c r="BR21" i="9"/>
  <c r="BR29" i="9"/>
  <c r="BR33" i="9"/>
  <c r="BR48" i="9"/>
  <c r="CY3" i="9"/>
  <c r="CY2" i="9"/>
  <c r="CY25" i="9"/>
  <c r="CY21" i="9"/>
  <c r="CY31" i="9"/>
  <c r="CY46" i="9"/>
  <c r="DJ7" i="9"/>
  <c r="DJ14" i="9"/>
  <c r="DJ26" i="9"/>
  <c r="DJ20" i="9"/>
  <c r="DJ33" i="9"/>
  <c r="DJ41" i="9"/>
  <c r="DM11" i="9"/>
  <c r="DM23" i="9"/>
  <c r="DM21" i="9"/>
  <c r="DM31" i="9"/>
  <c r="DM36" i="9"/>
  <c r="DM48" i="9"/>
  <c r="AX9" i="9"/>
  <c r="AX16" i="9"/>
  <c r="AX22" i="9"/>
  <c r="AX25" i="9"/>
  <c r="AX35" i="9"/>
  <c r="X27" i="9"/>
  <c r="X14" i="9"/>
  <c r="X18" i="9"/>
  <c r="X40" i="9"/>
  <c r="CD13" i="9"/>
  <c r="CD18" i="9"/>
  <c r="CD36" i="9"/>
  <c r="CD40" i="9"/>
  <c r="CD46" i="9"/>
  <c r="CQ8" i="9"/>
  <c r="CQ16" i="9"/>
  <c r="CQ18" i="9"/>
  <c r="CQ23" i="9"/>
  <c r="CQ41" i="9"/>
  <c r="CQ49" i="9"/>
  <c r="DS7" i="9"/>
  <c r="DS21" i="9"/>
  <c r="DS8" i="9"/>
  <c r="DS31" i="9"/>
  <c r="DS36" i="9"/>
  <c r="DS41" i="9"/>
  <c r="V2" i="9"/>
  <c r="V9" i="9"/>
  <c r="V22" i="9"/>
  <c r="V40" i="9"/>
  <c r="V35" i="9"/>
  <c r="V44" i="9"/>
  <c r="AT10" i="9"/>
  <c r="AT25" i="9"/>
  <c r="AT9" i="9"/>
  <c r="AT18" i="9"/>
  <c r="AT26" i="9"/>
  <c r="AT41" i="9"/>
  <c r="AT49" i="9"/>
  <c r="CK5" i="9"/>
  <c r="CK12" i="9"/>
  <c r="CK21" i="9"/>
  <c r="CK34" i="9"/>
  <c r="CK40" i="9"/>
  <c r="CK48" i="9"/>
  <c r="DL49" i="9"/>
  <c r="DL37" i="9"/>
  <c r="DL27" i="9"/>
  <c r="DL28" i="9"/>
  <c r="DL2" i="9"/>
  <c r="DL3" i="9"/>
  <c r="DL8" i="9"/>
  <c r="DL47" i="9"/>
  <c r="DL42" i="9"/>
  <c r="DL24" i="9"/>
  <c r="DL19" i="9"/>
  <c r="DL15" i="9"/>
  <c r="DL9" i="9"/>
  <c r="DL4" i="9"/>
  <c r="DL5" i="9"/>
  <c r="DL29" i="9"/>
  <c r="DL34" i="9"/>
  <c r="DD3" i="9"/>
  <c r="DD10" i="9"/>
  <c r="DD31" i="9"/>
  <c r="DD32" i="9"/>
  <c r="DD45" i="9"/>
  <c r="J19" i="9"/>
  <c r="J31" i="9"/>
  <c r="J25" i="9"/>
  <c r="J43" i="9"/>
  <c r="AP9" i="9"/>
  <c r="AP22" i="9"/>
  <c r="AP36" i="9"/>
  <c r="AP47" i="9"/>
  <c r="AD19" i="9"/>
  <c r="AD4" i="9"/>
  <c r="AD38" i="9"/>
  <c r="AD39" i="9"/>
  <c r="R9" i="9"/>
  <c r="R18" i="9"/>
  <c r="R25" i="9"/>
  <c r="R48" i="9"/>
  <c r="CT2" i="9"/>
  <c r="CT11" i="9"/>
  <c r="CT36" i="9"/>
  <c r="BB3" i="9"/>
  <c r="BB22" i="9"/>
  <c r="BB41" i="9"/>
  <c r="BB44" i="9"/>
  <c r="DI5" i="9"/>
  <c r="DI6" i="9"/>
  <c r="CN7" i="9"/>
  <c r="CN30" i="9"/>
  <c r="CN43" i="9"/>
  <c r="DQ19" i="9"/>
  <c r="DQ14" i="9"/>
  <c r="DQ33" i="9"/>
  <c r="BV4" i="9"/>
  <c r="BV31" i="9"/>
  <c r="BV32" i="9"/>
  <c r="AW12" i="9"/>
  <c r="AW23" i="9"/>
  <c r="K8" i="9"/>
  <c r="K42" i="9"/>
  <c r="AJ16" i="9"/>
  <c r="AJ25" i="9"/>
  <c r="AJ40" i="9"/>
  <c r="U2" i="9"/>
  <c r="AS6" i="9"/>
  <c r="AS23" i="9"/>
  <c r="AS20" i="9"/>
  <c r="AS42" i="9"/>
  <c r="CH7" i="9"/>
  <c r="CH37" i="9"/>
  <c r="AV4" i="9"/>
  <c r="AV8" i="9"/>
  <c r="AV29" i="9"/>
  <c r="AV35" i="9"/>
  <c r="AR15" i="9"/>
  <c r="AR38" i="9"/>
  <c r="AR41" i="9"/>
  <c r="AO7" i="9"/>
  <c r="AO20" i="9"/>
  <c r="AO38" i="9"/>
  <c r="AC6" i="9"/>
  <c r="AC15" i="9"/>
  <c r="AC33" i="9"/>
  <c r="M22" i="9"/>
  <c r="M17" i="9"/>
  <c r="M48" i="9"/>
  <c r="AK8" i="9"/>
  <c r="AK19" i="9"/>
  <c r="AK42" i="9"/>
  <c r="Q27" i="9"/>
  <c r="BN6" i="9"/>
  <c r="BN23" i="9"/>
  <c r="BN37" i="9"/>
  <c r="DO23" i="9"/>
  <c r="AI11" i="9"/>
  <c r="AI38" i="9"/>
  <c r="AU24" i="9"/>
  <c r="CB49" i="9"/>
  <c r="AA19" i="9"/>
  <c r="BR20" i="9"/>
  <c r="CY26" i="9"/>
  <c r="CY47" i="9"/>
  <c r="AT5" i="9"/>
  <c r="BL5" i="9"/>
  <c r="BR31" i="9"/>
  <c r="CY16" i="9"/>
  <c r="DM26" i="9"/>
  <c r="V7" i="9"/>
  <c r="AT32" i="9"/>
  <c r="AP25" i="9"/>
  <c r="R16" i="9"/>
  <c r="R41" i="9"/>
  <c r="BB26" i="9"/>
  <c r="DI49" i="9"/>
  <c r="DI41" i="9"/>
  <c r="DI25" i="9"/>
  <c r="DI29" i="9"/>
  <c r="DI3" i="9"/>
  <c r="DI2" i="9"/>
  <c r="DI47" i="9"/>
  <c r="DI33" i="9"/>
  <c r="DI30" i="9"/>
  <c r="DI26" i="9"/>
  <c r="DI22" i="9"/>
  <c r="DI15" i="9"/>
  <c r="DI13" i="9"/>
  <c r="DI43" i="9"/>
  <c r="DI34" i="9"/>
  <c r="DI39" i="9"/>
  <c r="DI21" i="9"/>
  <c r="DI8" i="9"/>
  <c r="DI9" i="9"/>
  <c r="DI7" i="9"/>
  <c r="DI46" i="9"/>
  <c r="DI32" i="9"/>
  <c r="DI28" i="9"/>
  <c r="DI31" i="9"/>
  <c r="DI11" i="9"/>
  <c r="DI4" i="9"/>
  <c r="DI10" i="9"/>
  <c r="DI48" i="9"/>
  <c r="AW49" i="9"/>
  <c r="AW41" i="9"/>
  <c r="AW30" i="9"/>
  <c r="AW26" i="9"/>
  <c r="AW22" i="9"/>
  <c r="AW15" i="9"/>
  <c r="AW47" i="9"/>
  <c r="AW33" i="9"/>
  <c r="AW39" i="9"/>
  <c r="AW21" i="9"/>
  <c r="AW16" i="9"/>
  <c r="AW9" i="9"/>
  <c r="AW43" i="9"/>
  <c r="AW34" i="9"/>
  <c r="AW45" i="9"/>
  <c r="AW14" i="9"/>
  <c r="AW8" i="9"/>
  <c r="AW5" i="9"/>
  <c r="AW46" i="9"/>
  <c r="AW32" i="9"/>
  <c r="AW25" i="9"/>
  <c r="AW17" i="9"/>
  <c r="AW3" i="9"/>
  <c r="AW2" i="9"/>
  <c r="AW7" i="9"/>
  <c r="AW44" i="9"/>
  <c r="BT13" i="9"/>
  <c r="BT14" i="9"/>
  <c r="BT18" i="9"/>
  <c r="BT23" i="9"/>
  <c r="CL16" i="9"/>
  <c r="CL21" i="9"/>
  <c r="CL18" i="9"/>
  <c r="CL28" i="9"/>
  <c r="CL38" i="9"/>
  <c r="CL45" i="9"/>
  <c r="BT8" i="9"/>
  <c r="BT7" i="9"/>
  <c r="BT9" i="9"/>
  <c r="BT32" i="9"/>
  <c r="BT31" i="9"/>
  <c r="CL27" i="9"/>
  <c r="CL43" i="9"/>
  <c r="DK12" i="9"/>
  <c r="BT12" i="9"/>
  <c r="BT15" i="9"/>
  <c r="BT16" i="9"/>
  <c r="BT26" i="9"/>
  <c r="BT39" i="9"/>
  <c r="CL2" i="9"/>
  <c r="CL10" i="9"/>
  <c r="CL5" i="9"/>
  <c r="CL22" i="9"/>
  <c r="CL30" i="9"/>
  <c r="CL32" i="9"/>
  <c r="DK15" i="9"/>
  <c r="DK6" i="9"/>
  <c r="DK13" i="9"/>
  <c r="DK25" i="9"/>
  <c r="DK38" i="9"/>
  <c r="DE9" i="9"/>
  <c r="DE12" i="9"/>
  <c r="DE17" i="9"/>
  <c r="DE35" i="9"/>
  <c r="DE48" i="9"/>
  <c r="BL4" i="9"/>
  <c r="BL17" i="9"/>
  <c r="BL21" i="9"/>
  <c r="BL26" i="9"/>
  <c r="BL37" i="9"/>
  <c r="BZ20" i="9"/>
  <c r="BZ4" i="9"/>
  <c r="BZ27" i="9"/>
  <c r="BZ31" i="9"/>
  <c r="BZ36" i="9"/>
  <c r="BR2" i="9"/>
  <c r="BR17" i="9"/>
  <c r="BR19" i="9"/>
  <c r="BR16" i="9"/>
  <c r="BR37" i="9"/>
  <c r="BR36" i="9"/>
  <c r="CY17" i="9"/>
  <c r="CY10" i="9"/>
  <c r="CY4" i="9"/>
  <c r="CY29" i="9"/>
  <c r="CY41" i="9"/>
  <c r="DJ4" i="9"/>
  <c r="DJ5" i="9"/>
  <c r="DJ18" i="9"/>
  <c r="DJ28" i="9"/>
  <c r="DJ44" i="9"/>
  <c r="DM6" i="9"/>
  <c r="DM7" i="9"/>
  <c r="DM16" i="9"/>
  <c r="DM33" i="9"/>
  <c r="DM39" i="9"/>
  <c r="AX10" i="9"/>
  <c r="AX23" i="9"/>
  <c r="AX3" i="9"/>
  <c r="AX17" i="9"/>
  <c r="AX33" i="9"/>
  <c r="X7" i="9"/>
  <c r="X9" i="9"/>
  <c r="X26" i="9"/>
  <c r="X39" i="9"/>
  <c r="CD4" i="9"/>
  <c r="CD12" i="9"/>
  <c r="CD19" i="9"/>
  <c r="CD23" i="9"/>
  <c r="CD44" i="9"/>
  <c r="CD45" i="9"/>
  <c r="CQ11" i="9"/>
  <c r="CQ2" i="9"/>
  <c r="CQ25" i="9"/>
  <c r="CQ27" i="9"/>
  <c r="CQ35" i="9"/>
  <c r="CQ36" i="9"/>
  <c r="DS11" i="9"/>
  <c r="DS28" i="9"/>
  <c r="DS24" i="9"/>
  <c r="DS35" i="9"/>
  <c r="V6" i="9"/>
  <c r="V23" i="9"/>
  <c r="V27" i="9"/>
  <c r="V31" i="9"/>
  <c r="V34" i="9"/>
  <c r="AT19" i="9"/>
  <c r="AT28" i="9"/>
  <c r="AT27" i="9"/>
  <c r="AT38" i="9"/>
  <c r="AT47" i="9"/>
  <c r="CK2" i="9"/>
  <c r="CK27" i="9"/>
  <c r="CK17" i="9"/>
  <c r="CK25" i="9"/>
  <c r="CK35" i="9"/>
  <c r="DL14" i="9"/>
  <c r="DL11" i="9"/>
  <c r="DL13" i="9"/>
  <c r="DL31" i="9"/>
  <c r="DL46" i="9"/>
  <c r="DD6" i="9"/>
  <c r="DD11" i="9"/>
  <c r="DD17" i="9"/>
  <c r="DD38" i="9"/>
  <c r="DD40" i="9"/>
  <c r="DD49" i="9"/>
  <c r="J2" i="9"/>
  <c r="J5" i="9"/>
  <c r="J22" i="9"/>
  <c r="J33" i="9"/>
  <c r="AP12" i="9"/>
  <c r="AP19" i="9"/>
  <c r="AP17" i="9"/>
  <c r="AP39" i="9"/>
  <c r="AD49" i="9"/>
  <c r="AD36" i="9"/>
  <c r="AD29" i="9"/>
  <c r="AD27" i="9"/>
  <c r="AD9" i="9"/>
  <c r="AD2" i="9"/>
  <c r="AD16" i="9"/>
  <c r="AD47" i="9"/>
  <c r="AD48" i="9"/>
  <c r="AD26" i="9"/>
  <c r="AD18" i="9"/>
  <c r="AD25" i="9"/>
  <c r="AD20" i="9"/>
  <c r="AD44" i="9"/>
  <c r="AD41" i="9"/>
  <c r="AD35" i="9"/>
  <c r="AD22" i="9"/>
  <c r="AD28" i="9"/>
  <c r="AD14" i="9"/>
  <c r="AD12" i="9"/>
  <c r="AD31" i="9"/>
  <c r="AD40" i="9"/>
  <c r="R4" i="9"/>
  <c r="R23" i="9"/>
  <c r="R34" i="9"/>
  <c r="R33" i="9"/>
  <c r="CT47" i="9"/>
  <c r="CT35" i="9"/>
  <c r="CT25" i="9"/>
  <c r="CT22" i="9"/>
  <c r="CT24" i="9"/>
  <c r="CT15" i="9"/>
  <c r="CT14" i="9"/>
  <c r="CT49" i="9"/>
  <c r="CT32" i="9"/>
  <c r="CT30" i="9"/>
  <c r="CT39" i="9"/>
  <c r="CT8" i="9"/>
  <c r="CT12" i="9"/>
  <c r="CT4" i="9"/>
  <c r="CT48" i="9"/>
  <c r="CT37" i="9"/>
  <c r="CT27" i="9"/>
  <c r="CT29" i="9"/>
  <c r="CT19" i="9"/>
  <c r="CT16" i="9"/>
  <c r="CT6" i="9"/>
  <c r="CT21" i="9"/>
  <c r="CT34" i="9"/>
  <c r="CT43" i="9"/>
  <c r="CM43" i="9"/>
  <c r="CM44" i="9"/>
  <c r="CM30" i="9"/>
  <c r="CM19" i="9"/>
  <c r="CM2" i="9"/>
  <c r="CM15" i="9"/>
  <c r="CM49" i="9"/>
  <c r="CM34" i="9"/>
  <c r="CM27" i="9"/>
  <c r="CM31" i="9"/>
  <c r="CM11" i="9"/>
  <c r="CM9" i="9"/>
  <c r="CM45" i="9"/>
  <c r="CM35" i="9"/>
  <c r="CM24" i="9"/>
  <c r="CM28" i="9"/>
  <c r="CM29" i="9"/>
  <c r="CM7" i="9"/>
  <c r="CM10" i="9"/>
  <c r="CM26" i="9"/>
  <c r="CM32" i="9"/>
  <c r="BB5" i="9"/>
  <c r="BB27" i="9"/>
  <c r="BB32" i="9"/>
  <c r="DI14" i="9"/>
  <c r="DI45" i="9"/>
  <c r="CN15" i="9"/>
  <c r="CN38" i="9"/>
  <c r="CN41" i="9"/>
  <c r="DQ21" i="9"/>
  <c r="DQ47" i="9"/>
  <c r="BV17" i="9"/>
  <c r="BV35" i="9"/>
  <c r="AW29" i="9"/>
  <c r="AW24" i="9"/>
  <c r="AW40" i="9"/>
  <c r="K15" i="9"/>
  <c r="K16" i="9"/>
  <c r="K33" i="9"/>
  <c r="AJ6" i="9"/>
  <c r="AJ19" i="9"/>
  <c r="AJ42" i="9"/>
  <c r="U48" i="9"/>
  <c r="U37" i="9"/>
  <c r="U33" i="9"/>
  <c r="U30" i="9"/>
  <c r="U12" i="9"/>
  <c r="U3" i="9"/>
  <c r="U11" i="9"/>
  <c r="U47" i="9"/>
  <c r="U38" i="9"/>
  <c r="U29" i="9"/>
  <c r="U17" i="9"/>
  <c r="U4" i="9"/>
  <c r="U13" i="9"/>
  <c r="U41" i="9"/>
  <c r="U32" i="9"/>
  <c r="U26" i="9"/>
  <c r="U31" i="9"/>
  <c r="U23" i="9"/>
  <c r="U9" i="9"/>
  <c r="U45" i="9"/>
  <c r="U46" i="9"/>
  <c r="U44" i="9"/>
  <c r="U21" i="9"/>
  <c r="U7" i="9"/>
  <c r="U6" i="9"/>
  <c r="U5" i="9"/>
  <c r="U10" i="9"/>
  <c r="U35" i="9"/>
  <c r="AS16" i="9"/>
  <c r="AS19" i="9"/>
  <c r="AS34" i="9"/>
  <c r="AN2" i="9"/>
  <c r="AN45" i="9"/>
  <c r="AN39" i="9"/>
  <c r="AN18" i="9"/>
  <c r="AN9" i="9"/>
  <c r="AN7" i="9"/>
  <c r="AN21" i="9"/>
  <c r="AN5" i="9"/>
  <c r="AN49" i="9"/>
  <c r="AN43" i="9"/>
  <c r="AN23" i="9"/>
  <c r="AN14" i="9"/>
  <c r="AN13" i="9"/>
  <c r="AN8" i="9"/>
  <c r="AN46" i="9"/>
  <c r="AN36" i="9"/>
  <c r="AN34" i="9"/>
  <c r="AN24" i="9"/>
  <c r="AN27" i="9"/>
  <c r="AN12" i="9"/>
  <c r="AN17" i="9"/>
  <c r="AN28" i="9"/>
  <c r="AN48" i="9"/>
  <c r="CH15" i="9"/>
  <c r="CH41" i="9"/>
  <c r="AV15" i="9"/>
  <c r="AV27" i="9"/>
  <c r="AV47" i="9"/>
  <c r="AR6" i="9"/>
  <c r="AR21" i="9"/>
  <c r="AR29" i="9"/>
  <c r="AR48" i="9"/>
  <c r="AO10" i="9"/>
  <c r="AO29" i="9"/>
  <c r="AO44" i="9"/>
  <c r="AC2" i="9"/>
  <c r="AC32" i="9"/>
  <c r="M11" i="9"/>
  <c r="M31" i="9"/>
  <c r="M36" i="9"/>
  <c r="AK16" i="9"/>
  <c r="AK28" i="9"/>
  <c r="AK41" i="9"/>
  <c r="Q48" i="9"/>
  <c r="Q47" i="9"/>
  <c r="Q28" i="9"/>
  <c r="Q20" i="9"/>
  <c r="Q11" i="9"/>
  <c r="Q4" i="9"/>
  <c r="Q13" i="9"/>
  <c r="Q46" i="9"/>
  <c r="Q41" i="9"/>
  <c r="Q25" i="9"/>
  <c r="Q17" i="9"/>
  <c r="Q3" i="9"/>
  <c r="Q2" i="9"/>
  <c r="Q7" i="9"/>
  <c r="Q49" i="9"/>
  <c r="Q33" i="9"/>
  <c r="Q30" i="9"/>
  <c r="Q26" i="9"/>
  <c r="Q22" i="9"/>
  <c r="Q15" i="9"/>
  <c r="Q40" i="9"/>
  <c r="Q37" i="9"/>
  <c r="Q23" i="9"/>
  <c r="Q18" i="9"/>
  <c r="Q12" i="9"/>
  <c r="Q10" i="9"/>
  <c r="Q6" i="9"/>
  <c r="Q43" i="9"/>
  <c r="BN31" i="9"/>
  <c r="BN32" i="9"/>
  <c r="AH43" i="9"/>
  <c r="AH38" i="9"/>
  <c r="AH28" i="9"/>
  <c r="AH21" i="9"/>
  <c r="AH5" i="9"/>
  <c r="AH2" i="9"/>
  <c r="AH10" i="9"/>
  <c r="AH42" i="9"/>
  <c r="AH27" i="9"/>
  <c r="AH18" i="9"/>
  <c r="AH9" i="9"/>
  <c r="AH14" i="9"/>
  <c r="AH45" i="9"/>
  <c r="AH36" i="9"/>
  <c r="AH3" i="9"/>
  <c r="AH29" i="9"/>
  <c r="AH4" i="9"/>
  <c r="AH35" i="9"/>
  <c r="AH40" i="9"/>
  <c r="AH24" i="9"/>
  <c r="AH15" i="9"/>
  <c r="AH48" i="9"/>
  <c r="AH34" i="9"/>
  <c r="AH22" i="9"/>
  <c r="AH19" i="9"/>
  <c r="AH41" i="9"/>
  <c r="AH30" i="9"/>
  <c r="AH39" i="9"/>
  <c r="AH23" i="9"/>
  <c r="AH7" i="9"/>
  <c r="AH31" i="9"/>
  <c r="DO2" i="9"/>
  <c r="DO39" i="9"/>
  <c r="AI14" i="9"/>
  <c r="AI35" i="9"/>
  <c r="AU28" i="9"/>
  <c r="AA33" i="9"/>
  <c r="H7" i="9"/>
  <c r="H9" i="9"/>
  <c r="H26" i="9"/>
  <c r="H40" i="9"/>
  <c r="H45" i="9"/>
  <c r="AB18" i="9"/>
  <c r="AB13" i="9"/>
  <c r="AB30" i="9"/>
  <c r="AB32" i="9"/>
  <c r="AB43" i="9"/>
  <c r="P49" i="9"/>
  <c r="P35" i="9"/>
  <c r="P28" i="9"/>
  <c r="P23" i="9"/>
  <c r="P11" i="9"/>
  <c r="P2" i="9"/>
  <c r="P4" i="9"/>
  <c r="P22" i="9"/>
  <c r="P20" i="9"/>
  <c r="P31" i="9"/>
  <c r="P33" i="9"/>
  <c r="DN44" i="9"/>
  <c r="DN35" i="9"/>
  <c r="DN29" i="9"/>
  <c r="DN30" i="9"/>
  <c r="DN4" i="9"/>
  <c r="DN17" i="9"/>
  <c r="DN45" i="9"/>
  <c r="DN32" i="9"/>
  <c r="DN26" i="9"/>
  <c r="DN27" i="9"/>
  <c r="DN9" i="9"/>
  <c r="DN10" i="9"/>
  <c r="DN8" i="9"/>
  <c r="DN12" i="9"/>
  <c r="DN16" i="9"/>
  <c r="DN31" i="9"/>
  <c r="DN48" i="9"/>
  <c r="CF13" i="9"/>
  <c r="CF40" i="9"/>
  <c r="CF42" i="9"/>
  <c r="AM15" i="9"/>
  <c r="AM2" i="9"/>
  <c r="AM24" i="9"/>
  <c r="AM35" i="9"/>
  <c r="CX28" i="9"/>
  <c r="CX27" i="9"/>
  <c r="CX31" i="9"/>
  <c r="DH17" i="9"/>
  <c r="DH9" i="9"/>
  <c r="DH23" i="9"/>
  <c r="AQ45" i="9"/>
  <c r="AQ35" i="9"/>
  <c r="AQ24" i="9"/>
  <c r="AQ28" i="9"/>
  <c r="AQ2" i="9"/>
  <c r="AQ7" i="9"/>
  <c r="AQ18" i="9"/>
  <c r="AQ19" i="9"/>
  <c r="AQ38" i="9"/>
  <c r="AQ44" i="9"/>
  <c r="CJ42" i="9"/>
  <c r="CJ40" i="9"/>
  <c r="CJ26" i="9"/>
  <c r="CJ14" i="9"/>
  <c r="CJ15" i="9"/>
  <c r="CJ22" i="9"/>
  <c r="CJ45" i="9"/>
  <c r="CJ41" i="9"/>
  <c r="CJ18" i="9"/>
  <c r="CJ6" i="9"/>
  <c r="CJ7" i="9"/>
  <c r="CJ27" i="9"/>
  <c r="CJ11" i="9"/>
  <c r="CJ34" i="9"/>
  <c r="CJ49" i="9"/>
  <c r="CJ48" i="9"/>
  <c r="BY7" i="9"/>
  <c r="BY16" i="9"/>
  <c r="BY42" i="9"/>
  <c r="BY49" i="9"/>
  <c r="AE13" i="9"/>
  <c r="AE20" i="9"/>
  <c r="AE27" i="9"/>
  <c r="AE40" i="9"/>
  <c r="BC10" i="9"/>
  <c r="BC27" i="9"/>
  <c r="BC23" i="9"/>
  <c r="BC42" i="9"/>
  <c r="AY5" i="9"/>
  <c r="AY17" i="9"/>
  <c r="AG12" i="9"/>
  <c r="AG25" i="9"/>
  <c r="T11" i="9"/>
  <c r="T44" i="9"/>
  <c r="BO12" i="9"/>
  <c r="BO32" i="9"/>
  <c r="CI35" i="9"/>
  <c r="AE22" i="9"/>
  <c r="AE21" i="9"/>
  <c r="AE37" i="9"/>
  <c r="AE44" i="9"/>
  <c r="BC35" i="9"/>
  <c r="BC19" i="9"/>
  <c r="BC34" i="9"/>
  <c r="BC47" i="9"/>
  <c r="AY49" i="9"/>
  <c r="AY34" i="9"/>
  <c r="AY33" i="9"/>
  <c r="AY19" i="9"/>
  <c r="AY10" i="9"/>
  <c r="AY20" i="9"/>
  <c r="AY45" i="9"/>
  <c r="AY35" i="9"/>
  <c r="AY44" i="9"/>
  <c r="AY23" i="9"/>
  <c r="AY2" i="9"/>
  <c r="AY15" i="9"/>
  <c r="AY7" i="9"/>
  <c r="AY46" i="9"/>
  <c r="AY40" i="9"/>
  <c r="AY25" i="9"/>
  <c r="AY18" i="9"/>
  <c r="AY14" i="9"/>
  <c r="AY21" i="9"/>
  <c r="AY41" i="9"/>
  <c r="AY30" i="9"/>
  <c r="AY13" i="9"/>
  <c r="AY24" i="9"/>
  <c r="AY43" i="9"/>
  <c r="AG10" i="9"/>
  <c r="AG22" i="9"/>
  <c r="AG36" i="9"/>
  <c r="T15" i="9"/>
  <c r="T32" i="9"/>
  <c r="AH47" i="9"/>
  <c r="DN28" i="9"/>
  <c r="DN24" i="9"/>
  <c r="DN34" i="9"/>
  <c r="DN49" i="9"/>
  <c r="AM44" i="9"/>
  <c r="AM45" i="9"/>
  <c r="AM28" i="9"/>
  <c r="AM19" i="9"/>
  <c r="AM6" i="9"/>
  <c r="AM3" i="9"/>
  <c r="AM14" i="9"/>
  <c r="AM23" i="9"/>
  <c r="AM41" i="9"/>
  <c r="AM47" i="9"/>
  <c r="CX48" i="9"/>
  <c r="CX36" i="9"/>
  <c r="CX37" i="9"/>
  <c r="CX21" i="9"/>
  <c r="CX12" i="9"/>
  <c r="CX17" i="9"/>
  <c r="CX14" i="9"/>
  <c r="CX47" i="9"/>
  <c r="CX33" i="9"/>
  <c r="CX29" i="9"/>
  <c r="CX18" i="9"/>
  <c r="CX4" i="9"/>
  <c r="CX3" i="9"/>
  <c r="CX8" i="9"/>
  <c r="CX16" i="9"/>
  <c r="CX32" i="9"/>
  <c r="CX45" i="9"/>
  <c r="BY14" i="9"/>
  <c r="BY2" i="9"/>
  <c r="BY27" i="9"/>
  <c r="AE49" i="9"/>
  <c r="AE41" i="9"/>
  <c r="AE26" i="9"/>
  <c r="AE18" i="9"/>
  <c r="AE14" i="9"/>
  <c r="AE17" i="9"/>
  <c r="AE7" i="9"/>
  <c r="AE47" i="9"/>
  <c r="AE33" i="9"/>
  <c r="AE35" i="9"/>
  <c r="AE24" i="9"/>
  <c r="AE6" i="9"/>
  <c r="AE15" i="9"/>
  <c r="AE25" i="9"/>
  <c r="AE30" i="9"/>
  <c r="AE39" i="9"/>
  <c r="AE48" i="9"/>
  <c r="BC25" i="9"/>
  <c r="BC24" i="9"/>
  <c r="BC45" i="9"/>
  <c r="AY26" i="9"/>
  <c r="AY8" i="9"/>
  <c r="AY27" i="9"/>
  <c r="AY47" i="9"/>
  <c r="AG7" i="9"/>
  <c r="AG3" i="9"/>
  <c r="AG41" i="9"/>
  <c r="T2" i="9"/>
  <c r="T34" i="9"/>
  <c r="AM32" i="9"/>
  <c r="AM49" i="9"/>
  <c r="CX10" i="9"/>
  <c r="CX9" i="9"/>
  <c r="CX25" i="9"/>
  <c r="CX35" i="9"/>
  <c r="CX44" i="9"/>
  <c r="BY43" i="9"/>
  <c r="BY44" i="9"/>
  <c r="BY31" i="9"/>
  <c r="BY17" i="9"/>
  <c r="BY12" i="9"/>
  <c r="BY11" i="9"/>
  <c r="BY46" i="9"/>
  <c r="BY37" i="9"/>
  <c r="BY35" i="9"/>
  <c r="BY25" i="9"/>
  <c r="BY4" i="9"/>
  <c r="BY5" i="9"/>
  <c r="BY6" i="9"/>
  <c r="BY8" i="9"/>
  <c r="BY10" i="9"/>
  <c r="BY26" i="9"/>
  <c r="BY39" i="9"/>
  <c r="AE9" i="9"/>
  <c r="AE29" i="9"/>
  <c r="AE38" i="9"/>
  <c r="BC43" i="9"/>
  <c r="BC33" i="9"/>
  <c r="BC26" i="9"/>
  <c r="BC18" i="9"/>
  <c r="BC9" i="9"/>
  <c r="BC16" i="9"/>
  <c r="BC17" i="9"/>
  <c r="BC48" i="9"/>
  <c r="BC38" i="9"/>
  <c r="BC31" i="9"/>
  <c r="BC30" i="9"/>
  <c r="BC20" i="9"/>
  <c r="BC13" i="9"/>
  <c r="BC6" i="9"/>
  <c r="BC21" i="9"/>
  <c r="BC32" i="9"/>
  <c r="BC49" i="9"/>
  <c r="AY3" i="9"/>
  <c r="AY16" i="9"/>
  <c r="AY39" i="9"/>
  <c r="AG18" i="9"/>
  <c r="T17" i="9"/>
  <c r="T5" i="9"/>
  <c r="T42" i="9"/>
  <c r="BO31" i="9"/>
  <c r="AG42" i="9"/>
  <c r="AG47" i="9"/>
  <c r="AG39" i="9"/>
  <c r="AG29" i="9"/>
  <c r="AG8" i="9"/>
  <c r="AG5" i="9"/>
  <c r="AG48" i="9"/>
  <c r="AG35" i="9"/>
  <c r="AG28" i="9"/>
  <c r="AG20" i="9"/>
  <c r="AG11" i="9"/>
  <c r="AG4" i="9"/>
  <c r="AG43" i="9"/>
  <c r="AG33" i="9"/>
  <c r="AG37" i="9"/>
  <c r="AG21" i="9"/>
  <c r="AG16" i="9"/>
  <c r="AG9" i="9"/>
  <c r="AG26" i="9"/>
  <c r="AG45" i="9"/>
  <c r="T28" i="9"/>
  <c r="AL5" i="9"/>
  <c r="AL19" i="9"/>
  <c r="AL25" i="9"/>
  <c r="AL32" i="9"/>
  <c r="AL40" i="9"/>
  <c r="DA8" i="9"/>
  <c r="DA26" i="9"/>
  <c r="DA37" i="9"/>
  <c r="DA38" i="9"/>
  <c r="DA48" i="9"/>
  <c r="BF19" i="9"/>
  <c r="BF11" i="9"/>
  <c r="BF31" i="9"/>
  <c r="BF39" i="9"/>
  <c r="BF41" i="9"/>
  <c r="BV16" i="9"/>
  <c r="BV11" i="9"/>
  <c r="BV20" i="9"/>
  <c r="BV40" i="9"/>
  <c r="BV41" i="9"/>
  <c r="Y4" i="9"/>
  <c r="Y11" i="9"/>
  <c r="Y23" i="9"/>
  <c r="Y44" i="9"/>
  <c r="Y47" i="9"/>
  <c r="H21" i="9"/>
  <c r="H17" i="9"/>
  <c r="H29" i="9"/>
  <c r="H37" i="9"/>
  <c r="H43" i="9"/>
  <c r="H48" i="9"/>
  <c r="CH9" i="9"/>
  <c r="CH27" i="9"/>
  <c r="CH31" i="9"/>
  <c r="CH35" i="9"/>
  <c r="CH47" i="9"/>
  <c r="AO12" i="9"/>
  <c r="AO14" i="9"/>
  <c r="AO31" i="9"/>
  <c r="AO39" i="9"/>
  <c r="AO42" i="9"/>
  <c r="AB3" i="9"/>
  <c r="AB10" i="9"/>
  <c r="AB31" i="9"/>
  <c r="AB24" i="9"/>
  <c r="AB39" i="9"/>
  <c r="AB49" i="9"/>
  <c r="AF7" i="9"/>
  <c r="AF14" i="9"/>
  <c r="AF27" i="9"/>
  <c r="AF40" i="9"/>
  <c r="BD7" i="9"/>
  <c r="BD9" i="9"/>
  <c r="BD34" i="9"/>
  <c r="BD39" i="9"/>
  <c r="P13" i="9"/>
  <c r="P15" i="9"/>
  <c r="P9" i="9"/>
  <c r="P32" i="9"/>
  <c r="P36" i="9"/>
  <c r="P44" i="9"/>
  <c r="DN2" i="9"/>
  <c r="DN13" i="9"/>
  <c r="DN22" i="9"/>
  <c r="DN37" i="9"/>
  <c r="CF7" i="9"/>
  <c r="CF22" i="9"/>
  <c r="CF32" i="9"/>
  <c r="AM11" i="9"/>
  <c r="AM7" i="9"/>
  <c r="AM25" i="9"/>
  <c r="AM29" i="9"/>
  <c r="AM33" i="9"/>
  <c r="CX11" i="9"/>
  <c r="CX7" i="9"/>
  <c r="CX38" i="9"/>
  <c r="CX42" i="9"/>
  <c r="DH40" i="9"/>
  <c r="DH31" i="9"/>
  <c r="DH27" i="9"/>
  <c r="DH6" i="9"/>
  <c r="DH15" i="9"/>
  <c r="DH16" i="9"/>
  <c r="DH48" i="9"/>
  <c r="DH41" i="9"/>
  <c r="DH34" i="9"/>
  <c r="DH18" i="9"/>
  <c r="DH30" i="9"/>
  <c r="DH7" i="9"/>
  <c r="DH13" i="9"/>
  <c r="DH11" i="9"/>
  <c r="DH25" i="9"/>
  <c r="DH35" i="9"/>
  <c r="DH44" i="9"/>
  <c r="AU42" i="9"/>
  <c r="AQ12" i="9"/>
  <c r="AQ6" i="9"/>
  <c r="AQ8" i="9"/>
  <c r="AQ40" i="9"/>
  <c r="AQ49" i="9"/>
  <c r="CJ5" i="9"/>
  <c r="CJ24" i="9"/>
  <c r="CJ30" i="9"/>
  <c r="CJ32" i="9"/>
  <c r="CJ46" i="9"/>
  <c r="BY3" i="9"/>
  <c r="BY23" i="9"/>
  <c r="BY33" i="9"/>
  <c r="BY29" i="9"/>
  <c r="BY41" i="9"/>
  <c r="AE8" i="9"/>
  <c r="AE12" i="9"/>
  <c r="AE31" i="9"/>
  <c r="AE43" i="9"/>
  <c r="BC3" i="9"/>
  <c r="BC4" i="9"/>
  <c r="BC37" i="9"/>
  <c r="BC39" i="9"/>
  <c r="AY11" i="9"/>
  <c r="AY12" i="9"/>
  <c r="AY31" i="9"/>
  <c r="AY42" i="9"/>
  <c r="DP48" i="9"/>
  <c r="DP33" i="9"/>
  <c r="DP23" i="9"/>
  <c r="DP20" i="9"/>
  <c r="DP16" i="9"/>
  <c r="DP10" i="9"/>
  <c r="DP12" i="9"/>
  <c r="DP49" i="9"/>
  <c r="DP38" i="9"/>
  <c r="DP28" i="9"/>
  <c r="DP37" i="9"/>
  <c r="DP11" i="9"/>
  <c r="DP2" i="9"/>
  <c r="DP44" i="9"/>
  <c r="DP35" i="9"/>
  <c r="DP25" i="9"/>
  <c r="DP30" i="9"/>
  <c r="DP3" i="9"/>
  <c r="DP22" i="9"/>
  <c r="DP42" i="9"/>
  <c r="DP43" i="9"/>
  <c r="DP41" i="9"/>
  <c r="DP9" i="9"/>
  <c r="DP24" i="9"/>
  <c r="DP13" i="9"/>
  <c r="DP29" i="9"/>
  <c r="DP40" i="9"/>
  <c r="AG44" i="9"/>
  <c r="AG17" i="9"/>
  <c r="AG46" i="9"/>
  <c r="T48" i="9"/>
  <c r="T40" i="9"/>
  <c r="T33" i="9"/>
  <c r="T25" i="9"/>
  <c r="T23" i="9"/>
  <c r="T18" i="9"/>
  <c r="T47" i="9"/>
  <c r="T43" i="9"/>
  <c r="T29" i="9"/>
  <c r="T20" i="9"/>
  <c r="T26" i="9"/>
  <c r="T12" i="9"/>
  <c r="T41" i="9"/>
  <c r="T38" i="9"/>
  <c r="T36" i="9"/>
  <c r="T13" i="9"/>
  <c r="T21" i="9"/>
  <c r="T8" i="9"/>
  <c r="T37" i="9"/>
  <c r="T35" i="9"/>
  <c r="T31" i="9"/>
  <c r="T10" i="9"/>
  <c r="T3" i="9"/>
  <c r="T4" i="9"/>
  <c r="T45" i="9"/>
  <c r="T39" i="9"/>
  <c r="T24" i="9"/>
  <c r="T19" i="9"/>
  <c r="T7" i="9"/>
  <c r="T16" i="9"/>
  <c r="T14" i="9"/>
  <c r="T22" i="9"/>
  <c r="T49" i="9"/>
  <c r="BO48" i="9"/>
  <c r="BG37" i="9"/>
  <c r="BG38" i="9"/>
  <c r="BG23" i="9"/>
  <c r="BG13" i="9"/>
  <c r="BG6" i="9"/>
  <c r="BG12" i="9"/>
  <c r="BG43" i="9"/>
  <c r="BG34" i="9"/>
  <c r="BG30" i="9"/>
  <c r="BG19" i="9"/>
  <c r="BG10" i="9"/>
  <c r="BG15" i="9"/>
  <c r="BG45" i="9"/>
  <c r="BG49" i="9"/>
  <c r="BG27" i="9"/>
  <c r="BG28" i="9"/>
  <c r="BG2" i="9"/>
  <c r="BG11" i="9"/>
  <c r="BG9" i="9"/>
  <c r="BG41" i="9"/>
  <c r="BG36" i="9"/>
  <c r="BG25" i="9"/>
  <c r="BG8" i="9"/>
  <c r="BG18" i="9"/>
  <c r="BG3" i="9"/>
  <c r="BG16" i="9"/>
  <c r="BP15" i="9"/>
  <c r="BP47" i="9"/>
  <c r="CI5" i="9"/>
  <c r="CI20" i="9"/>
  <c r="CI49" i="9"/>
  <c r="J24" i="9"/>
  <c r="J11" i="9"/>
  <c r="J29" i="9"/>
  <c r="J39" i="9"/>
  <c r="J42" i="9"/>
  <c r="AL2" i="9"/>
  <c r="AL14" i="9"/>
  <c r="AL13" i="9"/>
  <c r="AL7" i="9"/>
  <c r="AL24" i="9"/>
  <c r="AL35" i="9"/>
  <c r="DA2" i="9"/>
  <c r="DA7" i="9"/>
  <c r="DA27" i="9"/>
  <c r="DA20" i="9"/>
  <c r="DA28" i="9"/>
  <c r="BF21" i="9"/>
  <c r="BF18" i="9"/>
  <c r="BF28" i="9"/>
  <c r="BF38" i="9"/>
  <c r="BF45" i="9"/>
  <c r="BV6" i="9"/>
  <c r="BV19" i="9"/>
  <c r="BV18" i="9"/>
  <c r="BV29" i="9"/>
  <c r="BV39" i="9"/>
  <c r="BV45" i="9"/>
  <c r="Y5" i="9"/>
  <c r="Y12" i="9"/>
  <c r="Y6" i="9"/>
  <c r="Y31" i="9"/>
  <c r="Y41" i="9"/>
  <c r="Y45" i="9"/>
  <c r="H10" i="9"/>
  <c r="H6" i="9"/>
  <c r="H23" i="9"/>
  <c r="H28" i="9"/>
  <c r="H38" i="9"/>
  <c r="CH8" i="9"/>
  <c r="CH10" i="9"/>
  <c r="CH4" i="9"/>
  <c r="CH30" i="9"/>
  <c r="CH26" i="9"/>
  <c r="CH34" i="9"/>
  <c r="CH45" i="9"/>
  <c r="I4" i="9"/>
  <c r="I6" i="9"/>
  <c r="I34" i="9"/>
  <c r="I36" i="9"/>
  <c r="AO5" i="9"/>
  <c r="AO19" i="9"/>
  <c r="AO22" i="9"/>
  <c r="AO21" i="9"/>
  <c r="AO41" i="9"/>
  <c r="AO33" i="9"/>
  <c r="AO47" i="9"/>
  <c r="AB11" i="9"/>
  <c r="AB17" i="9"/>
  <c r="AB19" i="9"/>
  <c r="AB27" i="9"/>
  <c r="AB34" i="9"/>
  <c r="M16" i="9"/>
  <c r="M10" i="9"/>
  <c r="M19" i="9"/>
  <c r="M32" i="9"/>
  <c r="M44" i="9"/>
  <c r="AF15" i="9"/>
  <c r="AF21" i="9"/>
  <c r="AF26" i="9"/>
  <c r="AF37" i="9"/>
  <c r="AF42" i="9"/>
  <c r="BD46" i="9"/>
  <c r="BD36" i="9"/>
  <c r="BD15" i="9"/>
  <c r="BD19" i="9"/>
  <c r="BD41" i="9"/>
  <c r="BD47" i="9"/>
  <c r="BD49" i="9"/>
  <c r="P17" i="9"/>
  <c r="P30" i="9"/>
  <c r="P40" i="9"/>
  <c r="P45" i="9"/>
  <c r="P48" i="9"/>
  <c r="BQ9" i="9"/>
  <c r="BQ12" i="9"/>
  <c r="BQ16" i="9"/>
  <c r="BQ38" i="9"/>
  <c r="DN20" i="9"/>
  <c r="DN18" i="9"/>
  <c r="DN41" i="9"/>
  <c r="DN39" i="9"/>
  <c r="CF43" i="9"/>
  <c r="CF27" i="9"/>
  <c r="CF28" i="9"/>
  <c r="CF10" i="9"/>
  <c r="CF3" i="9"/>
  <c r="CF49" i="9"/>
  <c r="CF37" i="9"/>
  <c r="CF24" i="9"/>
  <c r="CF19" i="9"/>
  <c r="CF2" i="9"/>
  <c r="CF9" i="9"/>
  <c r="CF8" i="9"/>
  <c r="CF15" i="9"/>
  <c r="CF30" i="9"/>
  <c r="CF39" i="9"/>
  <c r="CF45" i="9"/>
  <c r="AM13" i="9"/>
  <c r="AM4" i="9"/>
  <c r="AM31" i="9"/>
  <c r="AM36" i="9"/>
  <c r="CX2" i="9"/>
  <c r="CX5" i="9"/>
  <c r="CX15" i="9"/>
  <c r="CX23" i="9"/>
  <c r="CX46" i="9"/>
  <c r="DH2" i="9"/>
  <c r="DH14" i="9"/>
  <c r="DH28" i="9"/>
  <c r="DH38" i="9"/>
  <c r="AQ9" i="9"/>
  <c r="AQ14" i="9"/>
  <c r="AQ16" i="9"/>
  <c r="AQ27" i="9"/>
  <c r="AQ32" i="9"/>
  <c r="CJ20" i="9"/>
  <c r="CJ39" i="9"/>
  <c r="CJ47" i="9"/>
  <c r="BY9" i="9"/>
  <c r="BY28" i="9"/>
  <c r="BY21" i="9"/>
  <c r="BY24" i="9"/>
  <c r="BY40" i="9"/>
  <c r="AE2" i="9"/>
  <c r="AE19" i="9"/>
  <c r="AE32" i="9"/>
  <c r="AE45" i="9"/>
  <c r="BC7" i="9"/>
  <c r="BC12" i="9"/>
  <c r="BC41" i="9"/>
  <c r="BC46" i="9"/>
  <c r="AY6" i="9"/>
  <c r="AY22" i="9"/>
  <c r="AY37" i="9"/>
  <c r="DP7" i="9"/>
  <c r="DP18" i="9"/>
  <c r="DP47" i="9"/>
  <c r="AG15" i="9"/>
  <c r="AG23" i="9"/>
  <c r="AG49" i="9"/>
  <c r="T6" i="9"/>
  <c r="T30" i="9"/>
  <c r="BE44" i="9"/>
  <c r="BE33" i="9"/>
  <c r="BE37" i="9"/>
  <c r="BE6" i="9"/>
  <c r="BE22" i="9"/>
  <c r="BE9" i="9"/>
  <c r="BE48" i="9"/>
  <c r="BE38" i="9"/>
  <c r="BE28" i="9"/>
  <c r="BE26" i="9"/>
  <c r="BE16" i="9"/>
  <c r="BE7" i="9"/>
  <c r="BE15" i="9"/>
  <c r="BE46" i="9"/>
  <c r="BE35" i="9"/>
  <c r="BE25" i="9"/>
  <c r="BE17" i="9"/>
  <c r="BE8" i="9"/>
  <c r="BE18" i="9"/>
  <c r="BE49" i="9"/>
  <c r="BE32" i="9"/>
  <c r="BE30" i="9"/>
  <c r="BE14" i="9"/>
  <c r="BE27" i="9"/>
  <c r="BE13" i="9"/>
  <c r="BE34" i="9"/>
  <c r="BO20" i="9"/>
  <c r="BO27" i="9"/>
  <c r="J6" i="9"/>
  <c r="J21" i="9"/>
  <c r="J34" i="9"/>
  <c r="J28" i="9"/>
  <c r="J38" i="9"/>
  <c r="AL28" i="9"/>
  <c r="AL15" i="9"/>
  <c r="AL38" i="9"/>
  <c r="AL34" i="9"/>
  <c r="DA24" i="9"/>
  <c r="DA3" i="9"/>
  <c r="DA29" i="9"/>
  <c r="DA36" i="9"/>
  <c r="BF10" i="9"/>
  <c r="BF5" i="9"/>
  <c r="BF22" i="9"/>
  <c r="BF27" i="9"/>
  <c r="BF37" i="9"/>
  <c r="BV10" i="9"/>
  <c r="BV24" i="9"/>
  <c r="BV22" i="9"/>
  <c r="BV28" i="9"/>
  <c r="BV38" i="9"/>
  <c r="Y22" i="9"/>
  <c r="Y14" i="9"/>
  <c r="Y37" i="9"/>
  <c r="Y36" i="9"/>
  <c r="H8" i="9"/>
  <c r="H13" i="9"/>
  <c r="H14" i="9"/>
  <c r="H18" i="9"/>
  <c r="H31" i="9"/>
  <c r="AN15" i="9"/>
  <c r="AN19" i="9"/>
  <c r="AN26" i="9"/>
  <c r="AN41" i="9"/>
  <c r="CH14" i="9"/>
  <c r="CH12" i="9"/>
  <c r="CH18" i="9"/>
  <c r="CH29" i="9"/>
  <c r="CH42" i="9"/>
  <c r="I12" i="9"/>
  <c r="I14" i="9"/>
  <c r="I31" i="9"/>
  <c r="I39" i="9"/>
  <c r="AO13" i="9"/>
  <c r="AO8" i="9"/>
  <c r="AO34" i="9"/>
  <c r="AO30" i="9"/>
  <c r="AO32" i="9"/>
  <c r="AB12" i="9"/>
  <c r="AB26" i="9"/>
  <c r="AB5" i="9"/>
  <c r="AB22" i="9"/>
  <c r="AB35" i="9"/>
  <c r="M13" i="9"/>
  <c r="M28" i="9"/>
  <c r="M20" i="9"/>
  <c r="M27" i="9"/>
  <c r="M42" i="9"/>
  <c r="AF4" i="9"/>
  <c r="AF17" i="9"/>
  <c r="AF9" i="9"/>
  <c r="AF32" i="9"/>
  <c r="AF36" i="9"/>
  <c r="BD16" i="9"/>
  <c r="BD24" i="9"/>
  <c r="BD37" i="9"/>
  <c r="BD25" i="9"/>
  <c r="BD35" i="9"/>
  <c r="BD48" i="9"/>
  <c r="P16" i="9"/>
  <c r="P19" i="9"/>
  <c r="P29" i="9"/>
  <c r="P25" i="9"/>
  <c r="P38" i="9"/>
  <c r="AZ46" i="9"/>
  <c r="AZ35" i="9"/>
  <c r="AZ31" i="9"/>
  <c r="AZ2" i="9"/>
  <c r="AZ9" i="9"/>
  <c r="AZ21" i="9"/>
  <c r="AZ20" i="9"/>
  <c r="AZ33" i="9"/>
  <c r="AZ42" i="9"/>
  <c r="AZ49" i="9"/>
  <c r="F43" i="9"/>
  <c r="F41" i="9"/>
  <c r="F25" i="9"/>
  <c r="F7" i="9"/>
  <c r="F13" i="9"/>
  <c r="F14" i="9"/>
  <c r="F11" i="9"/>
  <c r="F39" i="9"/>
  <c r="F37" i="9"/>
  <c r="F32" i="9"/>
  <c r="F19" i="9"/>
  <c r="F5" i="9"/>
  <c r="F9" i="9"/>
  <c r="F18" i="9"/>
  <c r="F35" i="9"/>
  <c r="F47" i="9"/>
  <c r="BQ42" i="9"/>
  <c r="BQ35" i="9"/>
  <c r="BQ19" i="9"/>
  <c r="BQ2" i="9"/>
  <c r="BQ18" i="9"/>
  <c r="BQ47" i="9"/>
  <c r="BQ34" i="9"/>
  <c r="BQ32" i="9"/>
  <c r="BQ25" i="9"/>
  <c r="BQ22" i="9"/>
  <c r="BQ8" i="9"/>
  <c r="BQ13" i="9"/>
  <c r="BQ7" i="9"/>
  <c r="BQ28" i="9"/>
  <c r="BQ37" i="9"/>
  <c r="BQ45" i="9"/>
  <c r="DN6" i="9"/>
  <c r="DN21" i="9"/>
  <c r="DN46" i="9"/>
  <c r="DN40" i="9"/>
  <c r="CF14" i="9"/>
  <c r="CF6" i="9"/>
  <c r="CF5" i="9"/>
  <c r="CF36" i="9"/>
  <c r="CF34" i="9"/>
  <c r="G43" i="9"/>
  <c r="G34" i="9"/>
  <c r="G29" i="9"/>
  <c r="G12" i="9"/>
  <c r="G10" i="9"/>
  <c r="G46" i="9"/>
  <c r="G32" i="9"/>
  <c r="G21" i="9"/>
  <c r="G4" i="9"/>
  <c r="G2" i="9"/>
  <c r="G8" i="9"/>
  <c r="G14" i="9"/>
  <c r="G23" i="9"/>
  <c r="G41" i="9"/>
  <c r="G47" i="9"/>
  <c r="AM5" i="9"/>
  <c r="AM16" i="9"/>
  <c r="AM12" i="9"/>
  <c r="AM26" i="9"/>
  <c r="AM40" i="9"/>
  <c r="CX13" i="9"/>
  <c r="CX22" i="9"/>
  <c r="CX26" i="9"/>
  <c r="CX39" i="9"/>
  <c r="DH4" i="9"/>
  <c r="DH5" i="9"/>
  <c r="DH21" i="9"/>
  <c r="DH32" i="9"/>
  <c r="DH33" i="9"/>
  <c r="AQ29" i="9"/>
  <c r="AQ31" i="9"/>
  <c r="AQ30" i="9"/>
  <c r="AQ41" i="9"/>
  <c r="CJ4" i="9"/>
  <c r="CJ3" i="9"/>
  <c r="CJ29" i="9"/>
  <c r="CJ36" i="9"/>
  <c r="CJ44" i="9"/>
  <c r="BY13" i="9"/>
  <c r="BY18" i="9"/>
  <c r="BY30" i="9"/>
  <c r="BY32" i="9"/>
  <c r="BY45" i="9"/>
  <c r="AE16" i="9"/>
  <c r="AE10" i="9"/>
  <c r="AE23" i="9"/>
  <c r="AE34" i="9"/>
  <c r="AE42" i="9"/>
  <c r="BC5" i="9"/>
  <c r="BC2" i="9"/>
  <c r="BC22" i="9"/>
  <c r="BC28" i="9"/>
  <c r="BC36" i="9"/>
  <c r="AY4" i="9"/>
  <c r="AY29" i="9"/>
  <c r="AY36" i="9"/>
  <c r="AY32" i="9"/>
  <c r="DP5" i="9"/>
  <c r="DP15" i="9"/>
  <c r="DP26" i="9"/>
  <c r="DP45" i="9"/>
  <c r="AG2" i="9"/>
  <c r="AG30" i="9"/>
  <c r="T9" i="9"/>
  <c r="T27" i="9"/>
  <c r="BE42" i="9"/>
  <c r="BE41" i="9"/>
  <c r="BP44" i="9"/>
  <c r="BP32" i="9"/>
  <c r="BP30" i="9"/>
  <c r="BP20" i="9"/>
  <c r="BP21" i="9"/>
  <c r="BP12" i="9"/>
  <c r="BP46" i="9"/>
  <c r="BP38" i="9"/>
  <c r="BP22" i="9"/>
  <c r="BP13" i="9"/>
  <c r="BP11" i="9"/>
  <c r="BP8" i="9"/>
  <c r="BP37" i="9"/>
  <c r="BP43" i="9"/>
  <c r="BP28" i="9"/>
  <c r="BP5" i="9"/>
  <c r="BP3" i="9"/>
  <c r="BP49" i="9"/>
  <c r="BP40" i="9"/>
  <c r="BP27" i="9"/>
  <c r="BP25" i="9"/>
  <c r="BP2" i="9"/>
  <c r="BP14" i="9"/>
  <c r="BP45" i="9"/>
  <c r="BP34" i="9"/>
  <c r="BP36" i="9"/>
  <c r="BP16" i="9"/>
  <c r="BP26" i="9"/>
  <c r="BP18" i="9"/>
  <c r="BP23" i="9"/>
  <c r="BP41" i="9"/>
  <c r="BP48" i="9"/>
  <c r="BP29" i="9"/>
  <c r="BP33" i="9"/>
  <c r="BP7" i="9"/>
  <c r="BP6" i="9"/>
  <c r="BP4" i="9"/>
  <c r="BP31" i="9"/>
  <c r="CI36" i="9"/>
  <c r="CI41" i="9"/>
  <c r="CI29" i="9"/>
  <c r="CI12" i="9"/>
  <c r="CI10" i="9"/>
  <c r="CI15" i="9"/>
  <c r="CI33" i="9"/>
  <c r="CI31" i="9"/>
  <c r="CI21" i="9"/>
  <c r="CI4" i="9"/>
  <c r="CI2" i="9"/>
  <c r="CI17" i="9"/>
  <c r="CI48" i="9"/>
  <c r="CI38" i="9"/>
  <c r="CI23" i="9"/>
  <c r="CI18" i="9"/>
  <c r="CI9" i="9"/>
  <c r="CI11" i="9"/>
  <c r="CI44" i="9"/>
  <c r="CI39" i="9"/>
  <c r="CI28" i="9"/>
  <c r="CI24" i="9"/>
  <c r="CI14" i="9"/>
  <c r="CI47" i="9"/>
  <c r="CI32" i="9"/>
  <c r="CI40" i="9"/>
  <c r="CI19" i="9"/>
  <c r="CI6" i="9"/>
  <c r="CI7" i="9"/>
  <c r="CI16" i="9"/>
  <c r="CI42" i="9"/>
  <c r="CI26" i="9"/>
  <c r="CI37" i="9"/>
  <c r="CI22" i="9"/>
  <c r="CI25" i="9"/>
  <c r="CI3" i="9"/>
  <c r="CI8" i="9"/>
  <c r="CI30" i="9"/>
  <c r="L16" i="9"/>
  <c r="L11" i="9"/>
  <c r="L17" i="9"/>
  <c r="L19" i="9"/>
  <c r="L35" i="9"/>
  <c r="L34" i="9"/>
  <c r="BA20" i="9"/>
  <c r="BA10" i="9"/>
  <c r="BA31" i="9"/>
  <c r="BA37" i="9"/>
  <c r="BA40" i="9"/>
  <c r="S6" i="9"/>
  <c r="S16" i="9"/>
  <c r="S17" i="9"/>
  <c r="S38" i="9"/>
  <c r="S41" i="9"/>
  <c r="BO3" i="9"/>
  <c r="BO26" i="9"/>
  <c r="BO23" i="9"/>
  <c r="BO39" i="9"/>
  <c r="BO34" i="9"/>
  <c r="BO46" i="9"/>
  <c r="CE21" i="9"/>
  <c r="CE10" i="9"/>
  <c r="CE19" i="9"/>
  <c r="CE27" i="9"/>
  <c r="CE42" i="9"/>
  <c r="CE43" i="9"/>
  <c r="CP14" i="9"/>
  <c r="CP5" i="9"/>
  <c r="CP7" i="9"/>
  <c r="CP16" i="9"/>
  <c r="CP29" i="9"/>
  <c r="CP36" i="9"/>
  <c r="BH12" i="9"/>
  <c r="BH11" i="9"/>
  <c r="BH17" i="9"/>
  <c r="BH22" i="9"/>
  <c r="BH42" i="9"/>
  <c r="BH34" i="9"/>
  <c r="CA13" i="9"/>
  <c r="CA10" i="9"/>
  <c r="CA12" i="9"/>
  <c r="CA29" i="9"/>
  <c r="CA39" i="9"/>
  <c r="CA42" i="9"/>
  <c r="BX48" i="9"/>
  <c r="CC2" i="9"/>
  <c r="CC3" i="9"/>
  <c r="CC17" i="9"/>
  <c r="CC25" i="9"/>
  <c r="CC32" i="9"/>
  <c r="CC46" i="9"/>
  <c r="BJ6" i="9"/>
  <c r="BJ11" i="9"/>
  <c r="BJ7" i="9"/>
  <c r="BJ16" i="9"/>
  <c r="BJ29" i="9"/>
  <c r="BJ39" i="9"/>
  <c r="BJ10" i="9"/>
  <c r="BJ5" i="9"/>
  <c r="BJ15" i="9"/>
  <c r="BJ24" i="9"/>
  <c r="BJ42" i="9"/>
  <c r="BJ40" i="9"/>
  <c r="L18" i="9"/>
  <c r="L5" i="9"/>
  <c r="L30" i="9"/>
  <c r="L42" i="9"/>
  <c r="BO9" i="9"/>
  <c r="BO10" i="9"/>
  <c r="BO19" i="9"/>
  <c r="BO24" i="9"/>
  <c r="BO42" i="9"/>
  <c r="BO43" i="9"/>
  <c r="CP28" i="9"/>
  <c r="CP17" i="9"/>
  <c r="CP32" i="9"/>
  <c r="CP31" i="9"/>
  <c r="CP40" i="9"/>
  <c r="CA25" i="9"/>
  <c r="CA35" i="9"/>
  <c r="CA32" i="9"/>
  <c r="CA40" i="9"/>
  <c r="BJ14" i="9"/>
  <c r="BJ13" i="9"/>
  <c r="BJ17" i="9"/>
  <c r="BJ32" i="9"/>
  <c r="BJ37" i="9"/>
  <c r="BJ43" i="9"/>
  <c r="L7" i="9"/>
  <c r="L13" i="9"/>
  <c r="L38" i="9"/>
  <c r="L33" i="9"/>
  <c r="L43" i="9"/>
  <c r="BA5" i="9"/>
  <c r="BA3" i="9"/>
  <c r="BA12" i="9"/>
  <c r="BA21" i="9"/>
  <c r="BA33" i="9"/>
  <c r="BA39" i="9"/>
  <c r="BA45" i="9"/>
  <c r="BO7" i="9"/>
  <c r="BO16" i="9"/>
  <c r="BO28" i="9"/>
  <c r="BO36" i="9"/>
  <c r="BO37" i="9"/>
  <c r="BO47" i="9"/>
  <c r="CP2" i="9"/>
  <c r="CP25" i="9"/>
  <c r="CP22" i="9"/>
  <c r="CP38" i="9"/>
  <c r="CP37" i="9"/>
  <c r="CP46" i="9"/>
  <c r="BH4" i="9"/>
  <c r="BH7" i="9"/>
  <c r="BH28" i="9"/>
  <c r="BH38" i="9"/>
  <c r="BH33" i="9"/>
  <c r="BH47" i="9"/>
  <c r="CA5" i="9"/>
  <c r="CA22" i="9"/>
  <c r="CA24" i="9"/>
  <c r="CA23" i="9"/>
  <c r="CA43" i="9"/>
  <c r="CA47" i="9"/>
  <c r="BJ20" i="9"/>
  <c r="BJ28" i="9"/>
  <c r="BJ22" i="9"/>
  <c r="BJ38" i="9"/>
  <c r="BJ34" i="9"/>
  <c r="BJ46" i="9"/>
  <c r="BJ2" i="9"/>
  <c r="BJ25" i="9"/>
  <c r="BJ18" i="9"/>
  <c r="BJ23" i="9"/>
  <c r="BJ47" i="9"/>
  <c r="AH26" i="9"/>
  <c r="AH11" i="9"/>
  <c r="AH20" i="9"/>
  <c r="AH33" i="9"/>
  <c r="CS2" i="9"/>
  <c r="CS3" i="9"/>
  <c r="CS29" i="9"/>
  <c r="CS25" i="9"/>
  <c r="CS32" i="9"/>
  <c r="CS46" i="9"/>
  <c r="AM27" i="9"/>
  <c r="AM22" i="9"/>
  <c r="AM37" i="9"/>
  <c r="AM39" i="9"/>
  <c r="AU3" i="9"/>
  <c r="AU2" i="9"/>
  <c r="AU4" i="9"/>
  <c r="AU30" i="9"/>
  <c r="AU37" i="9"/>
  <c r="AU45" i="9"/>
  <c r="AQ21" i="9"/>
  <c r="AQ23" i="9"/>
  <c r="AQ39" i="9"/>
  <c r="AQ36" i="9"/>
  <c r="O2" i="9"/>
  <c r="O4" i="9"/>
  <c r="O21" i="9"/>
  <c r="O37" i="9"/>
  <c r="O45" i="9"/>
  <c r="E14" i="9"/>
  <c r="E6" i="9"/>
  <c r="E7" i="9"/>
  <c r="E21" i="9"/>
  <c r="E40" i="9"/>
  <c r="E34" i="9"/>
  <c r="E49" i="9"/>
  <c r="AG13" i="9"/>
  <c r="AG27" i="9"/>
  <c r="AG6" i="9"/>
  <c r="AG24" i="9"/>
  <c r="AG34" i="9"/>
  <c r="AG38" i="9"/>
  <c r="L8" i="9"/>
  <c r="L21" i="9"/>
  <c r="L20" i="9"/>
  <c r="L24" i="9"/>
  <c r="L44" i="9"/>
  <c r="DU44" i="9" s="1"/>
  <c r="DV44" i="9" s="1"/>
  <c r="D44" i="10" s="1"/>
  <c r="L48" i="9"/>
  <c r="BA8" i="9"/>
  <c r="BA15" i="9"/>
  <c r="BA19" i="9"/>
  <c r="BA32" i="9"/>
  <c r="BA42" i="9"/>
  <c r="BA47" i="9"/>
  <c r="BE5" i="9"/>
  <c r="BE4" i="9"/>
  <c r="BE3" i="9"/>
  <c r="BE29" i="9"/>
  <c r="BE36" i="9"/>
  <c r="BE45" i="9"/>
  <c r="BI28" i="9"/>
  <c r="BI4" i="9"/>
  <c r="BI20" i="9"/>
  <c r="BI42" i="9"/>
  <c r="BI37" i="9"/>
  <c r="BI43" i="9"/>
  <c r="BK3" i="9"/>
  <c r="BK5" i="9"/>
  <c r="BK6" i="9"/>
  <c r="BK32" i="9"/>
  <c r="BK31" i="9"/>
  <c r="BK33" i="9"/>
  <c r="BK44" i="9"/>
  <c r="S21" i="9"/>
  <c r="S5" i="9"/>
  <c r="S36" i="9"/>
  <c r="S39" i="9"/>
  <c r="S40" i="9"/>
  <c r="S43" i="9"/>
  <c r="BO11" i="9"/>
  <c r="BO6" i="9"/>
  <c r="BO13" i="9"/>
  <c r="BO17" i="9"/>
  <c r="BO30" i="9"/>
  <c r="BO44" i="9"/>
  <c r="BS3" i="9"/>
  <c r="BS6" i="9"/>
  <c r="BS22" i="9"/>
  <c r="BS37" i="9"/>
  <c r="BS32" i="9"/>
  <c r="BS46" i="9"/>
  <c r="CG7" i="9"/>
  <c r="CG16" i="9"/>
  <c r="CG33" i="9"/>
  <c r="CG36" i="9"/>
  <c r="BG47" i="9"/>
  <c r="CE11" i="9"/>
  <c r="CE26" i="9"/>
  <c r="CE14" i="9"/>
  <c r="CE18" i="9"/>
  <c r="CE25" i="9"/>
  <c r="CE35" i="9"/>
  <c r="CE48" i="9"/>
  <c r="CP6" i="9"/>
  <c r="CP8" i="9"/>
  <c r="CP9" i="9"/>
  <c r="CP27" i="9"/>
  <c r="CP23" i="9"/>
  <c r="CP33" i="9"/>
  <c r="CP47" i="9"/>
  <c r="DG22" i="9"/>
  <c r="DG19" i="9"/>
  <c r="DG38" i="9"/>
  <c r="DG40" i="9"/>
  <c r="BH14" i="9"/>
  <c r="BH21" i="9"/>
  <c r="BH29" i="9"/>
  <c r="BH40" i="9"/>
  <c r="BH48" i="9"/>
  <c r="CA7" i="9"/>
  <c r="CA8" i="9"/>
  <c r="CA14" i="9"/>
  <c r="CA27" i="9"/>
  <c r="CA26" i="9"/>
  <c r="CA41" i="9"/>
  <c r="CA48" i="9"/>
  <c r="BX5" i="9"/>
  <c r="BX31" i="9"/>
  <c r="BX36" i="9"/>
  <c r="BX37" i="9"/>
  <c r="CC13" i="9"/>
  <c r="CC8" i="9"/>
  <c r="CC14" i="9"/>
  <c r="CC39" i="9"/>
  <c r="CC33" i="9"/>
  <c r="CC42" i="9"/>
  <c r="BJ3" i="9"/>
  <c r="BJ19" i="9"/>
  <c r="BJ9" i="9"/>
  <c r="BJ27" i="9"/>
  <c r="BJ31" i="9"/>
  <c r="BJ33" i="9"/>
  <c r="BJ45" i="9"/>
  <c r="CS4" i="9"/>
  <c r="CS11" i="9"/>
  <c r="CS17" i="9"/>
  <c r="CS28" i="9"/>
  <c r="CS35" i="9"/>
  <c r="AU10" i="9"/>
  <c r="AU12" i="9"/>
  <c r="AU35" i="9"/>
  <c r="AU39" i="9"/>
  <c r="O3" i="9"/>
  <c r="O10" i="9"/>
  <c r="O12" i="9"/>
  <c r="O30" i="9"/>
  <c r="O40" i="9"/>
  <c r="O42" i="9"/>
  <c r="E8" i="9"/>
  <c r="E15" i="9"/>
  <c r="E25" i="9"/>
  <c r="E35" i="9"/>
  <c r="E42" i="9"/>
  <c r="AG19" i="9"/>
  <c r="AG14" i="9"/>
  <c r="AG31" i="9"/>
  <c r="AG40" i="9"/>
  <c r="L6" i="9"/>
  <c r="L14" i="9"/>
  <c r="L2" i="9"/>
  <c r="L25" i="9"/>
  <c r="L27" i="9"/>
  <c r="L46" i="9"/>
  <c r="L45" i="9"/>
  <c r="BA14" i="9"/>
  <c r="BA16" i="9"/>
  <c r="BA22" i="9"/>
  <c r="BA28" i="9"/>
  <c r="BA35" i="9"/>
  <c r="BA41" i="9"/>
  <c r="BE12" i="9"/>
  <c r="BE11" i="9"/>
  <c r="BE31" i="9"/>
  <c r="BE39" i="9"/>
  <c r="BI5" i="9"/>
  <c r="BI12" i="9"/>
  <c r="BI17" i="9"/>
  <c r="BI31" i="9"/>
  <c r="BI36" i="9"/>
  <c r="BK14" i="9"/>
  <c r="BK18" i="9"/>
  <c r="BK35" i="9"/>
  <c r="BK41" i="9"/>
  <c r="BK49" i="9"/>
  <c r="S4" i="9"/>
  <c r="S12" i="9"/>
  <c r="S13" i="9"/>
  <c r="S22" i="9"/>
  <c r="S30" i="9"/>
  <c r="S44" i="9"/>
  <c r="BO15" i="9"/>
  <c r="BO14" i="9"/>
  <c r="BO8" i="9"/>
  <c r="BO25" i="9"/>
  <c r="BO38" i="9"/>
  <c r="BO41" i="9"/>
  <c r="BS17" i="9"/>
  <c r="BS14" i="9"/>
  <c r="BS19" i="9"/>
  <c r="BS28" i="9"/>
  <c r="BS39" i="9"/>
  <c r="BS42" i="9"/>
  <c r="CG6" i="9"/>
  <c r="CG15" i="9"/>
  <c r="CG25" i="9"/>
  <c r="CG24" i="9"/>
  <c r="CG39" i="9"/>
  <c r="CG49" i="9"/>
  <c r="BG14" i="9"/>
  <c r="BG20" i="9"/>
  <c r="BG17" i="9"/>
  <c r="BG42" i="9"/>
  <c r="BG32" i="9"/>
  <c r="CE23" i="9"/>
  <c r="CE31" i="9"/>
  <c r="CE33" i="9"/>
  <c r="CE49" i="9"/>
  <c r="CE46" i="9"/>
  <c r="CP10" i="9"/>
  <c r="CP4" i="9"/>
  <c r="CP21" i="9"/>
  <c r="CP35" i="9"/>
  <c r="CP41" i="9"/>
  <c r="CP44" i="9"/>
  <c r="DF37" i="9"/>
  <c r="DF48" i="9"/>
  <c r="DG5" i="9"/>
  <c r="DG35" i="9"/>
  <c r="DG32" i="9"/>
  <c r="DG33" i="9"/>
  <c r="DG46" i="9"/>
  <c r="BH2" i="9"/>
  <c r="BH31" i="9"/>
  <c r="BH24" i="9"/>
  <c r="BH43" i="9"/>
  <c r="BH45" i="9"/>
  <c r="CA16" i="9"/>
  <c r="CA9" i="9"/>
  <c r="CA21" i="9"/>
  <c r="CA34" i="9"/>
  <c r="CA36" i="9"/>
  <c r="BX7" i="9"/>
  <c r="BX13" i="9"/>
  <c r="BX30" i="9"/>
  <c r="BX35" i="9"/>
  <c r="BX43" i="9"/>
  <c r="CC15" i="9"/>
  <c r="CC16" i="9"/>
  <c r="CC21" i="9"/>
  <c r="CC45" i="9"/>
  <c r="CC41" i="9"/>
  <c r="CC44" i="9"/>
  <c r="BJ8" i="9"/>
  <c r="BJ4" i="9"/>
  <c r="BJ21" i="9"/>
  <c r="BJ35" i="9"/>
  <c r="BJ41" i="9"/>
  <c r="BJ44" i="9"/>
  <c r="O20" i="9"/>
  <c r="O19" i="9"/>
  <c r="O29" i="9"/>
  <c r="O39" i="9"/>
  <c r="E16" i="9"/>
  <c r="E22" i="9"/>
  <c r="E19" i="9"/>
  <c r="E32" i="9"/>
  <c r="L12" i="9"/>
  <c r="L3" i="9"/>
  <c r="L10" i="9"/>
  <c r="L31" i="9"/>
  <c r="L36" i="9"/>
  <c r="L39" i="9"/>
  <c r="BA18" i="9"/>
  <c r="BA2" i="9"/>
  <c r="BA27" i="9"/>
  <c r="BA38" i="9"/>
  <c r="BK8" i="9"/>
  <c r="BK25" i="9"/>
  <c r="BK27" i="9"/>
  <c r="BK26" i="9"/>
  <c r="BK36" i="9"/>
  <c r="S20" i="9"/>
  <c r="S8" i="9"/>
  <c r="S31" i="9"/>
  <c r="S32" i="9"/>
  <c r="BO4" i="9"/>
  <c r="BO21" i="9"/>
  <c r="BO29" i="9"/>
  <c r="BO18" i="9"/>
  <c r="BO33" i="9"/>
  <c r="BO35" i="9"/>
  <c r="BS7" i="9"/>
  <c r="BS20" i="9"/>
  <c r="BS24" i="9"/>
  <c r="BS23" i="9"/>
  <c r="BS45" i="9"/>
  <c r="CG8" i="9"/>
  <c r="CG22" i="9"/>
  <c r="CG19" i="9"/>
  <c r="CG32" i="9"/>
  <c r="CG34" i="9"/>
  <c r="BG31" i="9"/>
  <c r="BG29" i="9"/>
  <c r="BG26" i="9"/>
  <c r="BG33" i="9"/>
  <c r="CE4" i="9"/>
  <c r="CE9" i="9"/>
  <c r="CE2" i="9"/>
  <c r="CE29" i="9"/>
  <c r="CE24" i="9"/>
  <c r="CE34" i="9"/>
  <c r="CP11" i="9"/>
  <c r="CP12" i="9"/>
  <c r="CP30" i="9"/>
  <c r="CP26" i="9"/>
  <c r="CP48" i="9"/>
  <c r="DF22" i="9"/>
  <c r="DF32" i="9"/>
  <c r="DF34" i="9"/>
  <c r="DG3" i="9"/>
  <c r="DG6" i="9"/>
  <c r="DG24" i="9"/>
  <c r="DG23" i="9"/>
  <c r="DG41" i="9"/>
  <c r="BH3" i="9"/>
  <c r="BH10" i="9"/>
  <c r="BH19" i="9"/>
  <c r="BH27" i="9"/>
  <c r="BH39" i="9"/>
  <c r="CA11" i="9"/>
  <c r="CA2" i="9"/>
  <c r="CA4" i="9"/>
  <c r="CA30" i="9"/>
  <c r="CA37" i="9"/>
  <c r="BX8" i="9"/>
  <c r="BX15" i="9"/>
  <c r="BX20" i="9"/>
  <c r="BX40" i="9"/>
  <c r="BX42" i="9"/>
  <c r="CC10" i="9"/>
  <c r="CC22" i="9"/>
  <c r="CC26" i="9"/>
  <c r="CC30" i="9"/>
  <c r="CC47" i="9"/>
  <c r="BJ12" i="9"/>
  <c r="BJ30" i="9"/>
  <c r="BJ26" i="9"/>
  <c r="BJ36" i="9"/>
  <c r="DU20" i="9" l="1"/>
  <c r="DV20" i="9" s="1"/>
  <c r="D20" i="10" s="1"/>
  <c r="DU10" i="9"/>
  <c r="DV10" i="9" s="1"/>
  <c r="D10" i="10" s="1"/>
  <c r="DU18" i="9"/>
  <c r="DV18" i="9" s="1"/>
  <c r="D18" i="10" s="1"/>
  <c r="DU32" i="9"/>
  <c r="DV32" i="9" s="1"/>
  <c r="D32" i="10" s="1"/>
  <c r="DU49" i="9"/>
  <c r="DV49" i="9" s="1"/>
  <c r="D49" i="10" s="1"/>
  <c r="P49" i="10" s="1"/>
  <c r="Q49" i="10" s="1"/>
  <c r="DU13" i="9"/>
  <c r="DV13" i="9" s="1"/>
  <c r="D13" i="10" s="1"/>
  <c r="DU6" i="9"/>
  <c r="DV6" i="9" s="1"/>
  <c r="D6" i="10" s="1"/>
  <c r="DU22" i="9"/>
  <c r="DV22" i="9" s="1"/>
  <c r="D22" i="10" s="1"/>
  <c r="DU35" i="9"/>
  <c r="DV35" i="9" s="1"/>
  <c r="D35" i="10" s="1"/>
  <c r="DU2" i="9"/>
  <c r="DV2" i="9" s="1"/>
  <c r="D2" i="10" s="1"/>
  <c r="DU15" i="9"/>
  <c r="DV15" i="9" s="1"/>
  <c r="D15" i="10" s="1"/>
  <c r="DU7" i="9"/>
  <c r="DV7" i="9" s="1"/>
  <c r="D7" i="10" s="1"/>
  <c r="DU43" i="9"/>
  <c r="DV43" i="9" s="1"/>
  <c r="D43" i="10" s="1"/>
  <c r="DU33" i="9"/>
  <c r="DV33" i="9" s="1"/>
  <c r="D33" i="10" s="1"/>
  <c r="DU30" i="9"/>
  <c r="DV30" i="9" s="1"/>
  <c r="D30" i="10" s="1"/>
  <c r="DU14" i="9"/>
  <c r="DV14" i="9" s="1"/>
  <c r="D14" i="10" s="1"/>
  <c r="K14" i="10" s="1"/>
  <c r="F16" i="11" s="1"/>
  <c r="DU46" i="9"/>
  <c r="DV46" i="9" s="1"/>
  <c r="D46" i="10" s="1"/>
  <c r="DU11" i="9"/>
  <c r="DV11" i="9" s="1"/>
  <c r="D11" i="10" s="1"/>
  <c r="DU24" i="9"/>
  <c r="DV24" i="9" s="1"/>
  <c r="D24" i="10" s="1"/>
  <c r="DU27" i="9"/>
  <c r="DV27" i="9" s="1"/>
  <c r="D27" i="10" s="1"/>
  <c r="L27" i="10" s="1"/>
  <c r="G29" i="11" s="1"/>
  <c r="DU17" i="9"/>
  <c r="DV17" i="9" s="1"/>
  <c r="D17" i="10" s="1"/>
  <c r="DU39" i="9"/>
  <c r="DV39" i="9" s="1"/>
  <c r="D39" i="10" s="1"/>
  <c r="L39" i="10" s="1"/>
  <c r="G41" i="11" s="1"/>
  <c r="DU3" i="9"/>
  <c r="DV3" i="9" s="1"/>
  <c r="D3" i="10" s="1"/>
  <c r="B5" i="11" s="1"/>
  <c r="DU23" i="9"/>
  <c r="DV23" i="9" s="1"/>
  <c r="D23" i="10" s="1"/>
  <c r="DU36" i="9"/>
  <c r="DV36" i="9" s="1"/>
  <c r="D36" i="10" s="1"/>
  <c r="DU37" i="9"/>
  <c r="DV37" i="9" s="1"/>
  <c r="D37" i="10" s="1"/>
  <c r="DU9" i="9"/>
  <c r="DV9" i="9" s="1"/>
  <c r="D9" i="10" s="1"/>
  <c r="DU19" i="9"/>
  <c r="DV19" i="9" s="1"/>
  <c r="D19" i="10" s="1"/>
  <c r="DU42" i="9"/>
  <c r="DV42" i="9" s="1"/>
  <c r="D42" i="10" s="1"/>
  <c r="I42" i="10" s="1"/>
  <c r="J44" i="11" s="1"/>
  <c r="DU34" i="9"/>
  <c r="DV34" i="9" s="1"/>
  <c r="D34" i="10" s="1"/>
  <c r="L34" i="10" s="1"/>
  <c r="G36" i="11" s="1"/>
  <c r="DU29" i="9"/>
  <c r="DV29" i="9" s="1"/>
  <c r="D29" i="10" s="1"/>
  <c r="L29" i="10" s="1"/>
  <c r="G31" i="11" s="1"/>
  <c r="DU5" i="9"/>
  <c r="DV5" i="9" s="1"/>
  <c r="D5" i="10" s="1"/>
  <c r="DU38" i="9"/>
  <c r="DV38" i="9" s="1"/>
  <c r="D38" i="10" s="1"/>
  <c r="DU48" i="9"/>
  <c r="DV48" i="9" s="1"/>
  <c r="D48" i="10" s="1"/>
  <c r="DU26" i="9"/>
  <c r="DV26" i="9" s="1"/>
  <c r="D26" i="10" s="1"/>
  <c r="DU47" i="9"/>
  <c r="DV47" i="9" s="1"/>
  <c r="D47" i="10" s="1"/>
  <c r="L47" i="10" s="1"/>
  <c r="G49" i="11" s="1"/>
  <c r="DU8" i="9"/>
  <c r="DV8" i="9" s="1"/>
  <c r="D8" i="10" s="1"/>
  <c r="L8" i="10" s="1"/>
  <c r="G10" i="11" s="1"/>
  <c r="DU12" i="9"/>
  <c r="DV12" i="9" s="1"/>
  <c r="D12" i="10" s="1"/>
  <c r="I12" i="10" s="1"/>
  <c r="J14" i="11" s="1"/>
  <c r="DU40" i="9"/>
  <c r="DV40" i="9" s="1"/>
  <c r="D40" i="10" s="1"/>
  <c r="K40" i="10" s="1"/>
  <c r="F42" i="11" s="1"/>
  <c r="DU25" i="9"/>
  <c r="DV25" i="9" s="1"/>
  <c r="D25" i="10" s="1"/>
  <c r="DU28" i="9"/>
  <c r="DV28" i="9" s="1"/>
  <c r="D28" i="10" s="1"/>
  <c r="DU16" i="9"/>
  <c r="DV16" i="9" s="1"/>
  <c r="D16" i="10" s="1"/>
  <c r="DU21" i="9"/>
  <c r="DV21" i="9" s="1"/>
  <c r="D21" i="10" s="1"/>
  <c r="DU4" i="9"/>
  <c r="DV4" i="9" s="1"/>
  <c r="D4" i="10" s="1"/>
  <c r="P4" i="10" s="1"/>
  <c r="Q4" i="10" s="1"/>
  <c r="DU41" i="9"/>
  <c r="DV41" i="9" s="1"/>
  <c r="D41" i="10" s="1"/>
  <c r="P41" i="10" s="1"/>
  <c r="Q41" i="10" s="1"/>
  <c r="DU31" i="9"/>
  <c r="DV31" i="9" s="1"/>
  <c r="D31" i="10" s="1"/>
  <c r="L31" i="10" s="1"/>
  <c r="G33" i="11" s="1"/>
  <c r="DU45" i="9"/>
  <c r="DV45" i="9" s="1"/>
  <c r="D45" i="10" s="1"/>
  <c r="P45" i="10" s="1"/>
  <c r="Q45" i="10" s="1"/>
  <c r="B22" i="11"/>
  <c r="P20" i="10"/>
  <c r="Q20" i="10" s="1"/>
  <c r="E20" i="10"/>
  <c r="C22" i="11" s="1"/>
  <c r="L20" i="10"/>
  <c r="G22" i="11" s="1"/>
  <c r="K20" i="10"/>
  <c r="F22" i="11" s="1"/>
  <c r="I20" i="10"/>
  <c r="J22" i="11" s="1"/>
  <c r="H20" i="10"/>
  <c r="I22" i="11" s="1"/>
  <c r="B16" i="11"/>
  <c r="L14" i="10"/>
  <c r="G16" i="11" s="1"/>
  <c r="E14" i="10"/>
  <c r="C16" i="11" s="1"/>
  <c r="H14" i="10"/>
  <c r="I16" i="11" s="1"/>
  <c r="P46" i="10"/>
  <c r="Q46" i="10" s="1"/>
  <c r="B48" i="11"/>
  <c r="E46" i="10"/>
  <c r="C48" i="11" s="1"/>
  <c r="L46" i="10"/>
  <c r="G48" i="11" s="1"/>
  <c r="K46" i="10"/>
  <c r="F48" i="11" s="1"/>
  <c r="I46" i="10"/>
  <c r="J48" i="11" s="1"/>
  <c r="H46" i="10"/>
  <c r="I48" i="11" s="1"/>
  <c r="B13" i="11"/>
  <c r="K11" i="10"/>
  <c r="F13" i="11" s="1"/>
  <c r="I11" i="10"/>
  <c r="J13" i="11" s="1"/>
  <c r="P11" i="10"/>
  <c r="Q11" i="10" s="1"/>
  <c r="E11" i="10"/>
  <c r="C13" i="11" s="1"/>
  <c r="L11" i="10"/>
  <c r="G13" i="11" s="1"/>
  <c r="H11" i="10"/>
  <c r="I13" i="11" s="1"/>
  <c r="B26" i="11"/>
  <c r="I24" i="10"/>
  <c r="J26" i="11" s="1"/>
  <c r="H24" i="10"/>
  <c r="I26" i="11" s="1"/>
  <c r="P24" i="10"/>
  <c r="Q24" i="10" s="1"/>
  <c r="E24" i="10"/>
  <c r="C26" i="11" s="1"/>
  <c r="L24" i="10"/>
  <c r="G26" i="11" s="1"/>
  <c r="K24" i="10"/>
  <c r="F26" i="11" s="1"/>
  <c r="K27" i="10"/>
  <c r="F29" i="11" s="1"/>
  <c r="I27" i="10"/>
  <c r="J29" i="11" s="1"/>
  <c r="H27" i="10"/>
  <c r="I29" i="11" s="1"/>
  <c r="P27" i="10"/>
  <c r="Q27" i="10" s="1"/>
  <c r="B25" i="11"/>
  <c r="P23" i="10"/>
  <c r="Q23" i="10" s="1"/>
  <c r="E23" i="10"/>
  <c r="C25" i="11" s="1"/>
  <c r="L23" i="10"/>
  <c r="G25" i="11" s="1"/>
  <c r="K23" i="10"/>
  <c r="F25" i="11" s="1"/>
  <c r="I23" i="10"/>
  <c r="J25" i="11" s="1"/>
  <c r="H23" i="10"/>
  <c r="I25" i="11" s="1"/>
  <c r="B12" i="11"/>
  <c r="H10" i="10"/>
  <c r="I12" i="11" s="1"/>
  <c r="P10" i="10"/>
  <c r="Q10" i="10" s="1"/>
  <c r="K10" i="10"/>
  <c r="F12" i="11" s="1"/>
  <c r="I10" i="10"/>
  <c r="J12" i="11" s="1"/>
  <c r="L10" i="10"/>
  <c r="G12" i="11" s="1"/>
  <c r="E10" i="10"/>
  <c r="C12" i="11" s="1"/>
  <c r="B20" i="11"/>
  <c r="H18" i="10"/>
  <c r="I20" i="11" s="1"/>
  <c r="P18" i="10"/>
  <c r="Q18" i="10" s="1"/>
  <c r="E18" i="10"/>
  <c r="C20" i="11" s="1"/>
  <c r="L18" i="10"/>
  <c r="G20" i="11" s="1"/>
  <c r="K18" i="10"/>
  <c r="F20" i="11" s="1"/>
  <c r="I18" i="10"/>
  <c r="J20" i="11" s="1"/>
  <c r="H49" i="10"/>
  <c r="I51" i="11" s="1"/>
  <c r="B51" i="11"/>
  <c r="E49" i="10"/>
  <c r="C51" i="11" s="1"/>
  <c r="L49" i="10"/>
  <c r="G51" i="11" s="1"/>
  <c r="K49" i="10"/>
  <c r="F51" i="11" s="1"/>
  <c r="I49" i="10"/>
  <c r="J51" i="11" s="1"/>
  <c r="B11" i="11"/>
  <c r="E9" i="10"/>
  <c r="C11" i="11" s="1"/>
  <c r="K9" i="10"/>
  <c r="F11" i="11" s="1"/>
  <c r="H9" i="10"/>
  <c r="I11" i="11" s="1"/>
  <c r="P9" i="10"/>
  <c r="Q9" i="10" s="1"/>
  <c r="L9" i="10"/>
  <c r="G11" i="11" s="1"/>
  <c r="I9" i="10"/>
  <c r="J11" i="11" s="1"/>
  <c r="B15" i="11"/>
  <c r="I13" i="10"/>
  <c r="J15" i="11" s="1"/>
  <c r="H13" i="10"/>
  <c r="I15" i="11" s="1"/>
  <c r="P13" i="10"/>
  <c r="Q13" i="10" s="1"/>
  <c r="L13" i="10"/>
  <c r="G15" i="11" s="1"/>
  <c r="K13" i="10"/>
  <c r="F15" i="11" s="1"/>
  <c r="E13" i="10"/>
  <c r="C15" i="11" s="1"/>
  <c r="B8" i="11"/>
  <c r="L6" i="10"/>
  <c r="G8" i="11" s="1"/>
  <c r="P6" i="10"/>
  <c r="Q6" i="10" s="1"/>
  <c r="E6" i="10"/>
  <c r="C8" i="11" s="1"/>
  <c r="K6" i="10"/>
  <c r="F8" i="11" s="1"/>
  <c r="I6" i="10"/>
  <c r="J8" i="11" s="1"/>
  <c r="H6" i="10"/>
  <c r="I8" i="11" s="1"/>
  <c r="K3" i="10"/>
  <c r="F5" i="11" s="1"/>
  <c r="I3" i="10"/>
  <c r="J5" i="11" s="1"/>
  <c r="P3" i="10"/>
  <c r="Q3" i="10" s="1"/>
  <c r="E3" i="10"/>
  <c r="C5" i="11" s="1"/>
  <c r="L3" i="10"/>
  <c r="G5" i="11" s="1"/>
  <c r="H3" i="10"/>
  <c r="I5" i="11" s="1"/>
  <c r="B34" i="11"/>
  <c r="I32" i="10"/>
  <c r="J34" i="11" s="1"/>
  <c r="H32" i="10"/>
  <c r="I34" i="11" s="1"/>
  <c r="P32" i="10"/>
  <c r="Q32" i="10" s="1"/>
  <c r="E32" i="10"/>
  <c r="C34" i="11" s="1"/>
  <c r="L32" i="10"/>
  <c r="G34" i="11" s="1"/>
  <c r="K32" i="10"/>
  <c r="F34" i="11" s="1"/>
  <c r="B7" i="11"/>
  <c r="I5" i="10"/>
  <c r="J7" i="11" s="1"/>
  <c r="L5" i="10"/>
  <c r="G7" i="11" s="1"/>
  <c r="K5" i="10"/>
  <c r="F7" i="11" s="1"/>
  <c r="P5" i="10"/>
  <c r="Q5" i="10" s="1"/>
  <c r="E5" i="10"/>
  <c r="C7" i="11" s="1"/>
  <c r="H5" i="10"/>
  <c r="I7" i="11" s="1"/>
  <c r="H47" i="10"/>
  <c r="I49" i="11" s="1"/>
  <c r="P47" i="10"/>
  <c r="Q47" i="10" s="1"/>
  <c r="B49" i="11"/>
  <c r="K47" i="10"/>
  <c r="F49" i="11" s="1"/>
  <c r="E47" i="10"/>
  <c r="C49" i="11" s="1"/>
  <c r="B38" i="11"/>
  <c r="H36" i="10"/>
  <c r="I38" i="11" s="1"/>
  <c r="P36" i="10"/>
  <c r="Q36" i="10" s="1"/>
  <c r="I36" i="10"/>
  <c r="J38" i="11" s="1"/>
  <c r="E36" i="10"/>
  <c r="C38" i="11" s="1"/>
  <c r="L36" i="10"/>
  <c r="G38" i="11" s="1"/>
  <c r="K36" i="10"/>
  <c r="F38" i="11" s="1"/>
  <c r="B31" i="11"/>
  <c r="I29" i="10"/>
  <c r="J31" i="11" s="1"/>
  <c r="P29" i="10"/>
  <c r="Q29" i="10" s="1"/>
  <c r="E29" i="10"/>
  <c r="C31" i="11" s="1"/>
  <c r="K29" i="10"/>
  <c r="F31" i="11" s="1"/>
  <c r="B28" i="11"/>
  <c r="H26" i="10"/>
  <c r="I28" i="11" s="1"/>
  <c r="P26" i="10"/>
  <c r="Q26" i="10" s="1"/>
  <c r="E26" i="10"/>
  <c r="C28" i="11" s="1"/>
  <c r="L26" i="10"/>
  <c r="G28" i="11" s="1"/>
  <c r="K26" i="10"/>
  <c r="F28" i="11" s="1"/>
  <c r="I26" i="10"/>
  <c r="J28" i="11" s="1"/>
  <c r="B24" i="11"/>
  <c r="L22" i="10"/>
  <c r="G24" i="11" s="1"/>
  <c r="K22" i="10"/>
  <c r="F24" i="11" s="1"/>
  <c r="I22" i="10"/>
  <c r="J24" i="11" s="1"/>
  <c r="H22" i="10"/>
  <c r="I24" i="11" s="1"/>
  <c r="P22" i="10"/>
  <c r="Q22" i="10" s="1"/>
  <c r="E22" i="10"/>
  <c r="C24" i="11" s="1"/>
  <c r="E35" i="10"/>
  <c r="C37" i="11" s="1"/>
  <c r="B37" i="11"/>
  <c r="K35" i="10"/>
  <c r="F37" i="11" s="1"/>
  <c r="P35" i="10"/>
  <c r="Q35" i="10" s="1"/>
  <c r="L35" i="10"/>
  <c r="G37" i="11" s="1"/>
  <c r="I35" i="10"/>
  <c r="J37" i="11" s="1"/>
  <c r="H35" i="10"/>
  <c r="I37" i="11" s="1"/>
  <c r="L40" i="10"/>
  <c r="G42" i="11" s="1"/>
  <c r="B42" i="11"/>
  <c r="P40" i="10"/>
  <c r="Q40" i="10" s="1"/>
  <c r="I40" i="10"/>
  <c r="J42" i="11" s="1"/>
  <c r="H40" i="10"/>
  <c r="I42" i="11" s="1"/>
  <c r="B4" i="11"/>
  <c r="H2" i="10"/>
  <c r="I4" i="11" s="1"/>
  <c r="P2" i="10"/>
  <c r="Q2" i="10" s="1"/>
  <c r="K2" i="10"/>
  <c r="F4" i="11" s="1"/>
  <c r="I2" i="10"/>
  <c r="J4" i="11" s="1"/>
  <c r="L2" i="10"/>
  <c r="G4" i="11" s="1"/>
  <c r="E2" i="10"/>
  <c r="C4" i="11" s="1"/>
  <c r="B27" i="11"/>
  <c r="E25" i="10"/>
  <c r="C27" i="11" s="1"/>
  <c r="L25" i="10"/>
  <c r="G27" i="11" s="1"/>
  <c r="K25" i="10"/>
  <c r="F27" i="11" s="1"/>
  <c r="I25" i="10"/>
  <c r="J27" i="11" s="1"/>
  <c r="H25" i="10"/>
  <c r="I27" i="11" s="1"/>
  <c r="P25" i="10"/>
  <c r="Q25" i="10" s="1"/>
  <c r="B30" i="11"/>
  <c r="P28" i="10"/>
  <c r="Q28" i="10" s="1"/>
  <c r="E28" i="10"/>
  <c r="C30" i="11" s="1"/>
  <c r="L28" i="10"/>
  <c r="G30" i="11" s="1"/>
  <c r="K28" i="10"/>
  <c r="F30" i="11" s="1"/>
  <c r="I28" i="10"/>
  <c r="J30" i="11" s="1"/>
  <c r="H28" i="10"/>
  <c r="I30" i="11" s="1"/>
  <c r="I39" i="10"/>
  <c r="J41" i="11" s="1"/>
  <c r="H39" i="10"/>
  <c r="I41" i="11" s="1"/>
  <c r="K39" i="10"/>
  <c r="F41" i="11" s="1"/>
  <c r="P39" i="10"/>
  <c r="Q39" i="10" s="1"/>
  <c r="E39" i="10"/>
  <c r="C41" i="11" s="1"/>
  <c r="K37" i="10"/>
  <c r="F39" i="11" s="1"/>
  <c r="I37" i="10"/>
  <c r="J39" i="11" s="1"/>
  <c r="B39" i="11"/>
  <c r="E37" i="10"/>
  <c r="C39" i="11" s="1"/>
  <c r="P37" i="10"/>
  <c r="Q37" i="10" s="1"/>
  <c r="L37" i="10"/>
  <c r="G39" i="11" s="1"/>
  <c r="H37" i="10"/>
  <c r="I39" i="11" s="1"/>
  <c r="P38" i="10"/>
  <c r="Q38" i="10" s="1"/>
  <c r="B40" i="11"/>
  <c r="L38" i="10"/>
  <c r="G40" i="11" s="1"/>
  <c r="H38" i="10"/>
  <c r="I40" i="11" s="1"/>
  <c r="K38" i="10"/>
  <c r="F40" i="11" s="1"/>
  <c r="I38" i="10"/>
  <c r="J40" i="11" s="1"/>
  <c r="E38" i="10"/>
  <c r="C40" i="11" s="1"/>
  <c r="B23" i="11"/>
  <c r="I21" i="10"/>
  <c r="J23" i="11" s="1"/>
  <c r="H21" i="10"/>
  <c r="I23" i="11" s="1"/>
  <c r="P21" i="10"/>
  <c r="Q21" i="10" s="1"/>
  <c r="E21" i="10"/>
  <c r="C23" i="11" s="1"/>
  <c r="L21" i="10"/>
  <c r="G23" i="11" s="1"/>
  <c r="K21" i="10"/>
  <c r="F23" i="11" s="1"/>
  <c r="B6" i="11"/>
  <c r="L4" i="10"/>
  <c r="G6" i="11" s="1"/>
  <c r="I4" i="10"/>
  <c r="J6" i="11" s="1"/>
  <c r="H4" i="10"/>
  <c r="I6" i="11" s="1"/>
  <c r="K4" i="10"/>
  <c r="F6" i="11" s="1"/>
  <c r="H41" i="10"/>
  <c r="I43" i="11" s="1"/>
  <c r="B43" i="11"/>
  <c r="E41" i="10"/>
  <c r="C43" i="11" s="1"/>
  <c r="I41" i="10"/>
  <c r="J43" i="11" s="1"/>
  <c r="L41" i="10"/>
  <c r="G43" i="11" s="1"/>
  <c r="K41" i="10"/>
  <c r="F43" i="11" s="1"/>
  <c r="P31" i="10"/>
  <c r="Q31" i="10" s="1"/>
  <c r="E31" i="10"/>
  <c r="C33" i="11" s="1"/>
  <c r="K31" i="10"/>
  <c r="F33" i="11" s="1"/>
  <c r="I31" i="10"/>
  <c r="J33" i="11" s="1"/>
  <c r="H31" i="10"/>
  <c r="I33" i="11" s="1"/>
  <c r="L45" i="10"/>
  <c r="G47" i="11" s="1"/>
  <c r="I45" i="10"/>
  <c r="J47" i="11" s="1"/>
  <c r="B47" i="11"/>
  <c r="E45" i="10"/>
  <c r="C47" i="11" s="1"/>
  <c r="H45" i="10"/>
  <c r="I47" i="11" s="1"/>
  <c r="B36" i="11"/>
  <c r="I34" i="10"/>
  <c r="J36" i="11" s="1"/>
  <c r="P34" i="10"/>
  <c r="Q34" i="10" s="1"/>
  <c r="E34" i="10"/>
  <c r="C36" i="11" s="1"/>
  <c r="K34" i="10"/>
  <c r="F36" i="11" s="1"/>
  <c r="P43" i="10"/>
  <c r="Q43" i="10" s="1"/>
  <c r="E43" i="10"/>
  <c r="C45" i="11" s="1"/>
  <c r="L43" i="10"/>
  <c r="G45" i="11" s="1"/>
  <c r="B45" i="11"/>
  <c r="K43" i="10"/>
  <c r="F45" i="11" s="1"/>
  <c r="I43" i="10"/>
  <c r="J45" i="11" s="1"/>
  <c r="H43" i="10"/>
  <c r="I45" i="11" s="1"/>
  <c r="B14" i="11"/>
  <c r="P12" i="10"/>
  <c r="Q12" i="10" s="1"/>
  <c r="L12" i="10"/>
  <c r="G14" i="11" s="1"/>
  <c r="K12" i="10"/>
  <c r="F14" i="11" s="1"/>
  <c r="H12" i="10"/>
  <c r="I14" i="11" s="1"/>
  <c r="E12" i="10"/>
  <c r="C14" i="11" s="1"/>
  <c r="B21" i="11"/>
  <c r="K19" i="10"/>
  <c r="F21" i="11" s="1"/>
  <c r="I19" i="10"/>
  <c r="J21" i="11" s="1"/>
  <c r="H19" i="10"/>
  <c r="I21" i="11" s="1"/>
  <c r="P19" i="10"/>
  <c r="Q19" i="10" s="1"/>
  <c r="E19" i="10"/>
  <c r="C21" i="11" s="1"/>
  <c r="L19" i="10"/>
  <c r="G21" i="11" s="1"/>
  <c r="K42" i="10"/>
  <c r="F44" i="11" s="1"/>
  <c r="H42" i="10"/>
  <c r="I44" i="11" s="1"/>
  <c r="B44" i="11"/>
  <c r="L42" i="10"/>
  <c r="G44" i="11" s="1"/>
  <c r="P42" i="10"/>
  <c r="Q42" i="10" s="1"/>
  <c r="E48" i="10"/>
  <c r="C50" i="11" s="1"/>
  <c r="L48" i="10"/>
  <c r="G50" i="11" s="1"/>
  <c r="K48" i="10"/>
  <c r="F50" i="11" s="1"/>
  <c r="B50" i="11"/>
  <c r="I48" i="10"/>
  <c r="J50" i="11" s="1"/>
  <c r="P48" i="10"/>
  <c r="Q48" i="10" s="1"/>
  <c r="H48" i="10"/>
  <c r="I50" i="11" s="1"/>
  <c r="B18" i="11"/>
  <c r="I16" i="10"/>
  <c r="J18" i="11" s="1"/>
  <c r="H16" i="10"/>
  <c r="I18" i="11" s="1"/>
  <c r="P16" i="10"/>
  <c r="Q16" i="10" s="1"/>
  <c r="E16" i="10"/>
  <c r="C18" i="11" s="1"/>
  <c r="L16" i="10"/>
  <c r="G18" i="11" s="1"/>
  <c r="K16" i="10"/>
  <c r="F18" i="11" s="1"/>
  <c r="B17" i="11"/>
  <c r="P15" i="10"/>
  <c r="Q15" i="10" s="1"/>
  <c r="E15" i="10"/>
  <c r="C17" i="11" s="1"/>
  <c r="L15" i="10"/>
  <c r="G17" i="11" s="1"/>
  <c r="K15" i="10"/>
  <c r="F17" i="11" s="1"/>
  <c r="I15" i="10"/>
  <c r="J17" i="11" s="1"/>
  <c r="H15" i="10"/>
  <c r="I17" i="11" s="1"/>
  <c r="B9" i="11"/>
  <c r="E7" i="10"/>
  <c r="C9" i="11" s="1"/>
  <c r="I7" i="10"/>
  <c r="J9" i="11" s="1"/>
  <c r="H7" i="10"/>
  <c r="I9" i="11" s="1"/>
  <c r="P7" i="10"/>
  <c r="Q7" i="10" s="1"/>
  <c r="L7" i="10"/>
  <c r="G9" i="11" s="1"/>
  <c r="K7" i="10"/>
  <c r="F9" i="11" s="1"/>
  <c r="B10" i="11"/>
  <c r="H8" i="10"/>
  <c r="I10" i="11" s="1"/>
  <c r="E8" i="10"/>
  <c r="C10" i="11" s="1"/>
  <c r="K8" i="10"/>
  <c r="F10" i="11" s="1"/>
  <c r="P8" i="10"/>
  <c r="Q8" i="10" s="1"/>
  <c r="I8" i="10"/>
  <c r="J10" i="11" s="1"/>
  <c r="B46" i="11"/>
  <c r="I44" i="10"/>
  <c r="J46" i="11" s="1"/>
  <c r="H44" i="10"/>
  <c r="I46" i="11" s="1"/>
  <c r="P44" i="10"/>
  <c r="Q44" i="10" s="1"/>
  <c r="K44" i="10"/>
  <c r="F46" i="11" s="1"/>
  <c r="L44" i="10"/>
  <c r="G46" i="11" s="1"/>
  <c r="E44" i="10"/>
  <c r="C46" i="11" s="1"/>
  <c r="B19" i="11"/>
  <c r="E17" i="10"/>
  <c r="C19" i="11" s="1"/>
  <c r="L17" i="10"/>
  <c r="G19" i="11" s="1"/>
  <c r="K17" i="10"/>
  <c r="F19" i="11" s="1"/>
  <c r="I17" i="10"/>
  <c r="J19" i="11" s="1"/>
  <c r="H17" i="10"/>
  <c r="I19" i="11" s="1"/>
  <c r="P17" i="10"/>
  <c r="Q17" i="10" s="1"/>
  <c r="B35" i="11"/>
  <c r="E33" i="10"/>
  <c r="C35" i="11" s="1"/>
  <c r="L33" i="10"/>
  <c r="G35" i="11" s="1"/>
  <c r="K33" i="10"/>
  <c r="F35" i="11" s="1"/>
  <c r="I33" i="10"/>
  <c r="J35" i="11" s="1"/>
  <c r="H33" i="10"/>
  <c r="I35" i="11" s="1"/>
  <c r="P33" i="10"/>
  <c r="Q33" i="10" s="1"/>
  <c r="B32" i="11"/>
  <c r="L30" i="10"/>
  <c r="G32" i="11" s="1"/>
  <c r="K30" i="10"/>
  <c r="F32" i="11" s="1"/>
  <c r="I30" i="10"/>
  <c r="J32" i="11" s="1"/>
  <c r="H30" i="10"/>
  <c r="I32" i="11" s="1"/>
  <c r="P30" i="10"/>
  <c r="Q30" i="10" s="1"/>
  <c r="E30" i="10"/>
  <c r="C32" i="11" s="1"/>
  <c r="E42" i="10" l="1"/>
  <c r="C44" i="11" s="1"/>
  <c r="H34" i="10"/>
  <c r="I36" i="11" s="1"/>
  <c r="K45" i="10"/>
  <c r="F47" i="11" s="1"/>
  <c r="B33" i="11"/>
  <c r="E4" i="10"/>
  <c r="C6" i="11" s="1"/>
  <c r="B41" i="11"/>
  <c r="E40" i="10"/>
  <c r="C42" i="11" s="1"/>
  <c r="H29" i="10"/>
  <c r="I31" i="11" s="1"/>
  <c r="I47" i="10"/>
  <c r="J49" i="11" s="1"/>
  <c r="E27" i="10"/>
  <c r="C29" i="11" s="1"/>
  <c r="B29" i="11"/>
  <c r="P14" i="10"/>
  <c r="Q14" i="10" s="1"/>
  <c r="I14" i="10"/>
  <c r="J16" i="11" s="1"/>
  <c r="F52" i="11"/>
</calcChain>
</file>

<file path=xl/sharedStrings.xml><?xml version="1.0" encoding="utf-8"?>
<sst xmlns="http://schemas.openxmlformats.org/spreadsheetml/2006/main" count="753" uniqueCount="572">
  <si>
    <t>HƯỚNG DẪN NHANH – CÔNG CỤ TÍNH Qdd / QDƯ</t>
  </si>
  <si>
    <t>Bước</t>
  </si>
  <si>
    <t>Thao tác</t>
  </si>
  <si>
    <t>1</t>
  </si>
  <si>
    <t>Cài đặt ngày tính, tổ máy S1/S2 và công suất tại 00:00.</t>
  </si>
  <si>
    <t>2</t>
  </si>
  <si>
    <t>Nhập file Danh sách lệnh kết thúc; công cụ tự lọc đúng ngày và đúng tổ máy.</t>
  </si>
  <si>
    <t>3</t>
  </si>
  <si>
    <t>Nhập CSV 6001 để lấy Qdc và CSV 6303 để lấy Qmp; mỗi CSV phải có KwhGiao và 48 chu kỳ.</t>
  </si>
  <si>
    <t>4</t>
  </si>
  <si>
    <t>Lệnh SO hợp lệ dùng CS hoàn thành; MO bình thường dùng CS ra lệnh; MO dừng sớm dùng CS hoàn thành thực tế.</t>
  </si>
  <si>
    <t>5</t>
  </si>
  <si>
    <t>Ramp bắt đầu tại thời điểm BĐTH, tốc độ mặc định 3,5 MW/phút; lệnh mới có thể ngắt ramp đang diễn ra.</t>
  </si>
  <si>
    <t>6</t>
  </si>
  <si>
    <t>Nếu ramp qua 00:00, công cụ lưu trạng thái và tạo AUTO_CARRY cho ngày kế tiếp.</t>
  </si>
  <si>
    <t>7</t>
  </si>
  <si>
    <t>Tính và kiểm tra; kiểm tra đủ 48 chu kỳ Qdd/Qdc/Qmp/Qdư và không có lỗi Excel.</t>
  </si>
  <si>
    <t>8</t>
  </si>
  <si>
    <t>Qdd gốc chỉ dùng để đối chiếu; sai lệch lớn phải được kiểm tra lại lệnh hoặc phép tính tay.</t>
  </si>
  <si>
    <t>9</t>
  </si>
  <si>
    <t>Xuất báo cáo ngày và lưu bản sao dự phòng trước khi thay đổi dữ liệu/phiên bản.</t>
  </si>
  <si>
    <t>QUY TẮC NGHIỆP VỤ CỐT LÕI</t>
  </si>
  <si>
    <t>SO</t>
  </si>
  <si>
    <t>Hoàn thành=1 và CS hoàn thành &gt;0; công suất hiệu lực = CS hoàn thành.</t>
  </si>
  <si>
    <t>MO thường</t>
  </si>
  <si>
    <t>Hoàn thành=1 và CS ra lệnh &gt;0; công suất hiệu lực = CS ra lệnh.</t>
  </si>
  <si>
    <t>MO dừng sớm</t>
  </si>
  <si>
    <t>Dừng lệnh=TRUE; công suất hiệu lực = CS hoàn thành thực tế.</t>
  </si>
  <si>
    <t>Ramp</t>
  </si>
  <si>
    <t>Từ công suất đang có đến mục tiêu với tốc độ 3,5 MW/phút; dùng thời điểm BĐTH.</t>
  </si>
  <si>
    <t>Ngắt ramp</t>
  </si>
  <si>
    <t>Lệnh mới bắt đầu từ công suất nội suy tại thời điểm lệnh mới.</t>
  </si>
  <si>
    <t>P đầu ngày</t>
  </si>
  <si>
    <t>Nhập tay cho ngày đầu; các ngày liên tiếp có thể tự lấy P cuối ngày trước theo từng tổ máy.</t>
  </si>
  <si>
    <t>Qdd</t>
  </si>
  <si>
    <t>Công suất trung bình 30 phút, tính bằng diện tích dưới đường công suất chia 1.800 giây.</t>
  </si>
  <si>
    <t>Qdd_V</t>
  </si>
  <si>
    <t>Qdd / 2 × 0,9188.</t>
  </si>
  <si>
    <t>Dải kiểm tra</t>
  </si>
  <si>
    <t>P_Qdc nằm trong Qdd ±3% thì Qdư = 0; ngoài dải thì Qdư = Qmp - Qdd_V.</t>
  </si>
  <si>
    <t>Phạm vi: dùng được cho S1 và S2 khi cấu trúc danh sách lệnh, CSV 6001/6303 và quy tắc nghiệp vụ giống nhau.</t>
  </si>
  <si>
    <t>Nâng cấp v1.1</t>
  </si>
  <si>
    <t>Tối đa 60 lệnh hiệu lực/ngày.</t>
  </si>
  <si>
    <t>Hiệu năng</t>
  </si>
  <si>
    <t>Ngày nhiều lệnh tính lâu hơn.</t>
  </si>
  <si>
    <t>Giới hạn</t>
  </si>
  <si>
    <t>Vượt 60 lệnh sẽ báo lỗi.</t>
  </si>
  <si>
    <t>Bản vá v1.2.6</t>
  </si>
  <si>
    <t>Sửa xuất tháng trên Mac khi file mẫu có ô gộp.</t>
  </si>
  <si>
    <t>Chạy chính thức</t>
  </si>
  <si>
    <t>Không yêu cầu Qdd gốc; không tạo backup tự động.</t>
  </si>
  <si>
    <t>Qdd gốc</t>
  </si>
  <si>
    <t>Nút 4 vẫn dùng để đối chiếu thủ công; thiếu dữ liệu sẽ được bỏ qua.</t>
  </si>
  <si>
    <t>Sao lưu</t>
  </si>
  <si>
    <t>Dùng nút 11 khi cần tạo bản sao dự phòng.</t>
  </si>
  <si>
    <t>Bản v1.3.0</t>
  </si>
  <si>
    <t>Core và báo cáo tháng đã hợp nhất vào một module.</t>
  </si>
  <si>
    <t>Lỗi đã loại bỏ</t>
  </si>
  <si>
    <t>Không còn gọi macro báo cáo tháng bằng Application.Run.</t>
  </si>
  <si>
    <t>Cài đặt</t>
  </si>
  <si>
    <t>Xóa toàn bộ module modQdu cũ, sau đó import một file BAS duy nhất.</t>
  </si>
  <si>
    <t>Không được xóa</t>
  </si>
  <si>
    <t>LICH_SU_THANG và các sheet LS_... vì đây là dữ liệu lịch sử.</t>
  </si>
  <si>
    <t>Kiểm tra</t>
  </si>
  <si>
    <t>Debug &gt; Compile VBAProject, sau đó chạy Qdu_TaoNut và nút 13.</t>
  </si>
  <si>
    <t>CÀI ĐẶT NGÀY TÍNH</t>
  </si>
  <si>
    <t>Thông số</t>
  </si>
  <si>
    <t>Giá trị</t>
  </si>
  <si>
    <t>Ngày tính</t>
  </si>
  <si>
    <t>Tổ máy</t>
  </si>
  <si>
    <t>S1</t>
  </si>
  <si>
    <t>Công suất đầu ngày (MW)</t>
  </si>
  <si>
    <t>Tốc độ tăng/giảm tải (MW/phút)</t>
  </si>
  <si>
    <t>Hệ số Qdd_V</t>
  </si>
  <si>
    <t>Dung sai</t>
  </si>
  <si>
    <t>Số lệnh hợp lệ</t>
  </si>
  <si>
    <t>Quy tắc công suất SO</t>
  </si>
  <si>
    <t>Dùng CS hoàn thành</t>
  </si>
  <si>
    <t>Quy tắc công suất MO</t>
  </si>
  <si>
    <t>Dùng CS ra lệnh</t>
  </si>
  <si>
    <t>Nguồn công suất đầu ngày</t>
  </si>
  <si>
    <t>Chưa xác định</t>
  </si>
  <si>
    <t>Công suất cuối ngày (MW)</t>
  </si>
  <si>
    <t>Ramp qua 00:00</t>
  </si>
  <si>
    <t>Dung sai đối chiếu Qdd (MW)</t>
  </si>
  <si>
    <t>Phiên bản công cụ</t>
  </si>
  <si>
    <t>1.3.0</t>
  </si>
  <si>
    <t>Chế độ sử dụng</t>
  </si>
  <si>
    <t>CHÍNH THỨC</t>
  </si>
  <si>
    <t>Nguồn Qdc</t>
  </si>
  <si>
    <t>Công tơ 6001 - KwhGiao</t>
  </si>
  <si>
    <t>Nguồn Qmp</t>
  </si>
  <si>
    <t>Công tơ 6303 - KwhGiao</t>
  </si>
  <si>
    <t>Số lệnh hiệu lực tối đa/ngày</t>
  </si>
  <si>
    <t>Danh sách lệnh kết thúc</t>
  </si>
  <si>
    <t>ID Lệnh</t>
  </si>
  <si>
    <t>Nhà máy</t>
  </si>
  <si>
    <t>Nội dung lệnh</t>
  </si>
  <si>
    <t>CS ra lệnh (MW)</t>
  </si>
  <si>
    <t>CS hoàn thành (MW)</t>
  </si>
  <si>
    <t>Thời điểm BĐTH</t>
  </si>
  <si>
    <t>Thời điểm hoàn thành</t>
  </si>
  <si>
    <t>Người ra lệnh</t>
  </si>
  <si>
    <t>Người thực hiện</t>
  </si>
  <si>
    <t>AGC</t>
  </si>
  <si>
    <t>Nhiên liệu</t>
  </si>
  <si>
    <t>Lý do lệnh</t>
  </si>
  <si>
    <t>Ghi chú ra lệnh</t>
  </si>
  <si>
    <t>Ghi chú hoàn thành</t>
  </si>
  <si>
    <t>Hoàn thành</t>
  </si>
  <si>
    <t>Dừng lệnh</t>
  </si>
  <si>
    <t>Thời điểm dừng</t>
  </si>
  <si>
    <t>Lý do dừng</t>
  </si>
  <si>
    <t>Người dừng</t>
  </si>
  <si>
    <t>Lý do hủy</t>
  </si>
  <si>
    <t>Người hủy</t>
  </si>
  <si>
    <t>Lệnh cụm</t>
  </si>
  <si>
    <t>Lệnh nhập lại</t>
  </si>
  <si>
    <t>Nguồn lệnh</t>
  </si>
  <si>
    <t>LỆNH HIỆU LỰC TỰ ĐỘNG LỌC TỪ LENH_GOC</t>
  </si>
  <si>
    <t>STT</t>
  </si>
  <si>
    <t>Công suất hiệu lực</t>
  </si>
  <si>
    <t>CS hoàn thành</t>
  </si>
  <si>
    <t>Ghi chú xử lý</t>
  </si>
  <si>
    <t>Thứ tự</t>
  </si>
  <si>
    <t>Dòng</t>
  </si>
  <si>
    <t>ID</t>
  </si>
  <si>
    <t>Nguồn</t>
  </si>
  <si>
    <t>BĐTH</t>
  </si>
  <si>
    <t>CS ra lệnh</t>
  </si>
  <si>
    <t>Dừng</t>
  </si>
  <si>
    <t>Hợp lệ</t>
  </si>
  <si>
    <t>P hiệu lực</t>
  </si>
  <si>
    <t>Giây</t>
  </si>
  <si>
    <t>Thứ tự tăng dần</t>
  </si>
  <si>
    <t>Kết luận</t>
  </si>
  <si>
    <t>Bắt đầu (giây)</t>
  </si>
  <si>
    <t>Thời điểm bắt đầu</t>
  </si>
  <si>
    <t>P mục tiêu</t>
  </si>
  <si>
    <t>Thời điểm hoàn thành gốc</t>
  </si>
  <si>
    <t>P bắt đầu</t>
  </si>
  <si>
    <t>Loại</t>
  </si>
  <si>
    <t>Thời lượng (giây)</t>
  </si>
  <si>
    <t>Kết thúc (giây)</t>
  </si>
  <si>
    <t>Thời điểm kết thúc</t>
  </si>
  <si>
    <t>P cuối</t>
  </si>
  <si>
    <t>Ghi chú</t>
  </si>
  <si>
    <t>Đoạn</t>
  </si>
  <si>
    <t>P đầu</t>
  </si>
  <si>
    <t>Thời lượng</t>
  </si>
  <si>
    <t>Diễn giải</t>
  </si>
  <si>
    <t>Chu kỳ</t>
  </si>
  <si>
    <t>Bắt đầu giây</t>
  </si>
  <si>
    <t>Kết thúc giây</t>
  </si>
  <si>
    <t>Đoạn 1</t>
  </si>
  <si>
    <t>Đoạn 2</t>
  </si>
  <si>
    <t>Đoạn 3</t>
  </si>
  <si>
    <t>Đoạn 4</t>
  </si>
  <si>
    <t>Đoạn 5</t>
  </si>
  <si>
    <t>Đoạn 6</t>
  </si>
  <si>
    <t>Đoạn 7</t>
  </si>
  <si>
    <t>Đoạn 8</t>
  </si>
  <si>
    <t>Đoạn 9</t>
  </si>
  <si>
    <t>Đoạn 10</t>
  </si>
  <si>
    <t>Đoạn 11</t>
  </si>
  <si>
    <t>Đoạn 12</t>
  </si>
  <si>
    <t>Đoạn 13</t>
  </si>
  <si>
    <t>Đoạn 14</t>
  </si>
  <si>
    <t>Đoạn 15</t>
  </si>
  <si>
    <t>Đoạn 16</t>
  </si>
  <si>
    <t>Đoạn 17</t>
  </si>
  <si>
    <t>Đoạn 18</t>
  </si>
  <si>
    <t>Đoạn 19</t>
  </si>
  <si>
    <t>Đoạn 20</t>
  </si>
  <si>
    <t>Đoạn 21</t>
  </si>
  <si>
    <t>Đoạn 22</t>
  </si>
  <si>
    <t>Đoạn 23</t>
  </si>
  <si>
    <t>Đoạn 24</t>
  </si>
  <si>
    <t>Đoạn 25</t>
  </si>
  <si>
    <t>Đoạn 26</t>
  </si>
  <si>
    <t>Đoạn 27</t>
  </si>
  <si>
    <t>Đoạn 28</t>
  </si>
  <si>
    <t>Đoạn 29</t>
  </si>
  <si>
    <t>Đoạn 30</t>
  </si>
  <si>
    <t>Đoạn 31</t>
  </si>
  <si>
    <t>Đoạn 32</t>
  </si>
  <si>
    <t>Đoạn 33</t>
  </si>
  <si>
    <t>Đoạn 34</t>
  </si>
  <si>
    <t>Đoạn 35</t>
  </si>
  <si>
    <t>Đoạn 36</t>
  </si>
  <si>
    <t>Đoạn 37</t>
  </si>
  <si>
    <t>Đoạn 38</t>
  </si>
  <si>
    <t>Đoạn 39</t>
  </si>
  <si>
    <t>Đoạn 40</t>
  </si>
  <si>
    <t>Đoạn 41</t>
  </si>
  <si>
    <t>Đoạn 42</t>
  </si>
  <si>
    <t>Đoạn 43</t>
  </si>
  <si>
    <t>Đoạn 44</t>
  </si>
  <si>
    <t>Đoạn 45</t>
  </si>
  <si>
    <t>Đoạn 46</t>
  </si>
  <si>
    <t>Đoạn 47</t>
  </si>
  <si>
    <t>Đoạn 48</t>
  </si>
  <si>
    <t>Đoạn 49</t>
  </si>
  <si>
    <t>Đoạn 50</t>
  </si>
  <si>
    <t>Đoạn 51</t>
  </si>
  <si>
    <t>Đoạn 52</t>
  </si>
  <si>
    <t>Đoạn 53</t>
  </si>
  <si>
    <t>Đoạn 54</t>
  </si>
  <si>
    <t>Đoạn 55</t>
  </si>
  <si>
    <t>Đoạn 56</t>
  </si>
  <si>
    <t>Đoạn 57</t>
  </si>
  <si>
    <t>Đoạn 58</t>
  </si>
  <si>
    <t>Đoạn 59</t>
  </si>
  <si>
    <t>Đoạn 60</t>
  </si>
  <si>
    <t>Đoạn 61</t>
  </si>
  <si>
    <t>Đoạn 62</t>
  </si>
  <si>
    <t>Đoạn 63</t>
  </si>
  <si>
    <t>Đoạn 64</t>
  </si>
  <si>
    <t>Đoạn 65</t>
  </si>
  <si>
    <t>Đoạn 66</t>
  </si>
  <si>
    <t>Đoạn 67</t>
  </si>
  <si>
    <t>Đoạn 68</t>
  </si>
  <si>
    <t>Đoạn 69</t>
  </si>
  <si>
    <t>Đoạn 70</t>
  </si>
  <si>
    <t>Đoạn 71</t>
  </si>
  <si>
    <t>Đoạn 72</t>
  </si>
  <si>
    <t>Đoạn 73</t>
  </si>
  <si>
    <t>Đoạn 74</t>
  </si>
  <si>
    <t>Đoạn 75</t>
  </si>
  <si>
    <t>Đoạn 76</t>
  </si>
  <si>
    <t>Đoạn 77</t>
  </si>
  <si>
    <t>Đoạn 78</t>
  </si>
  <si>
    <t>Đoạn 79</t>
  </si>
  <si>
    <t>Đoạn 80</t>
  </si>
  <si>
    <t>Đoạn 81</t>
  </si>
  <si>
    <t>Đoạn 82</t>
  </si>
  <si>
    <t>Đoạn 83</t>
  </si>
  <si>
    <t>Đoạn 84</t>
  </si>
  <si>
    <t>Đoạn 85</t>
  </si>
  <si>
    <t>Đoạn 86</t>
  </si>
  <si>
    <t>Đoạn 87</t>
  </si>
  <si>
    <t>Đoạn 88</t>
  </si>
  <si>
    <t>Đoạn 89</t>
  </si>
  <si>
    <t>Đoạn 90</t>
  </si>
  <si>
    <t>Đoạn 91</t>
  </si>
  <si>
    <t>Đoạn 92</t>
  </si>
  <si>
    <t>Đoạn 93</t>
  </si>
  <si>
    <t>Đoạn 94</t>
  </si>
  <si>
    <t>Đoạn 95</t>
  </si>
  <si>
    <t>Đoạn 96</t>
  </si>
  <si>
    <t>Đoạn 97</t>
  </si>
  <si>
    <t>Đoạn 98</t>
  </si>
  <si>
    <t>Đoạn 99</t>
  </si>
  <si>
    <t>Đoạn 100</t>
  </si>
  <si>
    <t>Đoạn 101</t>
  </si>
  <si>
    <t>Đoạn 102</t>
  </si>
  <si>
    <t>Đoạn 103</t>
  </si>
  <si>
    <t>Đoạn 104</t>
  </si>
  <si>
    <t>Đoạn 105</t>
  </si>
  <si>
    <t>Đoạn 106</t>
  </si>
  <si>
    <t>Đoạn 107</t>
  </si>
  <si>
    <t>Đoạn 108</t>
  </si>
  <si>
    <t>Đoạn 109</t>
  </si>
  <si>
    <t>Đoạn 110</t>
  </si>
  <si>
    <t>Đoạn 111</t>
  </si>
  <si>
    <t>Đoạn 112</t>
  </si>
  <si>
    <t>Đoạn 113</t>
  </si>
  <si>
    <t>Đoạn 114</t>
  </si>
  <si>
    <t>Đoạn 115</t>
  </si>
  <si>
    <t>Đoạn 116</t>
  </si>
  <si>
    <t>Đoạn 117</t>
  </si>
  <si>
    <t>Đoạn 118</t>
  </si>
  <si>
    <t>Đoạn 119</t>
  </si>
  <si>
    <t>Đoạn 120</t>
  </si>
  <si>
    <t>Đoạn 121</t>
  </si>
  <si>
    <t>Tổng MW.s</t>
  </si>
  <si>
    <t>Qdd MW</t>
  </si>
  <si>
    <t>Bắt đầu</t>
  </si>
  <si>
    <t>Kết thúc</t>
  </si>
  <si>
    <t>Qdd (MW)</t>
  </si>
  <si>
    <t>Qdd_V (MWh)</t>
  </si>
  <si>
    <t>Qdc (MWh)</t>
  </si>
  <si>
    <t>P_Qdc (MW)</t>
  </si>
  <si>
    <t>Ngưỡng dưới</t>
  </si>
  <si>
    <t>Ngưỡng trên</t>
  </si>
  <si>
    <t>Qmp (MWh)</t>
  </si>
  <si>
    <t>Qdư (MWh)</t>
  </si>
  <si>
    <t>Âm/Dương</t>
  </si>
  <si>
    <t>Trạng thái</t>
  </si>
  <si>
    <t>Qdd file gốc 19/7</t>
  </si>
  <si>
    <t>Chênh lệch</t>
  </si>
  <si>
    <t>Đánh giá</t>
  </si>
  <si>
    <t>Tính từ các đoạn công suất giao với chu kỳ</t>
  </si>
  <si>
    <t>File gốc có khả năng nhập 445 MW thay vì khoảng 455 MW.</t>
  </si>
  <si>
    <t>BÁO CÁO Qdd / Qdư THEO 48 CHU KỲ</t>
  </si>
  <si>
    <t>Qdc</t>
  </si>
  <si>
    <t>Qmp</t>
  </si>
  <si>
    <t>Qdư</t>
  </si>
  <si>
    <t>Qdư âm/dương</t>
  </si>
  <si>
    <t>P_Qdc</t>
  </si>
  <si>
    <t>Tổng ngày</t>
  </si>
  <si>
    <t>CÔNG CỤ TÍNH Qdd / QDƯ – BẢN CHÍNH THỨC</t>
  </si>
  <si>
    <t>Phiên bản</t>
  </si>
  <si>
    <t>Chế độ</t>
  </si>
  <si>
    <t>Ngày phát hành</t>
  </si>
  <si>
    <t>23/07/2026</t>
  </si>
  <si>
    <t>Thông số hiện tại</t>
  </si>
  <si>
    <t>KHU VỰC NÚT LỆNH – chạy Qdu_TaoNut sau khi nhập module VBA</t>
  </si>
  <si>
    <t>1. Nhập danh sách lệnh</t>
  </si>
  <si>
    <t>2. Nhập CSV 6001</t>
  </si>
  <si>
    <t>3. Nhập CSV 6303</t>
  </si>
  <si>
    <t>4. Nhập Qdd gốc</t>
  </si>
  <si>
    <t>Nguồn P đầu ngày</t>
  </si>
  <si>
    <t>5. Cập nhật cài đặt</t>
  </si>
  <si>
    <t>6. Tính và kiểm tra</t>
  </si>
  <si>
    <t>Kết quả kiểm tra</t>
  </si>
  <si>
    <t>Chưa chạy</t>
  </si>
  <si>
    <t>7. CHẠY CHÍNH THỨC</t>
  </si>
  <si>
    <t>8. Xóa dữ liệu đầu vào</t>
  </si>
  <si>
    <t>Số ô lỗi Excel</t>
  </si>
  <si>
    <t>Số chu kỳ Qdd thay đổi</t>
  </si>
  <si>
    <t>9. Tự tính P đầu ngày</t>
  </si>
  <si>
    <t>10. Mở lịch sử P</t>
  </si>
  <si>
    <t>Sai lệch Qdd lớn nhất</t>
  </si>
  <si>
    <t>Tổng Qdư trong ngày (MWh)</t>
  </si>
  <si>
    <t>11. Sao lưu dự phòng</t>
  </si>
  <si>
    <t>12. Xuất báo cáo ngày</t>
  </si>
  <si>
    <t>Chu kỳ Qdc / Qmp / Qdư</t>
  </si>
  <si>
    <t>Chưa kiểm tra</t>
  </si>
  <si>
    <t>Nguồn dữ liệu</t>
  </si>
  <si>
    <t>Đường dẫn tệp gần nhất</t>
  </si>
  <si>
    <t>13. Kiểm tra hệ thống</t>
  </si>
  <si>
    <t>14. Kiểm tra đọc CSV</t>
  </si>
  <si>
    <t>Danh sách lệnh</t>
  </si>
  <si>
    <t>CSV 6001</t>
  </si>
  <si>
    <t>CSV 6303</t>
  </si>
  <si>
    <t>Qdd file gốc</t>
  </si>
  <si>
    <t>Lần chạy gần nhất</t>
  </si>
  <si>
    <t>QUY TRÌNH CÀI ĐẶT VÀ VẬN HÀNH</t>
  </si>
  <si>
    <t>Save As file này thành Excel Macro-Enabled Workbook (*.xlsm).</t>
  </si>
  <si>
    <t>Mở Visual Basic Editor, xóa module Qdu cũ và import modQdu_ChinhThuc_v1_0.bas.</t>
  </si>
  <si>
    <t>Chạy Qdu_TaoNut một lần; sau đó bấm 13. Kiểm tra hệ thống.</t>
  </si>
  <si>
    <t>Cập nhật ngày, tổ máy S1/S2 và P đầu ngày; ngày kế tiếp có thể lấy tự động từ lịch sử.</t>
  </si>
  <si>
    <t>Nhập danh sách lệnh, CSV 6001 và CSV 6303. CSV phải cùng ngày cài đặt.</t>
  </si>
  <si>
    <t>Bấm Tính và kiểm tra; chỉ sử dụng kết quả khi trạng thái không còn LỖI.</t>
  </si>
  <si>
    <t>Bấm Xuất báo cáo ngày để tạo file kết quả không chứa macro.</t>
  </si>
  <si>
    <t>Không sửa công thức tại các sheet trung gian; luôn sao lưu trước khi thay đổi phiên bản.</t>
  </si>
  <si>
    <t>Mở rộng từ 30 lên 60 lệnh hiệu lực/ngày.</t>
  </si>
  <si>
    <t>Số đoạn công suất tối đa</t>
  </si>
  <si>
    <t>Cột Qdd trong DIEN_TICH</t>
  </si>
  <si>
    <t>DV</t>
  </si>
  <si>
    <t>Chạy chính thức v1.2.6</t>
  </si>
  <si>
    <t>Không tự backup và không hỏi nhập Qdd gốc.</t>
  </si>
  <si>
    <t>Tùy chọn; chỉ đối chiếu khi có đủ 48 giá trị.</t>
  </si>
  <si>
    <t>Backup</t>
  </si>
  <si>
    <t>Chỉ thực hiện thủ công bằng nút 11.</t>
  </si>
  <si>
    <t>Kiến trúc v1.3.0</t>
  </si>
  <si>
    <t>Một module duy nhất; không dùng Application.Run.</t>
  </si>
  <si>
    <t>Module cần import</t>
  </si>
  <si>
    <t>modQdu_v1_3_0_AllInOne.bas</t>
  </si>
  <si>
    <t>Lịch sử tháng</t>
  </si>
  <si>
    <t>Giữ nguyên LICH_SU_THANG và các sheet LS_...</t>
  </si>
  <si>
    <t>Ngày</t>
  </si>
  <si>
    <t>P đầu ngày (MW)</t>
  </si>
  <si>
    <t>P cuối ngày tại 24:00 (MW)</t>
  </si>
  <si>
    <t>Thời điểm cập nhật</t>
  </si>
  <si>
    <t>Mục tiêu ramp tiếp (MW)</t>
  </si>
  <si>
    <t>Nguồn lệnh tiếp</t>
  </si>
  <si>
    <t>Thời gian còn lại (giây)</t>
  </si>
  <si>
    <t>Chi tiết</t>
  </si>
  <si>
    <t>THÔNG TIN HỆ THỐNG</t>
  </si>
  <si>
    <t>Nội dung</t>
  </si>
  <si>
    <t>Tên công cụ</t>
  </si>
  <si>
    <t>Công cụ tính Qdd / Qdư</t>
  </si>
  <si>
    <t>Nền tảng</t>
  </si>
  <si>
    <t>Microsoft Excel Desktop – Windows và macOS</t>
  </si>
  <si>
    <t>Kiến trúc</t>
  </si>
  <si>
    <t>Công thức Excel kiểm toán được + VBA điều phối nhập liệu/kiểm tra</t>
  </si>
  <si>
    <t>Phạm vi tổ máy</t>
  </si>
  <si>
    <t>S1 và S2 nếu cùng cấu trúc dữ liệu và quy tắc nghiệp vụ</t>
  </si>
  <si>
    <t>Số chu kỳ/ngày</t>
  </si>
  <si>
    <t>Tốc độ ramp mặc định</t>
  </si>
  <si>
    <t>3,5 MW/phút</t>
  </si>
  <si>
    <t>CSV công tơ 6001 – dòng KwhGiao</t>
  </si>
  <si>
    <t>CSV công tơ 6303 – dòng KwhGiao</t>
  </si>
  <si>
    <t>Số lệnh tối đa/ngày</t>
  </si>
  <si>
    <t>Số đoạn tối đa</t>
  </si>
  <si>
    <t>DANH MỤC QUY TẮC NGHIỆP VỤ</t>
  </si>
  <si>
    <t>Mã</t>
  </si>
  <si>
    <t>Nhóm</t>
  </si>
  <si>
    <t>Quy tắc</t>
  </si>
  <si>
    <t>Đầu vào</t>
  </si>
  <si>
    <t>Kết quả</t>
  </si>
  <si>
    <t>R01</t>
  </si>
  <si>
    <t>Lệnh SO</t>
  </si>
  <si>
    <t>Chỉ nhận lệnh hoàn thành và CS hoàn thành dương.</t>
  </si>
  <si>
    <t>P=1, F&gt;0, Y=SO</t>
  </si>
  <si>
    <t>P hiệu lực=F</t>
  </si>
  <si>
    <t>R02</t>
  </si>
  <si>
    <t>Lệnh MO</t>
  </si>
  <si>
    <t>MO bình thường dùng CS ra lệnh.</t>
  </si>
  <si>
    <t>P=1, E&gt;0, Y=MO, Q&lt;&gt;TRUE</t>
  </si>
  <si>
    <t>P hiệu lực=E</t>
  </si>
  <si>
    <t>R03</t>
  </si>
  <si>
    <t>MO dừng</t>
  </si>
  <si>
    <t>MO dừng sớm dùng CS hoàn thành thực tế.</t>
  </si>
  <si>
    <t>P=1, Q=TRUE, F&gt;0</t>
  </si>
  <si>
    <t>R04</t>
  </si>
  <si>
    <t>Thời điểm</t>
  </si>
  <si>
    <t>Ramp bắt đầu tại thời điểm BĐTH.</t>
  </si>
  <si>
    <t>Cột G</t>
  </si>
  <si>
    <t>Giây trong ngày</t>
  </si>
  <si>
    <t>Không dùng H làm điểm bắt đầu</t>
  </si>
  <si>
    <t>R05</t>
  </si>
  <si>
    <t>Tốc độ</t>
  </si>
  <si>
    <t>Tốc độ thay đổi công suất mặc định.</t>
  </si>
  <si>
    <t>CAI_DAT!B7</t>
  </si>
  <si>
    <t>Có thể cấu hình</t>
  </si>
  <si>
    <t>R06</t>
  </si>
  <si>
    <t>Lệnh mới ngắt ramp cũ tại P nội suy.</t>
  </si>
  <si>
    <t>Hai lệnh chồng thời gian</t>
  </si>
  <si>
    <t>Ramp mới từ P hiện tại</t>
  </si>
  <si>
    <t>R07</t>
  </si>
  <si>
    <t>Qua ngày</t>
  </si>
  <si>
    <t>Lưu P tại 24:00 và phần ramp còn lại.</t>
  </si>
  <si>
    <t>TRANG_THAI_CONG_SUAT</t>
  </si>
  <si>
    <t>AUTO_CARRY ngày sau</t>
  </si>
  <si>
    <t>Theo từng S1/S2</t>
  </si>
  <si>
    <t>R08</t>
  </si>
  <si>
    <t>Trung bình diện tích công suất trong 1.800 giây.</t>
  </si>
  <si>
    <t>Đường P(t)</t>
  </si>
  <si>
    <t>MW trung bình</t>
  </si>
  <si>
    <t>R09</t>
  </si>
  <si>
    <t>Quy đổi Qdd sang Qdd_V.</t>
  </si>
  <si>
    <t>Qdd, hệ số 0,9188</t>
  </si>
  <si>
    <t>Qdd/2×0,9188</t>
  </si>
  <si>
    <t>R10</t>
  </si>
  <si>
    <t>Lấy KwhGiao công tơ 6001 chia 1.000.</t>
  </si>
  <si>
    <t>48 giá trị CSV</t>
  </si>
  <si>
    <t>MWh</t>
  </si>
  <si>
    <t>R11</t>
  </si>
  <si>
    <t>Quy đổi Qdc về MW chu kỳ 30 phút.</t>
  </si>
  <si>
    <t>Qdc×2</t>
  </si>
  <si>
    <t>R12</t>
  </si>
  <si>
    <t>Lấy KwhGiao công tơ 6303 chia 1.000.</t>
  </si>
  <si>
    <t>R13</t>
  </si>
  <si>
    <t>Dải ±3%</t>
  </si>
  <si>
    <t>So sánh P_Qdc với Qdd±3%.</t>
  </si>
  <si>
    <t>Qdd, P_Qdc</t>
  </si>
  <si>
    <t>Trong/ngoài dải</t>
  </si>
  <si>
    <t>R14</t>
  </si>
  <si>
    <t>Trong dải: 0; ngoài dải: Qmp-Qdd_V.</t>
  </si>
  <si>
    <t>Dải, Qmp, Qdd_V</t>
  </si>
  <si>
    <t>DANH MỤC KIỂM THỬ NGHIỆM THU (UAT)</t>
  </si>
  <si>
    <t>Tình huống</t>
  </si>
  <si>
    <t>Tiền điều kiện</t>
  </si>
  <si>
    <t>Kết quả mong đợi</t>
  </si>
  <si>
    <t>UAT-01</t>
  </si>
  <si>
    <t>Danh sách lệnh nhiều ngày</t>
  </si>
  <si>
    <t>CAI_DAT đã chọn ngày/tổ</t>
  </si>
  <si>
    <t>Nhập file lệnh có nhiều ngày</t>
  </si>
  <si>
    <t>Không đổi B4:B6; chỉ lọc đúng ngày/tổ</t>
  </si>
  <si>
    <t>UAT-02</t>
  </si>
  <si>
    <t>Giữ P0 nhập tay</t>
  </si>
  <si>
    <t>B6 có số; nguồn nhập tay</t>
  </si>
  <si>
    <t>Nhập danh sách lệnh</t>
  </si>
  <si>
    <t>B6 giữ nguyên, không hỏi lại</t>
  </si>
  <si>
    <t>UAT-03</t>
  </si>
  <si>
    <t>P0 tự động</t>
  </si>
  <si>
    <t>Đã tính ngày liền trước cùng tổ</t>
  </si>
  <si>
    <t>Chọn ngày kế tiếp</t>
  </si>
  <si>
    <t>B6 lấy P cuối ngày trước</t>
  </si>
  <si>
    <t>UAT-04</t>
  </si>
  <si>
    <t>Lệnh cuối ngày chưa đạt mục tiêu</t>
  </si>
  <si>
    <t>Tính ngày sau</t>
  </si>
  <si>
    <t>Có AUTO_CARRY và ramp tiếp tục</t>
  </si>
  <si>
    <t>UAT-05</t>
  </si>
  <si>
    <t>SO hợp lệ</t>
  </si>
  <si>
    <t>SO hoàn thành, F&gt;0</t>
  </si>
  <si>
    <t>Tính Qdd</t>
  </si>
  <si>
    <t>UAT-06</t>
  </si>
  <si>
    <t>MO bình thường</t>
  </si>
  <si>
    <t>MO hoàn thành, E&gt;0</t>
  </si>
  <si>
    <t>UAT-07</t>
  </si>
  <si>
    <t>MO, Dừng=TRUE, F&gt;0</t>
  </si>
  <si>
    <t>UAT-08</t>
  </si>
  <si>
    <t>Lệnh ngắt ramp</t>
  </si>
  <si>
    <t>Lệnh mới đến giữa ramp</t>
  </si>
  <si>
    <t>Ramp mới từ P nội suy</t>
  </si>
  <si>
    <t>UAT-09</t>
  </si>
  <si>
    <t>CSV Mac một cột</t>
  </si>
  <si>
    <t>Excel mở dòng CSV trong cột A</t>
  </si>
  <si>
    <t>Nhập CSV</t>
  </si>
  <si>
    <t>Tự tách 50 trường; 48 số</t>
  </si>
  <si>
    <t>UAT-10</t>
  </si>
  <si>
    <t>CSV Windows 50 cột</t>
  </si>
  <si>
    <t>Excel tách sẵn A:AX</t>
  </si>
  <si>
    <t>Đọc trực tiếp; 48 số</t>
  </si>
  <si>
    <t>UAT-11</t>
  </si>
  <si>
    <t>CSV sai ngày</t>
  </si>
  <si>
    <t>CSV khác CAI_DAT</t>
  </si>
  <si>
    <t>Từ chối; không đổi B4:B6</t>
  </si>
  <si>
    <t>UAT-12</t>
  </si>
  <si>
    <t>Đủ Qdc/Qmp</t>
  </si>
  <si>
    <t>Hai CSV hợp lệ</t>
  </si>
  <si>
    <t>Tính và kiểm tra</t>
  </si>
  <si>
    <t>48/48/48 tại B15</t>
  </si>
  <si>
    <t>UAT-13</t>
  </si>
  <si>
    <t>Đối chiếu Qdd gốc</t>
  </si>
  <si>
    <t>Nhập đủ 48 Qdd gốc</t>
  </si>
  <si>
    <t>Tính</t>
  </si>
  <si>
    <t>Hiện sai lệch lớn nhất</t>
  </si>
  <si>
    <t>UAT-14</t>
  </si>
  <si>
    <t>Ngày không có lệnh</t>
  </si>
  <si>
    <t>P0 và CSV đầy đủ</t>
  </si>
  <si>
    <t>Qdd giữ theo P0; không lỗi</t>
  </si>
  <si>
    <t>UAT-15</t>
  </si>
  <si>
    <t>Tổ máy S2</t>
  </si>
  <si>
    <t>Dữ liệu S2 cùng cấu trúc</t>
  </si>
  <si>
    <t>Chọn S2 và nhập dữ liệu</t>
  </si>
  <si>
    <t>Lọc S2; lịch sử P độc lập S1</t>
  </si>
  <si>
    <t>UAT-16</t>
  </si>
  <si>
    <t>Sao lưu và xuất báo cáo</t>
  </si>
  <si>
    <t>Kết quả không lỗi</t>
  </si>
  <si>
    <t>Bấm nút 11 và 12</t>
  </si>
  <si>
    <t>Tạo backup và báo cáo .xlsx</t>
  </si>
  <si>
    <t>UAT-17</t>
  </si>
  <si>
    <t>31 lệnh</t>
  </si>
  <si>
    <t>31 lệnh hợp lệ</t>
  </si>
  <si>
    <t>Đủ 31 lệnh</t>
  </si>
  <si>
    <t>UAT-18</t>
  </si>
  <si>
    <t>45 lệnh</t>
  </si>
  <si>
    <t>45 lệnh hợp lệ</t>
  </si>
  <si>
    <t>Đủ 45 lệnh</t>
  </si>
  <si>
    <t>UAT-19</t>
  </si>
  <si>
    <t>60 lệnh</t>
  </si>
  <si>
    <t>60 lệnh hợp lệ</t>
  </si>
  <si>
    <t>Đủ 60 lệnh</t>
  </si>
  <si>
    <t>UAT-24</t>
  </si>
  <si>
    <t>Xuất tháng trên Mac</t>
  </si>
  <si>
    <t>Có snapshot ngày</t>
  </si>
  <si>
    <t>Bấm nút 12</t>
  </si>
  <si>
    <t>Không còn lỗi merged cell 1004</t>
  </si>
  <si>
    <t>UAT-25</t>
  </si>
  <si>
    <t>Chạy không Qdd gốc</t>
  </si>
  <si>
    <t>O2:O49 trống hoặc chưa đủ</t>
  </si>
  <si>
    <t>Chạy nút 7</t>
  </si>
  <si>
    <t>Tính và lưu lịch sử bình thường</t>
  </si>
  <si>
    <t>UAT-26</t>
  </si>
  <si>
    <t>Không backup tự động</t>
  </si>
  <si>
    <t>Theo dõi thư mục Backup_Qdu</t>
  </si>
  <si>
    <t>Không tạo file backup mới</t>
  </si>
  <si>
    <t>UAT-27</t>
  </si>
  <si>
    <t>Backup thủ công</t>
  </si>
  <si>
    <t>Bấm nút 11</t>
  </si>
  <si>
    <t>Tạo bản sao dự phòng bình thường</t>
  </si>
  <si>
    <t>UAT-28</t>
  </si>
  <si>
    <t>Chỉ một module Qdu</t>
  </si>
  <si>
    <t>Đã xóa module cũ</t>
  </si>
  <si>
    <t>Compile</t>
  </si>
  <si>
    <t>Không lỗi và chỉ còn AllInOne</t>
  </si>
  <si>
    <t>UAT-29</t>
  </si>
  <si>
    <t>Kiểm tra module tháng</t>
  </si>
  <si>
    <t>Có lịch sử tháng</t>
  </si>
  <si>
    <t>Bấm nút 13</t>
  </si>
  <si>
    <t>Báo module tháng ĐẠT</t>
  </si>
  <si>
    <t>UAT-30</t>
  </si>
  <si>
    <t>Xuất tháng Windows</t>
  </si>
  <si>
    <t>Không còn Cannot run the macro</t>
  </si>
  <si>
    <t>UAT-31</t>
  </si>
  <si>
    <t>Xuất tháng Mac</t>
  </si>
  <si>
    <t>Xuất được hoặc tự lưu cạnh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</si>
</sst>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/mm/yyyy"/>
    <numFmt numFmtId="165" formatCode="0.000"/>
    <numFmt numFmtId="166" formatCode="0.0000"/>
    <numFmt numFmtId="167" formatCode="dd/mm/yyyy\ hh:mm:ss"/>
    <numFmt numFmtId="168" formatCode="dd/mm/yyyy\ hh:mm:ss.000"/>
    <numFmt numFmtId="169" formatCode="0.000000"/>
    <numFmt numFmtId="170" formatCode="0.00000"/>
  </numFmts>
  <fonts count="13">
    <font>
      <sz val="11"/>
      <name val="Carlito"/>
    </font>
    <font>
      <b/>
      <sz val="11"/>
      <color rgb="FFFFFFFF"/>
      <name val="Carlito"/>
    </font>
    <font>
      <b/>
      <sz val="15"/>
      <color rgb="FFFFFFFF"/>
      <name val="Carlito"/>
    </font>
    <font>
      <b/>
      <sz val="11"/>
      <name val="Carlito"/>
    </font>
    <font>
      <b/>
      <sz val="13"/>
      <color rgb="FFFFFFFF"/>
      <name val="Carlito"/>
    </font>
    <font>
      <b/>
      <sz val="16"/>
      <color rgb="FFFFFFFF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rgb="FF1F4E78"/>
      <name val="Arial"/>
      <family val="2"/>
    </font>
    <font>
      <b/>
      <sz val="11"/>
      <color rgb="FFFFFFFF"/>
      <name val="Arial"/>
      <family val="2"/>
    </font>
    <font>
      <b/>
      <sz val="14"/>
      <color rgb="FFFFFFFF"/>
      <name val="Arial"/>
      <family val="2"/>
    </font>
    <font>
      <b/>
      <sz val="11"/>
      <color rgb="FF1F1F1F"/>
      <name val="Arial"/>
      <family val="2"/>
    </font>
    <font>
      <b/>
      <sz val="15"/>
      <color rgb="FFFFFFFF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FFFDF2"/>
      </patternFill>
    </fill>
    <fill>
      <patternFill patternType="solid">
        <fgColor rgb="FFD9EAF7"/>
      </patternFill>
    </fill>
    <fill>
      <patternFill patternType="solid">
        <fgColor rgb="FFFFFDEB"/>
      </patternFill>
    </fill>
    <fill>
      <patternFill patternType="solid">
        <fgColor rgb="FFEAF3F8"/>
      </patternFill>
    </fill>
    <fill>
      <patternFill patternType="solid">
        <fgColor rgb="FF17365D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2F0D9"/>
      </patternFill>
    </fill>
    <fill>
      <patternFill patternType="solid">
        <fgColor rgb="FFFFF2CC"/>
      </patternFill>
    </fill>
    <fill>
      <patternFill patternType="solid">
        <fgColor rgb="FFEAF2F8"/>
      </patternFill>
    </fill>
  </fills>
  <borders count="25">
    <border>
      <left/>
      <right/>
      <top/>
      <bottom/>
      <diagonal/>
    </border>
    <border>
      <left style="thin">
        <color rgb="FF9EADBA"/>
      </left>
      <right/>
      <top style="thin">
        <color rgb="FF9EADBA"/>
      </top>
      <bottom style="thin">
        <color rgb="FF9EADBA"/>
      </bottom>
      <diagonal/>
    </border>
    <border>
      <left/>
      <right style="thin">
        <color rgb="FF9EADBA"/>
      </right>
      <top style="thin">
        <color rgb="FF9EADBA"/>
      </top>
      <bottom style="thin">
        <color rgb="FF9EADBA"/>
      </bottom>
      <diagonal/>
    </border>
    <border>
      <left style="thin">
        <color rgb="FFD0D7DE"/>
      </left>
      <right/>
      <top style="thin">
        <color rgb="FFD0D7DE"/>
      </top>
      <bottom/>
      <diagonal/>
    </border>
    <border>
      <left/>
      <right style="thin">
        <color rgb="FFD0D7DE"/>
      </right>
      <top style="thin">
        <color rgb="FFD0D7DE"/>
      </top>
      <bottom/>
      <diagonal/>
    </border>
    <border>
      <left style="thin">
        <color rgb="FFD0D7DE"/>
      </left>
      <right/>
      <top/>
      <bottom/>
      <diagonal/>
    </border>
    <border>
      <left/>
      <right style="thin">
        <color rgb="FFD0D7DE"/>
      </right>
      <top/>
      <bottom/>
      <diagonal/>
    </border>
    <border>
      <left style="thin">
        <color rgb="FFD0D7DE"/>
      </left>
      <right/>
      <top/>
      <bottom style="thin">
        <color rgb="FFD0D7DE"/>
      </bottom>
      <diagonal/>
    </border>
    <border>
      <left/>
      <right style="thin">
        <color rgb="FFD0D7DE"/>
      </right>
      <top/>
      <bottom style="thin">
        <color rgb="FFD0D7DE"/>
      </bottom>
      <diagonal/>
    </border>
    <border>
      <left style="thin">
        <color rgb="FF9EADBA"/>
      </left>
      <right style="thin">
        <color rgb="FF9EADBA"/>
      </right>
      <top style="thin">
        <color rgb="FF9EADBA"/>
      </top>
      <bottom/>
      <diagonal/>
    </border>
    <border>
      <left style="thin">
        <color rgb="FF9EADBA"/>
      </left>
      <right style="thin">
        <color rgb="FF9EADBA"/>
      </right>
      <top/>
      <bottom/>
      <diagonal/>
    </border>
    <border>
      <left style="thin">
        <color rgb="FF9EADBA"/>
      </left>
      <right style="thin">
        <color rgb="FF9EADBA"/>
      </right>
      <top/>
      <bottom style="thin">
        <color rgb="FF9EADBA"/>
      </bottom>
      <diagonal/>
    </border>
    <border>
      <left style="thin">
        <color rgb="FFD0D7DE"/>
      </left>
      <right style="thin">
        <color rgb="FFD0D7DE"/>
      </right>
      <top style="thin">
        <color rgb="FFD0D7DE"/>
      </top>
      <bottom/>
      <diagonal/>
    </border>
    <border>
      <left style="thin">
        <color rgb="FFD0D7DE"/>
      </left>
      <right style="thin">
        <color rgb="FFD0D7DE"/>
      </right>
      <top/>
      <bottom/>
      <diagonal/>
    </border>
    <border>
      <left style="thin">
        <color rgb="FFD0D7DE"/>
      </left>
      <right style="thin">
        <color rgb="FFD0D7DE"/>
      </right>
      <top/>
      <bottom style="thin">
        <color rgb="FFD0D7DE"/>
      </bottom>
      <diagonal/>
    </border>
    <border>
      <left/>
      <right/>
      <top style="thin">
        <color rgb="FF9EADBA"/>
      </top>
      <bottom style="thin">
        <color rgb="FF9EADBA"/>
      </bottom>
      <diagonal/>
    </border>
    <border>
      <left/>
      <right/>
      <top style="thin">
        <color rgb="FFD0D7DE"/>
      </top>
      <bottom/>
      <diagonal/>
    </border>
    <border>
      <left/>
      <right/>
      <top/>
      <bottom style="thin">
        <color rgb="FFD0D7DE"/>
      </bottom>
      <diagonal/>
    </border>
    <border>
      <left style="thin">
        <color rgb="FF9EADBA"/>
      </left>
      <right style="thin">
        <color rgb="FF9EADBA"/>
      </right>
      <top style="thin">
        <color rgb="FF9EADBA"/>
      </top>
      <bottom style="thin">
        <color rgb="FF9EADBA"/>
      </bottom>
      <diagonal/>
    </border>
    <border>
      <left style="thin">
        <color rgb="FFD0D7DE"/>
      </left>
      <right/>
      <top style="thin">
        <color rgb="FFD0D7DE"/>
      </top>
      <bottom style="thin">
        <color rgb="FFD0D7DE"/>
      </bottom>
      <diagonal/>
    </border>
    <border>
      <left/>
      <right/>
      <top style="thin">
        <color rgb="FFD0D7DE"/>
      </top>
      <bottom style="thin">
        <color rgb="FFD0D7DE"/>
      </bottom>
      <diagonal/>
    </border>
    <border>
      <left/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A6B3BF"/>
      </left>
      <right/>
      <top style="thin">
        <color rgb="FFA6B3BF"/>
      </top>
      <bottom style="thin">
        <color rgb="FFA6B3BF"/>
      </bottom>
      <diagonal/>
    </border>
    <border>
      <left/>
      <right style="thin">
        <color rgb="FFA6B3BF"/>
      </right>
      <top style="thin">
        <color rgb="FFA6B3BF"/>
      </top>
      <bottom style="thin">
        <color rgb="FFA6B3BF"/>
      </bottom>
      <diagonal/>
    </border>
    <border>
      <left/>
      <right/>
      <top style="thin">
        <color rgb="FFA6B3BF"/>
      </top>
      <bottom style="thin">
        <color rgb="FFA6B3BF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0" xfId="0" applyAlignment="1">
      <alignment wrapText="1"/>
    </xf>
    <xf numFmtId="0" fontId="4" fillId="2" borderId="0" xfId="0" applyFont="1" applyFill="1" applyAlignment="1">
      <alignment horizontal="center"/>
    </xf>
    <xf numFmtId="0" fontId="1" fillId="3" borderId="15" xfId="0" applyFont="1" applyFill="1" applyBorder="1" applyAlignment="1">
      <alignment horizontal="center" vertical="center" wrapText="1"/>
    </xf>
    <xf numFmtId="0" fontId="0" fillId="0" borderId="16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7" xfId="0" applyBorder="1" applyAlignment="1">
      <alignment vertical="center"/>
    </xf>
    <xf numFmtId="167" fontId="0" fillId="0" borderId="16" xfId="0" applyNumberFormat="1" applyBorder="1" applyAlignment="1">
      <alignment vertical="center"/>
    </xf>
    <xf numFmtId="167" fontId="0" fillId="0" borderId="0" xfId="0" applyNumberFormat="1" applyAlignment="1">
      <alignment vertical="center"/>
    </xf>
    <xf numFmtId="167" fontId="0" fillId="0" borderId="17" xfId="0" applyNumberFormat="1" applyBorder="1" applyAlignment="1">
      <alignment vertical="center"/>
    </xf>
    <xf numFmtId="165" fontId="0" fillId="0" borderId="16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165" fontId="0" fillId="0" borderId="17" xfId="0" applyNumberFormat="1" applyBorder="1" applyAlignment="1">
      <alignment vertical="center"/>
    </xf>
    <xf numFmtId="168" fontId="0" fillId="0" borderId="16" xfId="0" applyNumberFormat="1" applyBorder="1" applyAlignment="1">
      <alignment vertical="center"/>
    </xf>
    <xf numFmtId="168" fontId="0" fillId="0" borderId="0" xfId="0" applyNumberFormat="1" applyAlignment="1">
      <alignment vertical="center"/>
    </xf>
    <xf numFmtId="168" fontId="0" fillId="0" borderId="17" xfId="0" applyNumberFormat="1" applyBorder="1" applyAlignment="1">
      <alignment vertical="center"/>
    </xf>
    <xf numFmtId="169" fontId="0" fillId="0" borderId="16" xfId="0" applyNumberFormat="1" applyBorder="1" applyAlignment="1">
      <alignment vertical="center"/>
    </xf>
    <xf numFmtId="169" fontId="0" fillId="0" borderId="0" xfId="0" applyNumberFormat="1" applyAlignment="1">
      <alignment vertical="center"/>
    </xf>
    <xf numFmtId="169" fontId="0" fillId="0" borderId="17" xfId="0" applyNumberFormat="1" applyBorder="1" applyAlignment="1">
      <alignment vertical="center"/>
    </xf>
    <xf numFmtId="0" fontId="1" fillId="3" borderId="18" xfId="0" applyFont="1" applyFill="1" applyBorder="1" applyAlignment="1">
      <alignment horizontal="center" vertical="center" wrapText="1"/>
    </xf>
    <xf numFmtId="169" fontId="0" fillId="0" borderId="4" xfId="0" applyNumberFormat="1" applyBorder="1" applyAlignment="1">
      <alignment vertical="center"/>
    </xf>
    <xf numFmtId="169" fontId="0" fillId="0" borderId="6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21" fontId="0" fillId="0" borderId="16" xfId="0" applyNumberFormat="1" applyBorder="1" applyAlignment="1">
      <alignment vertical="center"/>
    </xf>
    <xf numFmtId="21" fontId="0" fillId="0" borderId="0" xfId="0" applyNumberFormat="1" applyAlignment="1">
      <alignment vertical="center"/>
    </xf>
    <xf numFmtId="21" fontId="0" fillId="0" borderId="17" xfId="0" applyNumberFormat="1" applyBorder="1" applyAlignment="1">
      <alignment vertical="center"/>
    </xf>
    <xf numFmtId="170" fontId="0" fillId="0" borderId="16" xfId="0" applyNumberFormat="1" applyBorder="1" applyAlignment="1">
      <alignment vertical="center"/>
    </xf>
    <xf numFmtId="170" fontId="0" fillId="0" borderId="0" xfId="0" applyNumberFormat="1" applyAlignment="1">
      <alignment vertical="center"/>
    </xf>
    <xf numFmtId="170" fontId="0" fillId="0" borderId="17" xfId="0" applyNumberFormat="1" applyBorder="1" applyAlignment="1">
      <alignment vertical="center"/>
    </xf>
    <xf numFmtId="0" fontId="3" fillId="4" borderId="19" xfId="0" applyFont="1" applyFill="1" applyBorder="1"/>
    <xf numFmtId="0" fontId="3" fillId="4" borderId="21" xfId="0" applyFont="1" applyFill="1" applyBorder="1"/>
    <xf numFmtId="170" fontId="3" fillId="4" borderId="20" xfId="0" applyNumberFormat="1" applyFont="1" applyFill="1" applyBorder="1"/>
    <xf numFmtId="0" fontId="1" fillId="10" borderId="22" xfId="0" applyFont="1" applyFill="1" applyBorder="1" applyAlignment="1">
      <alignment horizontal="center" vertical="center" wrapText="1"/>
    </xf>
    <xf numFmtId="0" fontId="1" fillId="10" borderId="23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167" fontId="0" fillId="0" borderId="0" xfId="0" applyNumberFormat="1"/>
    <xf numFmtId="169" fontId="0" fillId="0" borderId="0" xfId="0" applyNumberFormat="1"/>
    <xf numFmtId="0" fontId="3" fillId="0" borderId="0" xfId="0" applyFont="1"/>
    <xf numFmtId="0" fontId="6" fillId="0" borderId="0" xfId="0" applyFont="1"/>
    <xf numFmtId="164" fontId="6" fillId="0" borderId="0" xfId="0" applyNumberFormat="1" applyFont="1"/>
    <xf numFmtId="165" fontId="6" fillId="0" borderId="0" xfId="0" applyNumberFormat="1" applyFont="1"/>
    <xf numFmtId="1" fontId="6" fillId="0" borderId="0" xfId="0" applyNumberFormat="1" applyFont="1"/>
    <xf numFmtId="169" fontId="6" fillId="0" borderId="0" xfId="0" applyNumberFormat="1" applyFont="1"/>
    <xf numFmtId="0" fontId="6" fillId="0" borderId="0" xfId="0" applyFont="1" applyAlignment="1">
      <alignment wrapText="1"/>
    </xf>
    <xf numFmtId="0" fontId="7" fillId="0" borderId="0" xfId="0" applyFont="1" applyAlignment="1">
      <alignment horizontal="center"/>
    </xf>
    <xf numFmtId="0" fontId="7" fillId="4" borderId="0" xfId="0" applyFont="1" applyFill="1" applyAlignment="1">
      <alignment horizontal="center" wrapText="1"/>
    </xf>
    <xf numFmtId="0" fontId="9" fillId="3" borderId="0" xfId="0" applyFont="1" applyFill="1" applyAlignment="1">
      <alignment horizontal="center"/>
    </xf>
    <xf numFmtId="0" fontId="9" fillId="3" borderId="22" xfId="0" applyFont="1" applyFill="1" applyBorder="1" applyAlignment="1">
      <alignment horizontal="center" vertical="center" wrapText="1"/>
    </xf>
    <xf numFmtId="0" fontId="9" fillId="3" borderId="23" xfId="0" applyFont="1" applyFill="1" applyBorder="1" applyAlignment="1">
      <alignment horizontal="center" vertical="center" wrapText="1"/>
    </xf>
    <xf numFmtId="0" fontId="11" fillId="6" borderId="9" xfId="0" applyFont="1" applyFill="1" applyBorder="1" applyAlignment="1">
      <alignment horizontal="center" vertical="center" wrapText="1"/>
    </xf>
    <xf numFmtId="164" fontId="6" fillId="7" borderId="12" xfId="0" applyNumberFormat="1" applyFont="1" applyFill="1" applyBorder="1" applyAlignment="1">
      <alignment vertical="center"/>
    </xf>
    <xf numFmtId="0" fontId="11" fillId="6" borderId="10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vertical="center"/>
    </xf>
    <xf numFmtId="165" fontId="6" fillId="7" borderId="13" xfId="0" applyNumberFormat="1" applyFont="1" applyFill="1" applyBorder="1" applyAlignment="1">
      <alignment vertical="center"/>
    </xf>
    <xf numFmtId="166" fontId="6" fillId="7" borderId="13" xfId="0" applyNumberFormat="1" applyFont="1" applyFill="1" applyBorder="1" applyAlignment="1">
      <alignment vertical="center"/>
    </xf>
    <xf numFmtId="10" fontId="6" fillId="7" borderId="13" xfId="0" applyNumberFormat="1" applyFont="1" applyFill="1" applyBorder="1" applyAlignment="1">
      <alignment vertical="center"/>
    </xf>
    <xf numFmtId="0" fontId="11" fillId="6" borderId="11" xfId="0" applyFont="1" applyFill="1" applyBorder="1" applyAlignment="1">
      <alignment horizontal="center" vertical="center" wrapText="1"/>
    </xf>
    <xf numFmtId="1" fontId="6" fillId="7" borderId="14" xfId="0" applyNumberFormat="1" applyFont="1" applyFill="1" applyBorder="1" applyAlignment="1">
      <alignment vertical="center"/>
    </xf>
    <xf numFmtId="0" fontId="7" fillId="0" borderId="0" xfId="0" applyFont="1" applyAlignment="1">
      <alignment wrapText="1"/>
    </xf>
    <xf numFmtId="0" fontId="1" fillId="12" borderId="0" xfId="0" applyFont="1" applyFill="1" applyAlignment="1">
      <alignment horizontal="center" vertical="center" wrapText="1"/>
    </xf>
    <xf numFmtId="164" fontId="1" fillId="12" borderId="0" xfId="0" applyNumberFormat="1" applyFont="1" applyFill="1" applyAlignment="1">
      <alignment horizontal="center" vertical="center" wrapText="1"/>
    </xf>
    <xf numFmtId="165" fontId="1" fillId="12" borderId="0" xfId="0" applyNumberFormat="1" applyFont="1" applyFill="1" applyAlignment="1">
      <alignment horizontal="center" vertical="center" wrapText="1"/>
    </xf>
    <xf numFmtId="167" fontId="1" fillId="1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/>
    </xf>
    <xf numFmtId="49" fontId="1" fillId="3" borderId="1" xfId="0" applyNumberFormat="1" applyFont="1" applyFill="1" applyBorder="1" applyAlignment="1">
      <alignment horizontal="center" vertical="center" wrapText="1"/>
    </xf>
    <xf numFmtId="49" fontId="1" fillId="3" borderId="15" xfId="0" applyNumberFormat="1" applyFont="1" applyFill="1" applyBorder="1" applyAlignment="1">
      <alignment horizontal="center" vertical="center" wrapText="1"/>
    </xf>
    <xf numFmtId="49" fontId="0" fillId="0" borderId="3" xfId="0" applyNumberFormat="1" applyBorder="1" applyAlignment="1">
      <alignment vertical="center"/>
    </xf>
    <xf numFmtId="49" fontId="0" fillId="0" borderId="16" xfId="0" applyNumberFormat="1" applyBorder="1" applyAlignment="1">
      <alignment vertical="center"/>
    </xf>
    <xf numFmtId="49" fontId="0" fillId="0" borderId="5" xfId="0" applyNumberFormat="1" applyBorder="1" applyAlignment="1">
      <alignment vertical="center"/>
    </xf>
    <xf numFmtId="49" fontId="0" fillId="0" borderId="0" xfId="0" applyNumberFormat="1" applyAlignment="1">
      <alignment vertical="center"/>
    </xf>
    <xf numFmtId="49" fontId="0" fillId="0" borderId="7" xfId="0" applyNumberFormat="1" applyBorder="1" applyAlignment="1">
      <alignment vertical="center"/>
    </xf>
    <xf numFmtId="49" fontId="0" fillId="0" borderId="17" xfId="0" applyNumberFormat="1" applyBorder="1" applyAlignment="1">
      <alignment vertical="center"/>
    </xf>
    <xf numFmtId="49" fontId="0" fillId="0" borderId="0" xfId="0" applyNumberFormat="1"/>
    <xf numFmtId="0" fontId="7" fillId="16" borderId="0" xfId="0" applyFont="1" applyFill="1"/>
    <xf numFmtId="167" fontId="6" fillId="0" borderId="0" xfId="0" applyNumberFormat="1" applyFont="1"/>
    <xf numFmtId="0" fontId="7" fillId="0" borderId="0" xfId="0" applyFont="1"/>
    <xf numFmtId="0" fontId="9" fillId="16" borderId="22" xfId="0" applyFont="1" applyFill="1" applyBorder="1" applyAlignment="1">
      <alignment horizontal="center" vertical="center" wrapText="1"/>
    </xf>
    <xf numFmtId="0" fontId="9" fillId="16" borderId="23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vertical="center" wrapText="1"/>
    </xf>
    <xf numFmtId="0" fontId="7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vertical="center" wrapText="1"/>
    </xf>
    <xf numFmtId="0" fontId="7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vertical="center" wrapText="1"/>
    </xf>
    <xf numFmtId="0" fontId="8" fillId="19" borderId="0" xfId="0" applyFont="1" applyFill="1" applyAlignment="1">
      <alignment horizontal="center" vertical="center"/>
    </xf>
    <xf numFmtId="0" fontId="7" fillId="19" borderId="0" xfId="0" applyFont="1" applyFill="1"/>
    <xf numFmtId="0" fontId="7" fillId="20" borderId="0" xfId="0" applyFont="1" applyFill="1"/>
    <xf numFmtId="0" fontId="12" fillId="15" borderId="0" xfId="0" applyFont="1" applyFill="1" applyAlignment="1">
      <alignment horizontal="center" vertical="center"/>
    </xf>
    <xf numFmtId="0" fontId="11" fillId="4" borderId="0" xfId="0" applyFont="1" applyFill="1"/>
    <xf numFmtId="0" fontId="9" fillId="15" borderId="0" xfId="0" applyFont="1" applyFill="1" applyAlignment="1">
      <alignment horizontal="center" wrapText="1"/>
    </xf>
    <xf numFmtId="0" fontId="7" fillId="4" borderId="0" xfId="0" applyFont="1" applyFill="1" applyAlignment="1">
      <alignment wrapText="1"/>
    </xf>
    <xf numFmtId="0" fontId="7" fillId="5" borderId="0" xfId="0" applyFont="1" applyFill="1" applyAlignment="1">
      <alignment wrapText="1"/>
    </xf>
    <xf numFmtId="0" fontId="6" fillId="5" borderId="0" xfId="0" applyFont="1" applyFill="1" applyAlignment="1">
      <alignment wrapText="1"/>
    </xf>
    <xf numFmtId="0" fontId="7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/>
    <xf numFmtId="0" fontId="7" fillId="11" borderId="0" xfId="0" applyFont="1" applyFill="1" applyAlignment="1">
      <alignment wrapText="1"/>
    </xf>
    <xf numFmtId="0" fontId="7" fillId="6" borderId="0" xfId="0" applyFont="1" applyFill="1" applyAlignment="1">
      <alignment wrapText="1"/>
    </xf>
    <xf numFmtId="0" fontId="7" fillId="17" borderId="0" xfId="0" applyFont="1" applyFill="1" applyAlignment="1">
      <alignment horizontal="center" wrapText="1"/>
    </xf>
    <xf numFmtId="0" fontId="7" fillId="11" borderId="0" xfId="0" applyFont="1" applyFill="1" applyAlignment="1">
      <alignment horizontal="center" wrapText="1"/>
    </xf>
    <xf numFmtId="0" fontId="7" fillId="4" borderId="0" xfId="0" applyFont="1" applyFill="1" applyAlignment="1">
      <alignment horizontal="center" wrapText="1"/>
    </xf>
    <xf numFmtId="0" fontId="3" fillId="13" borderId="0" xfId="0" applyFont="1" applyFill="1" applyAlignment="1">
      <alignment horizontal="center" wrapText="1"/>
    </xf>
    <xf numFmtId="0" fontId="3" fillId="14" borderId="0" xfId="0" applyFont="1" applyFill="1" applyAlignment="1">
      <alignment horizontal="center" wrapText="1"/>
    </xf>
    <xf numFmtId="0" fontId="10" fillId="2" borderId="0" xfId="0" applyFont="1" applyFill="1" applyAlignment="1">
      <alignment horizontal="center"/>
    </xf>
    <xf numFmtId="0" fontId="7" fillId="6" borderId="0" xfId="0" applyFont="1" applyFill="1"/>
    <xf numFmtId="165" fontId="6" fillId="0" borderId="0" xfId="0" applyNumberFormat="1" applyFont="1" applyAlignment="1">
      <alignment wrapText="1"/>
    </xf>
    <xf numFmtId="0" fontId="3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4" fillId="2" borderId="0" xfId="0" applyFont="1" applyFill="1" applyAlignment="1">
      <alignment horizontal="center"/>
    </xf>
    <xf numFmtId="0" fontId="4" fillId="9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5" fillId="18" borderId="0" xfId="0" applyFont="1" applyFill="1" applyAlignment="1">
      <alignment horizontal="center" vertical="center"/>
    </xf>
    <xf numFmtId="0" fontId="7" fillId="21" borderId="0" xfId="0" applyFont="1" applyFill="1" applyAlignment="1">
      <alignment horizontal="center" vertical="center" wrapText="1"/>
    </xf>
    <xf numFmtId="0" fontId="8" fillId="22" borderId="0" xfId="0" applyFont="1" applyFill="1" applyAlignment="1">
      <alignment horizontal="center" vertical="center" wrapText="1"/>
    </xf>
    <xf numFmtId="0" fontId="8" fillId="21" borderId="0" xfId="0" applyFont="1" applyFill="1" applyAlignment="1">
      <alignment horizontal="center" vertical="center" wrapText="1"/>
    </xf>
    <xf numFmtId="0" fontId="9" fillId="18" borderId="0" xfId="0" applyFont="1" applyFill="1" applyAlignment="1">
      <alignment horizontal="center"/>
    </xf>
    <xf numFmtId="0" fontId="9" fillId="18" borderId="0" xfId="0" applyFont="1" applyFill="1" applyAlignment="1">
      <alignment horizontal="center" wrapText="1"/>
    </xf>
    <xf numFmtId="0" fontId="12" fillId="15" borderId="0" xfId="0" applyFont="1" applyFill="1" applyAlignment="1">
      <alignment horizontal="center"/>
    </xf>
  </cellXfs>
  <cellStyles count="1">
    <cellStyle name="Normal" xfId="0" builtinId="0"/>
  </cellStyles>
  <dxfs count="9">
    <dxf>
      <font>
        <color rgb="FF375623"/>
      </font>
      <fill>
        <patternFill>
          <bgColor rgb="FFE2F0D9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  <color rgb="FF1F4E78"/>
      </font>
      <fill>
        <patternFill>
          <bgColor rgb="FFD9EAF7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375623"/>
      </font>
      <fill>
        <patternFill>
          <bgColor rgb="FFE2F0D9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  <color rgb="FF1F4E78"/>
      </font>
      <fill>
        <patternFill>
          <bgColor rgb="FFD9EAF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v>Qdd</c:v>
          </c:tx>
          <c:cat>
            <c:strRef>
              <c:f>BAO_CAO_QDU!$A$4:$A$51</c:f>
              <c:strCache>
                <c:ptCount val="48"/>
                <c:pt idx="0">
                  <c:v>01 [00:00-00:30]</c:v>
                </c:pt>
                <c:pt idx="1">
                  <c:v>02 [00:30-01:00]</c:v>
                </c:pt>
                <c:pt idx="2">
                  <c:v>03 [01:00-01:30]</c:v>
                </c:pt>
                <c:pt idx="3">
                  <c:v>04 [01:30-02:00]</c:v>
                </c:pt>
                <c:pt idx="4">
                  <c:v>05 [02:00-02:30]</c:v>
                </c:pt>
                <c:pt idx="5">
                  <c:v>06 [02:30-03:00]</c:v>
                </c:pt>
                <c:pt idx="6">
                  <c:v>07 [03:00-03:30]</c:v>
                </c:pt>
                <c:pt idx="7">
                  <c:v>08 [03:30-04:00]</c:v>
                </c:pt>
                <c:pt idx="8">
                  <c:v>09 [04:00-04:30]</c:v>
                </c:pt>
                <c:pt idx="9">
                  <c:v>10 [04:30-05:00]</c:v>
                </c:pt>
                <c:pt idx="10">
                  <c:v>11 [05:00-05:30]</c:v>
                </c:pt>
                <c:pt idx="11">
                  <c:v>12 [05:30-06:00]</c:v>
                </c:pt>
                <c:pt idx="12">
                  <c:v>13 [06:00-06:30]</c:v>
                </c:pt>
                <c:pt idx="13">
                  <c:v>14 [06:30-07:00]</c:v>
                </c:pt>
                <c:pt idx="14">
                  <c:v>15 [07:00-07:30]</c:v>
                </c:pt>
                <c:pt idx="15">
                  <c:v>16 [07:30-08:00]</c:v>
                </c:pt>
                <c:pt idx="16">
                  <c:v>17 [08:00-08:30]</c:v>
                </c:pt>
                <c:pt idx="17">
                  <c:v>18 [08:30-09:00]</c:v>
                </c:pt>
                <c:pt idx="18">
                  <c:v>19 [09:00-09:30]</c:v>
                </c:pt>
                <c:pt idx="19">
                  <c:v>20 [09:30-10:00]</c:v>
                </c:pt>
                <c:pt idx="20">
                  <c:v>21 [10:00-10:30]</c:v>
                </c:pt>
                <c:pt idx="21">
                  <c:v>22 [10:30-11:00]</c:v>
                </c:pt>
                <c:pt idx="22">
                  <c:v>23 [11:00-11:30]</c:v>
                </c:pt>
                <c:pt idx="23">
                  <c:v>24 [11:30-12:00]</c:v>
                </c:pt>
                <c:pt idx="24">
                  <c:v>25 [12:00-12:30]</c:v>
                </c:pt>
                <c:pt idx="25">
                  <c:v>26 [12:30-13:00]</c:v>
                </c:pt>
                <c:pt idx="26">
                  <c:v>27 [13:00-13:30]</c:v>
                </c:pt>
                <c:pt idx="27">
                  <c:v>28 [13:30-14:00]</c:v>
                </c:pt>
                <c:pt idx="28">
                  <c:v>29 [14:00-14:30]</c:v>
                </c:pt>
                <c:pt idx="29">
                  <c:v>30 [14:30-15:00]</c:v>
                </c:pt>
                <c:pt idx="30">
                  <c:v>31 [15:00-15:30]</c:v>
                </c:pt>
                <c:pt idx="31">
                  <c:v>32 [15:30-16:00]</c:v>
                </c:pt>
                <c:pt idx="32">
                  <c:v>33 [16:00-16:30]</c:v>
                </c:pt>
                <c:pt idx="33">
                  <c:v>34 [16:30-17:00]</c:v>
                </c:pt>
                <c:pt idx="34">
                  <c:v>35 [17:00-17:30]</c:v>
                </c:pt>
                <c:pt idx="35">
                  <c:v>36 [17:30-18:00]</c:v>
                </c:pt>
                <c:pt idx="36">
                  <c:v>37 [18:00-18:30]</c:v>
                </c:pt>
                <c:pt idx="37">
                  <c:v>38 [18:30-19:00]</c:v>
                </c:pt>
                <c:pt idx="38">
                  <c:v>39 [19:00-19:30]</c:v>
                </c:pt>
                <c:pt idx="39">
                  <c:v>40 [19:30-20:00]</c:v>
                </c:pt>
                <c:pt idx="40">
                  <c:v>41 [20:00-20:30]</c:v>
                </c:pt>
                <c:pt idx="41">
                  <c:v>42 [20:30-21:00]</c:v>
                </c:pt>
                <c:pt idx="42">
                  <c:v>43 [21:00-21:30]</c:v>
                </c:pt>
                <c:pt idx="43">
                  <c:v>44 [21:30-22:00]</c:v>
                </c:pt>
                <c:pt idx="44">
                  <c:v>45 [22:00-22:30]</c:v>
                </c:pt>
                <c:pt idx="45">
                  <c:v>46 [22:30-23:00]</c:v>
                </c:pt>
                <c:pt idx="46">
                  <c:v>47 [23:00-23:30]</c:v>
                </c:pt>
                <c:pt idx="47">
                  <c:v>48 [23:30-00:00]</c:v>
                </c:pt>
              </c:strCache>
            </c:strRef>
          </c:cat>
          <c:val>
            <c:numRef>
              <c:f>BAO_CAO_QDU!$B$4:$B$51</c:f>
              <c:numCache>
                <c:formatCode>0.00000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92-C644-BE18-8BDD5F534689}"/>
            </c:ext>
          </c:extLst>
        </c:ser>
        <c:ser>
          <c:idx val="1"/>
          <c:order val="1"/>
          <c:tx>
            <c:v>P_Qdc</c:v>
          </c:tx>
          <c:cat>
            <c:strRef>
              <c:f>BAO_CAO_QDU!$A$4:$A$51</c:f>
              <c:strCache>
                <c:ptCount val="48"/>
                <c:pt idx="0">
                  <c:v>01 [00:00-00:30]</c:v>
                </c:pt>
                <c:pt idx="1">
                  <c:v>02 [00:30-01:00]</c:v>
                </c:pt>
                <c:pt idx="2">
                  <c:v>03 [01:00-01:30]</c:v>
                </c:pt>
                <c:pt idx="3">
                  <c:v>04 [01:30-02:00]</c:v>
                </c:pt>
                <c:pt idx="4">
                  <c:v>05 [02:00-02:30]</c:v>
                </c:pt>
                <c:pt idx="5">
                  <c:v>06 [02:30-03:00]</c:v>
                </c:pt>
                <c:pt idx="6">
                  <c:v>07 [03:00-03:30]</c:v>
                </c:pt>
                <c:pt idx="7">
                  <c:v>08 [03:30-04:00]</c:v>
                </c:pt>
                <c:pt idx="8">
                  <c:v>09 [04:00-04:30]</c:v>
                </c:pt>
                <c:pt idx="9">
                  <c:v>10 [04:30-05:00]</c:v>
                </c:pt>
                <c:pt idx="10">
                  <c:v>11 [05:00-05:30]</c:v>
                </c:pt>
                <c:pt idx="11">
                  <c:v>12 [05:30-06:00]</c:v>
                </c:pt>
                <c:pt idx="12">
                  <c:v>13 [06:00-06:30]</c:v>
                </c:pt>
                <c:pt idx="13">
                  <c:v>14 [06:30-07:00]</c:v>
                </c:pt>
                <c:pt idx="14">
                  <c:v>15 [07:00-07:30]</c:v>
                </c:pt>
                <c:pt idx="15">
                  <c:v>16 [07:30-08:00]</c:v>
                </c:pt>
                <c:pt idx="16">
                  <c:v>17 [08:00-08:30]</c:v>
                </c:pt>
                <c:pt idx="17">
                  <c:v>18 [08:30-09:00]</c:v>
                </c:pt>
                <c:pt idx="18">
                  <c:v>19 [09:00-09:30]</c:v>
                </c:pt>
                <c:pt idx="19">
                  <c:v>20 [09:30-10:00]</c:v>
                </c:pt>
                <c:pt idx="20">
                  <c:v>21 [10:00-10:30]</c:v>
                </c:pt>
                <c:pt idx="21">
                  <c:v>22 [10:30-11:00]</c:v>
                </c:pt>
                <c:pt idx="22">
                  <c:v>23 [11:00-11:30]</c:v>
                </c:pt>
                <c:pt idx="23">
                  <c:v>24 [11:30-12:00]</c:v>
                </c:pt>
                <c:pt idx="24">
                  <c:v>25 [12:00-12:30]</c:v>
                </c:pt>
                <c:pt idx="25">
                  <c:v>26 [12:30-13:00]</c:v>
                </c:pt>
                <c:pt idx="26">
                  <c:v>27 [13:00-13:30]</c:v>
                </c:pt>
                <c:pt idx="27">
                  <c:v>28 [13:30-14:00]</c:v>
                </c:pt>
                <c:pt idx="28">
                  <c:v>29 [14:00-14:30]</c:v>
                </c:pt>
                <c:pt idx="29">
                  <c:v>30 [14:30-15:00]</c:v>
                </c:pt>
                <c:pt idx="30">
                  <c:v>31 [15:00-15:30]</c:v>
                </c:pt>
                <c:pt idx="31">
                  <c:v>32 [15:30-16:00]</c:v>
                </c:pt>
                <c:pt idx="32">
                  <c:v>33 [16:00-16:30]</c:v>
                </c:pt>
                <c:pt idx="33">
                  <c:v>34 [16:30-17:00]</c:v>
                </c:pt>
                <c:pt idx="34">
                  <c:v>35 [17:00-17:30]</c:v>
                </c:pt>
                <c:pt idx="35">
                  <c:v>36 [17:30-18:00]</c:v>
                </c:pt>
                <c:pt idx="36">
                  <c:v>37 [18:00-18:30]</c:v>
                </c:pt>
                <c:pt idx="37">
                  <c:v>38 [18:30-19:00]</c:v>
                </c:pt>
                <c:pt idx="38">
                  <c:v>39 [19:00-19:30]</c:v>
                </c:pt>
                <c:pt idx="39">
                  <c:v>40 [19:30-20:00]</c:v>
                </c:pt>
                <c:pt idx="40">
                  <c:v>41 [20:00-20:30]</c:v>
                </c:pt>
                <c:pt idx="41">
                  <c:v>42 [20:30-21:00]</c:v>
                </c:pt>
                <c:pt idx="42">
                  <c:v>43 [21:00-21:30]</c:v>
                </c:pt>
                <c:pt idx="43">
                  <c:v>44 [21:30-22:00]</c:v>
                </c:pt>
                <c:pt idx="44">
                  <c:v>45 [22:00-22:30]</c:v>
                </c:pt>
                <c:pt idx="45">
                  <c:v>46 [22:30-23:00]</c:v>
                </c:pt>
                <c:pt idx="46">
                  <c:v>47 [23:00-23:30]</c:v>
                </c:pt>
                <c:pt idx="47">
                  <c:v>48 [23:30-00:00]</c:v>
                </c:pt>
              </c:strCache>
            </c:strRef>
          </c:cat>
          <c:val>
            <c:numRef>
              <c:f>BAO_CAO_QDU!$H$4:$H$51</c:f>
              <c:numCache>
                <c:formatCode>0.00000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92-C644-BE18-8BDD5F534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000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22</xdr:col>
      <xdr:colOff>0</xdr:colOff>
      <xdr:row>20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43"/>
  <sheetViews>
    <sheetView tabSelected="1" workbookViewId="0">
      <selection sqref="A1:H1"/>
    </sheetView>
  </sheetViews>
  <sheetFormatPr baseColWidth="10" defaultColWidth="8.83203125" defaultRowHeight="14"/>
  <cols>
    <col min="1" max="1" width="18" customWidth="1"/>
    <col min="2" max="2" width="92" customWidth="1"/>
    <col min="3" max="8" width="3" customWidth="1"/>
  </cols>
  <sheetData>
    <row r="1" spans="1:8" ht="37.25" customHeight="1">
      <c r="A1" s="95" t="s">
        <v>0</v>
      </c>
      <c r="B1" s="95"/>
      <c r="C1" s="95"/>
      <c r="D1" s="95"/>
      <c r="E1" s="95"/>
      <c r="F1" s="95"/>
      <c r="G1" s="95"/>
      <c r="H1" s="95"/>
    </row>
    <row r="2" spans="1:8" ht="29.25" customHeight="1">
      <c r="A2" s="46"/>
      <c r="B2" s="46"/>
      <c r="C2" s="46"/>
      <c r="D2" s="46"/>
      <c r="E2" s="46"/>
      <c r="F2" s="46"/>
      <c r="G2" s="46"/>
      <c r="H2" s="46"/>
    </row>
    <row r="3" spans="1:8" ht="29.25" customHeight="1">
      <c r="A3" s="84" t="s">
        <v>1</v>
      </c>
      <c r="B3" s="85" t="s">
        <v>2</v>
      </c>
      <c r="C3" s="46"/>
      <c r="D3" s="46"/>
      <c r="E3" s="46"/>
      <c r="F3" s="46"/>
      <c r="G3" s="46"/>
      <c r="H3" s="46"/>
    </row>
    <row r="4" spans="1:8" ht="29.25" customHeight="1">
      <c r="A4" s="86" t="s">
        <v>3</v>
      </c>
      <c r="B4" s="87" t="s">
        <v>4</v>
      </c>
      <c r="C4" s="46"/>
      <c r="D4" s="46"/>
      <c r="E4" s="46"/>
      <c r="F4" s="46"/>
      <c r="G4" s="46"/>
      <c r="H4" s="46"/>
    </row>
    <row r="5" spans="1:8" ht="29.25" customHeight="1">
      <c r="A5" s="88" t="s">
        <v>5</v>
      </c>
      <c r="B5" s="89" t="s">
        <v>6</v>
      </c>
      <c r="C5" s="46"/>
      <c r="D5" s="46"/>
      <c r="E5" s="46"/>
      <c r="F5" s="46"/>
      <c r="G5" s="46"/>
      <c r="H5" s="46"/>
    </row>
    <row r="6" spans="1:8" ht="29.25" customHeight="1">
      <c r="A6" s="88" t="s">
        <v>7</v>
      </c>
      <c r="B6" s="89" t="s">
        <v>8</v>
      </c>
      <c r="C6" s="46"/>
      <c r="D6" s="46"/>
      <c r="E6" s="46"/>
      <c r="F6" s="46"/>
      <c r="G6" s="46"/>
      <c r="H6" s="46"/>
    </row>
    <row r="7" spans="1:8" ht="29.25" customHeight="1">
      <c r="A7" s="88" t="s">
        <v>9</v>
      </c>
      <c r="B7" s="89" t="s">
        <v>10</v>
      </c>
      <c r="C7" s="46"/>
      <c r="D7" s="46"/>
      <c r="E7" s="46"/>
      <c r="F7" s="46"/>
      <c r="G7" s="46"/>
      <c r="H7" s="46"/>
    </row>
    <row r="8" spans="1:8" ht="29.25" customHeight="1">
      <c r="A8" s="88" t="s">
        <v>11</v>
      </c>
      <c r="B8" s="89" t="s">
        <v>12</v>
      </c>
      <c r="C8" s="46"/>
      <c r="D8" s="46"/>
      <c r="E8" s="46"/>
      <c r="F8" s="46"/>
      <c r="G8" s="46"/>
      <c r="H8" s="46"/>
    </row>
    <row r="9" spans="1:8" ht="29.25" customHeight="1">
      <c r="A9" s="88" t="s">
        <v>13</v>
      </c>
      <c r="B9" s="89" t="s">
        <v>14</v>
      </c>
      <c r="C9" s="46"/>
      <c r="D9" s="46"/>
      <c r="E9" s="46"/>
      <c r="F9" s="46"/>
      <c r="G9" s="46"/>
      <c r="H9" s="46"/>
    </row>
    <row r="10" spans="1:8" ht="29.25" customHeight="1">
      <c r="A10" s="88" t="s">
        <v>15</v>
      </c>
      <c r="B10" s="89" t="s">
        <v>16</v>
      </c>
      <c r="C10" s="46"/>
      <c r="D10" s="46"/>
      <c r="E10" s="46"/>
      <c r="F10" s="46"/>
      <c r="G10" s="46"/>
      <c r="H10" s="46"/>
    </row>
    <row r="11" spans="1:8" ht="29.25" customHeight="1">
      <c r="A11" s="90" t="s">
        <v>17</v>
      </c>
      <c r="B11" s="91" t="s">
        <v>18</v>
      </c>
      <c r="C11" s="46"/>
      <c r="D11" s="46"/>
      <c r="E11" s="46"/>
      <c r="F11" s="46"/>
      <c r="G11" s="46"/>
      <c r="H11" s="46"/>
    </row>
    <row r="12" spans="1:8" ht="29.25" customHeight="1">
      <c r="A12" s="52" t="s">
        <v>19</v>
      </c>
      <c r="B12" s="51" t="s">
        <v>20</v>
      </c>
      <c r="C12" s="46"/>
      <c r="D12" s="46"/>
      <c r="E12" s="46"/>
      <c r="F12" s="46"/>
      <c r="G12" s="46"/>
      <c r="H12" s="46"/>
    </row>
    <row r="13" spans="1:8" ht="29.25" customHeight="1">
      <c r="A13" s="96"/>
      <c r="B13" s="96"/>
      <c r="C13" s="96"/>
      <c r="D13" s="96"/>
      <c r="E13" s="96"/>
      <c r="F13" s="96"/>
      <c r="G13" s="96"/>
      <c r="H13" s="96"/>
    </row>
    <row r="14" spans="1:8" ht="29.25" customHeight="1">
      <c r="A14" s="97" t="s">
        <v>21</v>
      </c>
      <c r="B14" s="97"/>
      <c r="C14" s="97"/>
      <c r="D14" s="97"/>
      <c r="E14" s="97"/>
      <c r="F14" s="97"/>
      <c r="G14" s="97"/>
      <c r="H14" s="97"/>
    </row>
    <row r="15" spans="1:8" ht="29.25" customHeight="1">
      <c r="A15" s="98" t="s">
        <v>22</v>
      </c>
      <c r="B15" s="98" t="s">
        <v>23</v>
      </c>
      <c r="C15" s="98"/>
      <c r="D15" s="98"/>
      <c r="E15" s="98"/>
      <c r="F15" s="98"/>
      <c r="G15" s="98"/>
      <c r="H15" s="98"/>
    </row>
    <row r="16" spans="1:8" ht="29.25" customHeight="1">
      <c r="A16" s="99" t="s">
        <v>24</v>
      </c>
      <c r="B16" s="100" t="s">
        <v>25</v>
      </c>
      <c r="C16" s="100"/>
      <c r="D16" s="100"/>
      <c r="E16" s="100"/>
      <c r="F16" s="100"/>
      <c r="G16" s="100"/>
      <c r="H16" s="100"/>
    </row>
    <row r="17" spans="1:8" ht="29.25" customHeight="1">
      <c r="A17" s="99" t="s">
        <v>26</v>
      </c>
      <c r="B17" s="100" t="s">
        <v>27</v>
      </c>
      <c r="C17" s="100"/>
      <c r="D17" s="100"/>
      <c r="E17" s="100"/>
      <c r="F17" s="100"/>
      <c r="G17" s="100"/>
      <c r="H17" s="100"/>
    </row>
    <row r="18" spans="1:8">
      <c r="A18" s="101" t="s">
        <v>28</v>
      </c>
      <c r="B18" s="102" t="s">
        <v>29</v>
      </c>
      <c r="C18" s="103"/>
      <c r="D18" s="103"/>
      <c r="E18" s="103"/>
      <c r="F18" s="103"/>
      <c r="G18" s="103"/>
      <c r="H18" s="103"/>
    </row>
    <row r="19" spans="1:8" ht="15">
      <c r="A19" s="66" t="s">
        <v>30</v>
      </c>
      <c r="B19" s="51" t="s">
        <v>31</v>
      </c>
      <c r="C19" s="46"/>
      <c r="D19" s="46"/>
      <c r="E19" s="46"/>
      <c r="F19" s="46"/>
      <c r="G19" s="46"/>
      <c r="H19" s="46"/>
    </row>
    <row r="20" spans="1:8">
      <c r="A20" s="104" t="s">
        <v>32</v>
      </c>
      <c r="B20" s="104" t="s">
        <v>33</v>
      </c>
      <c r="C20" s="104"/>
      <c r="D20" s="104"/>
      <c r="E20" s="104"/>
      <c r="F20" s="104"/>
      <c r="G20" s="104"/>
      <c r="H20" s="104"/>
    </row>
    <row r="21" spans="1:8">
      <c r="A21" s="104" t="s">
        <v>34</v>
      </c>
      <c r="B21" s="104" t="s">
        <v>35</v>
      </c>
      <c r="C21" s="104"/>
      <c r="D21" s="104"/>
      <c r="E21" s="104"/>
      <c r="F21" s="104"/>
      <c r="G21" s="104"/>
      <c r="H21" s="104"/>
    </row>
    <row r="22" spans="1:8">
      <c r="A22" s="105" t="s">
        <v>36</v>
      </c>
      <c r="B22" s="105" t="s">
        <v>37</v>
      </c>
      <c r="C22" s="105"/>
      <c r="D22" s="105"/>
      <c r="E22" s="105"/>
      <c r="F22" s="105"/>
      <c r="G22" s="105"/>
      <c r="H22" s="105"/>
    </row>
    <row r="23" spans="1:8">
      <c r="A23" s="98" t="s">
        <v>38</v>
      </c>
      <c r="B23" s="98" t="s">
        <v>39</v>
      </c>
      <c r="C23" s="98"/>
      <c r="D23" s="98"/>
      <c r="E23" s="98"/>
      <c r="F23" s="98"/>
      <c r="G23" s="98"/>
      <c r="H23" s="98"/>
    </row>
    <row r="24" spans="1:8">
      <c r="A24" s="104"/>
      <c r="B24" s="104"/>
      <c r="C24" s="104"/>
      <c r="D24" s="104"/>
      <c r="E24" s="104"/>
      <c r="F24" s="104"/>
      <c r="G24" s="104"/>
      <c r="H24" s="104"/>
    </row>
    <row r="25" spans="1:8">
      <c r="A25" s="106" t="s">
        <v>40</v>
      </c>
      <c r="B25" s="106"/>
      <c r="C25" s="106"/>
      <c r="D25" s="106"/>
      <c r="E25" s="106"/>
      <c r="F25" s="106"/>
      <c r="G25" s="106"/>
      <c r="H25" s="106"/>
    </row>
    <row r="26" spans="1:8">
      <c r="A26" s="107"/>
      <c r="B26" s="107"/>
      <c r="C26" s="107"/>
      <c r="D26" s="107"/>
      <c r="E26" s="107"/>
      <c r="F26" s="107"/>
      <c r="G26" s="107"/>
      <c r="H26" s="107"/>
    </row>
    <row r="27" spans="1:8">
      <c r="A27" s="108" t="s">
        <v>41</v>
      </c>
      <c r="B27" s="108" t="s">
        <v>42</v>
      </c>
      <c r="C27" s="108"/>
      <c r="D27" s="108"/>
      <c r="E27" s="108"/>
      <c r="F27" s="108"/>
      <c r="G27" s="108"/>
      <c r="H27" s="108"/>
    </row>
    <row r="28" spans="1:8">
      <c r="A28" s="107" t="s">
        <v>43</v>
      </c>
      <c r="B28" s="107" t="s">
        <v>44</v>
      </c>
      <c r="C28" s="107"/>
      <c r="D28" s="107"/>
      <c r="E28" s="107"/>
      <c r="F28" s="107"/>
      <c r="G28" s="107"/>
      <c r="H28" s="107"/>
    </row>
    <row r="29" spans="1:8">
      <c r="A29" s="108" t="s">
        <v>45</v>
      </c>
      <c r="B29" s="108" t="s">
        <v>46</v>
      </c>
      <c r="C29" s="108"/>
      <c r="D29" s="108"/>
      <c r="E29" s="108"/>
      <c r="F29" s="108"/>
      <c r="G29" s="108"/>
      <c r="H29" s="108"/>
    </row>
    <row r="30" spans="1:8">
      <c r="A30" s="107"/>
      <c r="B30" s="107"/>
      <c r="C30" s="107"/>
      <c r="D30" s="107"/>
      <c r="E30" s="107"/>
      <c r="F30" s="107"/>
      <c r="G30" s="107"/>
      <c r="H30" s="107"/>
    </row>
    <row r="31" spans="1:8">
      <c r="A31" s="109"/>
      <c r="B31" s="109"/>
      <c r="C31" s="109"/>
      <c r="D31" s="109"/>
      <c r="E31" s="109"/>
      <c r="F31" s="109"/>
      <c r="G31" s="109"/>
      <c r="H31" s="109"/>
    </row>
    <row r="32" spans="1:8">
      <c r="A32" s="110"/>
      <c r="B32" s="110"/>
      <c r="C32" s="110"/>
      <c r="D32" s="110"/>
      <c r="E32" s="110"/>
      <c r="F32" s="110"/>
      <c r="G32" s="110"/>
      <c r="H32" s="110"/>
    </row>
    <row r="35" spans="1:2" ht="15">
      <c r="A35" s="45" t="s">
        <v>47</v>
      </c>
      <c r="B35" s="9" t="s">
        <v>48</v>
      </c>
    </row>
    <row r="36" spans="1:2" ht="15">
      <c r="A36" s="45" t="s">
        <v>49</v>
      </c>
      <c r="B36" s="9" t="s">
        <v>50</v>
      </c>
    </row>
    <row r="37" spans="1:2" ht="15">
      <c r="A37" s="45" t="s">
        <v>51</v>
      </c>
      <c r="B37" s="9" t="s">
        <v>52</v>
      </c>
    </row>
    <row r="38" spans="1:2" ht="15">
      <c r="A38" s="45" t="s">
        <v>53</v>
      </c>
      <c r="B38" s="9" t="s">
        <v>54</v>
      </c>
    </row>
    <row r="39" spans="1:2" ht="15">
      <c r="A39" s="45" t="s">
        <v>55</v>
      </c>
      <c r="B39" s="9" t="s">
        <v>56</v>
      </c>
    </row>
    <row r="40" spans="1:2" ht="15">
      <c r="A40" s="45" t="s">
        <v>57</v>
      </c>
      <c r="B40" s="9" t="s">
        <v>58</v>
      </c>
    </row>
    <row r="41" spans="1:2" ht="15">
      <c r="A41" s="45" t="s">
        <v>59</v>
      </c>
      <c r="B41" s="9" t="s">
        <v>60</v>
      </c>
    </row>
    <row r="42" spans="1:2" ht="15">
      <c r="A42" s="45" t="s">
        <v>61</v>
      </c>
      <c r="B42" s="9" t="s">
        <v>62</v>
      </c>
    </row>
    <row r="43" spans="1:2" ht="15">
      <c r="A43" s="45" t="s">
        <v>63</v>
      </c>
      <c r="B43" s="9" t="s">
        <v>64</v>
      </c>
    </row>
  </sheetData>
  <mergeCells count="20">
    <mergeCell ref="A28:H28"/>
    <mergeCell ref="A29:H29"/>
    <mergeCell ref="A30:H30"/>
    <mergeCell ref="A31:H31"/>
    <mergeCell ref="A32:H32"/>
    <mergeCell ref="A23:H23"/>
    <mergeCell ref="A24:H24"/>
    <mergeCell ref="A25:H25"/>
    <mergeCell ref="A26:H26"/>
    <mergeCell ref="A27:H27"/>
    <mergeCell ref="A17:H17"/>
    <mergeCell ref="A18:H18"/>
    <mergeCell ref="A20:H20"/>
    <mergeCell ref="A21:H21"/>
    <mergeCell ref="A22:H22"/>
    <mergeCell ref="A1:H1"/>
    <mergeCell ref="A13:H13"/>
    <mergeCell ref="A14:H14"/>
    <mergeCell ref="A15:H1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1"/>
  <sheetViews>
    <sheetView workbookViewId="0"/>
  </sheetViews>
  <sheetFormatPr baseColWidth="10" defaultColWidth="8.83203125" defaultRowHeight="14"/>
  <cols>
    <col min="1" max="1" width="40" customWidth="1"/>
    <col min="2" max="2" width="30" customWidth="1"/>
    <col min="3" max="4" width="15" customWidth="1"/>
  </cols>
  <sheetData>
    <row r="1" spans="1:4" ht="18">
      <c r="A1" s="111" t="s">
        <v>65</v>
      </c>
      <c r="B1" s="111" t="s">
        <v>65</v>
      </c>
      <c r="C1" s="111" t="s">
        <v>65</v>
      </c>
      <c r="D1" s="111" t="s">
        <v>65</v>
      </c>
    </row>
    <row r="2" spans="1:4">
      <c r="A2" s="46"/>
      <c r="B2" s="46"/>
      <c r="C2" s="46"/>
      <c r="D2" s="46"/>
    </row>
    <row r="3" spans="1:4" ht="15">
      <c r="A3" s="55" t="s">
        <v>66</v>
      </c>
      <c r="B3" s="56" t="s">
        <v>67</v>
      </c>
      <c r="C3" s="46"/>
      <c r="D3" s="46"/>
    </row>
    <row r="4" spans="1:4" ht="15">
      <c r="A4" s="57" t="s">
        <v>68</v>
      </c>
      <c r="B4" s="58"/>
      <c r="C4" s="46"/>
      <c r="D4" s="46"/>
    </row>
    <row r="5" spans="1:4" ht="15">
      <c r="A5" s="59" t="s">
        <v>69</v>
      </c>
      <c r="B5" s="60" t="s">
        <v>70</v>
      </c>
      <c r="C5" s="46"/>
      <c r="D5" s="46"/>
    </row>
    <row r="6" spans="1:4" ht="15">
      <c r="A6" s="59" t="s">
        <v>71</v>
      </c>
      <c r="B6" s="61"/>
      <c r="C6" s="46"/>
      <c r="D6" s="46"/>
    </row>
    <row r="7" spans="1:4" ht="15">
      <c r="A7" s="59" t="s">
        <v>72</v>
      </c>
      <c r="B7" s="61">
        <v>3.5</v>
      </c>
      <c r="C7" s="46"/>
      <c r="D7" s="46"/>
    </row>
    <row r="8" spans="1:4" ht="15">
      <c r="A8" s="59" t="s">
        <v>73</v>
      </c>
      <c r="B8" s="62">
        <v>0.91879999999999995</v>
      </c>
      <c r="C8" s="46"/>
      <c r="D8" s="46"/>
    </row>
    <row r="9" spans="1:4" ht="15">
      <c r="A9" s="59" t="s">
        <v>74</v>
      </c>
      <c r="B9" s="63">
        <v>0.03</v>
      </c>
      <c r="C9" s="46"/>
      <c r="D9" s="46"/>
    </row>
    <row r="10" spans="1:4" ht="15">
      <c r="A10" s="64" t="s">
        <v>75</v>
      </c>
      <c r="B10" s="65">
        <f ca="1">IFERROR(SUM(LENH_DIEU_DO!$T$3:$T$202)+0*RAND(),0)</f>
        <v>0</v>
      </c>
      <c r="C10" s="46"/>
      <c r="D10" s="46"/>
    </row>
    <row r="11" spans="1:4">
      <c r="A11" s="46" t="s">
        <v>76</v>
      </c>
      <c r="B11" s="46" t="s">
        <v>77</v>
      </c>
      <c r="C11" s="46"/>
      <c r="D11" s="46"/>
    </row>
    <row r="12" spans="1:4">
      <c r="A12" s="112" t="s">
        <v>78</v>
      </c>
      <c r="B12" s="112" t="s">
        <v>79</v>
      </c>
      <c r="C12" s="112"/>
      <c r="D12" s="112"/>
    </row>
    <row r="13" spans="1:4">
      <c r="A13" s="101" t="s">
        <v>80</v>
      </c>
      <c r="B13" s="102" t="s">
        <v>81</v>
      </c>
      <c r="C13" s="102"/>
      <c r="D13" s="102"/>
    </row>
    <row r="14" spans="1:4">
      <c r="A14" s="101" t="s">
        <v>82</v>
      </c>
      <c r="B14" s="113"/>
      <c r="C14" s="102"/>
      <c r="D14" s="102"/>
    </row>
    <row r="15" spans="1:4">
      <c r="A15" s="101" t="s">
        <v>83</v>
      </c>
      <c r="B15" s="102"/>
      <c r="C15" s="102"/>
      <c r="D15" s="102"/>
    </row>
    <row r="16" spans="1:4">
      <c r="A16" s="114" t="s">
        <v>84</v>
      </c>
      <c r="B16" s="115">
        <v>0.1</v>
      </c>
      <c r="C16" s="116"/>
      <c r="D16" s="116"/>
    </row>
    <row r="17" spans="1:2">
      <c r="A17" s="45" t="s">
        <v>85</v>
      </c>
      <c r="B17" t="s">
        <v>86</v>
      </c>
    </row>
    <row r="18" spans="1:2">
      <c r="A18" s="45" t="s">
        <v>87</v>
      </c>
      <c r="B18" t="s">
        <v>88</v>
      </c>
    </row>
    <row r="19" spans="1:2">
      <c r="A19" s="45" t="s">
        <v>89</v>
      </c>
      <c r="B19" t="s">
        <v>90</v>
      </c>
    </row>
    <row r="20" spans="1:2">
      <c r="A20" s="45" t="s">
        <v>91</v>
      </c>
      <c r="B20" t="s">
        <v>92</v>
      </c>
    </row>
    <row r="21" spans="1:2">
      <c r="A21" t="s">
        <v>93</v>
      </c>
      <c r="B21">
        <v>60</v>
      </c>
    </row>
  </sheetData>
  <mergeCells count="6">
    <mergeCell ref="A16:D16"/>
    <mergeCell ref="A1:D1"/>
    <mergeCell ref="A12:D12"/>
    <mergeCell ref="A13:D13"/>
    <mergeCell ref="A14:D14"/>
    <mergeCell ref="A15:D15"/>
  </mergeCells>
  <dataValidations count="1">
    <dataValidation type="list" sqref="B5" xr:uid="{00000000-0002-0000-0100-000000000000}">
      <formula1>"S1,S2"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Y203"/>
  <sheetViews>
    <sheetView workbookViewId="0"/>
  </sheetViews>
  <sheetFormatPr baseColWidth="10" defaultColWidth="8.83203125" defaultRowHeight="14"/>
  <cols>
    <col min="1" max="3" width="16" customWidth="1"/>
    <col min="4" max="4" width="24" customWidth="1"/>
    <col min="5" max="12" width="16" customWidth="1"/>
    <col min="13" max="15" width="30" customWidth="1"/>
    <col min="16" max="24" width="16" customWidth="1"/>
    <col min="25" max="25" width="11" customWidth="1"/>
  </cols>
  <sheetData>
    <row r="1" spans="1:25" ht="17">
      <c r="A1" s="117"/>
      <c r="B1" s="117"/>
      <c r="C1" s="117"/>
      <c r="D1" s="117"/>
      <c r="E1" s="117"/>
      <c r="F1" s="117"/>
      <c r="G1" s="117" t="s">
        <v>94</v>
      </c>
      <c r="H1" s="117" t="s">
        <v>94</v>
      </c>
      <c r="I1" s="117" t="s">
        <v>94</v>
      </c>
      <c r="J1" s="117" t="s">
        <v>94</v>
      </c>
      <c r="K1" s="117" t="s">
        <v>94</v>
      </c>
      <c r="L1" s="117" t="s">
        <v>94</v>
      </c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</row>
    <row r="3" spans="1:25" ht="30">
      <c r="A3" s="40" t="s">
        <v>95</v>
      </c>
      <c r="B3" s="42" t="s">
        <v>96</v>
      </c>
      <c r="C3" s="42" t="s">
        <v>69</v>
      </c>
      <c r="D3" s="42" t="s">
        <v>97</v>
      </c>
      <c r="E3" s="42" t="s">
        <v>98</v>
      </c>
      <c r="F3" s="42" t="s">
        <v>99</v>
      </c>
      <c r="G3" s="42" t="s">
        <v>100</v>
      </c>
      <c r="H3" s="42" t="s">
        <v>101</v>
      </c>
      <c r="I3" s="42" t="s">
        <v>102</v>
      </c>
      <c r="J3" s="42" t="s">
        <v>103</v>
      </c>
      <c r="K3" s="42" t="s">
        <v>104</v>
      </c>
      <c r="L3" s="42" t="s">
        <v>105</v>
      </c>
      <c r="M3" s="42" t="s">
        <v>106</v>
      </c>
      <c r="N3" s="42" t="s">
        <v>107</v>
      </c>
      <c r="O3" s="42" t="s">
        <v>108</v>
      </c>
      <c r="P3" s="42" t="s">
        <v>109</v>
      </c>
      <c r="Q3" s="42" t="s">
        <v>110</v>
      </c>
      <c r="R3" s="42" t="s">
        <v>111</v>
      </c>
      <c r="S3" s="42" t="s">
        <v>112</v>
      </c>
      <c r="T3" s="42" t="s">
        <v>113</v>
      </c>
      <c r="U3" s="42" t="s">
        <v>114</v>
      </c>
      <c r="V3" s="42" t="s">
        <v>115</v>
      </c>
      <c r="W3" s="42" t="s">
        <v>116</v>
      </c>
      <c r="X3" s="42" t="s">
        <v>117</v>
      </c>
      <c r="Y3" s="41" t="s">
        <v>118</v>
      </c>
    </row>
    <row r="4" spans="1:25">
      <c r="A4" s="3"/>
      <c r="B4" s="12"/>
      <c r="C4" s="12"/>
      <c r="D4" s="12"/>
      <c r="E4" s="12"/>
      <c r="F4" s="12"/>
      <c r="G4" s="15"/>
      <c r="H4" s="15"/>
      <c r="I4" s="12"/>
      <c r="J4" s="12"/>
      <c r="K4" s="12"/>
      <c r="L4" s="12"/>
      <c r="M4" s="12"/>
      <c r="N4" s="12"/>
      <c r="O4" s="12"/>
      <c r="P4" s="12"/>
      <c r="Q4" s="12"/>
      <c r="R4" s="15"/>
      <c r="S4" s="12"/>
      <c r="T4" s="12"/>
      <c r="U4" s="12"/>
      <c r="V4" s="12"/>
      <c r="W4" s="12"/>
      <c r="X4" s="12"/>
      <c r="Y4" s="4"/>
    </row>
    <row r="5" spans="1:25">
      <c r="A5" s="5"/>
      <c r="B5" s="13"/>
      <c r="C5" s="13"/>
      <c r="D5" s="13"/>
      <c r="E5" s="13"/>
      <c r="F5" s="13"/>
      <c r="G5" s="16"/>
      <c r="H5" s="16"/>
      <c r="I5" s="13"/>
      <c r="J5" s="13"/>
      <c r="K5" s="13"/>
      <c r="L5" s="13"/>
      <c r="M5" s="13"/>
      <c r="N5" s="13"/>
      <c r="O5" s="13"/>
      <c r="P5" s="13"/>
      <c r="Q5" s="13"/>
      <c r="R5" s="16"/>
      <c r="S5" s="13"/>
      <c r="T5" s="13"/>
      <c r="U5" s="13"/>
      <c r="V5" s="13"/>
      <c r="W5" s="13"/>
      <c r="X5" s="13"/>
      <c r="Y5" s="6"/>
    </row>
    <row r="6" spans="1:25">
      <c r="A6" s="5"/>
      <c r="B6" s="13"/>
      <c r="C6" s="13"/>
      <c r="D6" s="13"/>
      <c r="E6" s="13"/>
      <c r="F6" s="13"/>
      <c r="G6" s="16"/>
      <c r="H6" s="16"/>
      <c r="I6" s="13"/>
      <c r="J6" s="13"/>
      <c r="K6" s="13"/>
      <c r="L6" s="13"/>
      <c r="M6" s="13"/>
      <c r="N6" s="13"/>
      <c r="O6" s="13"/>
      <c r="P6" s="13"/>
      <c r="Q6" s="13"/>
      <c r="R6" s="16"/>
      <c r="S6" s="13"/>
      <c r="T6" s="13"/>
      <c r="U6" s="13"/>
      <c r="V6" s="13"/>
      <c r="W6" s="13"/>
      <c r="X6" s="13"/>
      <c r="Y6" s="6"/>
    </row>
    <row r="7" spans="1:25">
      <c r="A7" s="5"/>
      <c r="B7" s="13"/>
      <c r="C7" s="13"/>
      <c r="D7" s="13"/>
      <c r="E7" s="13"/>
      <c r="F7" s="13"/>
      <c r="G7" s="16"/>
      <c r="H7" s="16"/>
      <c r="I7" s="13"/>
      <c r="J7" s="13"/>
      <c r="K7" s="13"/>
      <c r="L7" s="13"/>
      <c r="M7" s="13"/>
      <c r="N7" s="13"/>
      <c r="O7" s="13"/>
      <c r="P7" s="13"/>
      <c r="Q7" s="13"/>
      <c r="R7" s="16"/>
      <c r="S7" s="13"/>
      <c r="T7" s="13"/>
      <c r="U7" s="13"/>
      <c r="V7" s="13"/>
      <c r="W7" s="13"/>
      <c r="X7" s="13"/>
      <c r="Y7" s="6"/>
    </row>
    <row r="8" spans="1:25">
      <c r="A8" s="5"/>
      <c r="B8" s="13"/>
      <c r="C8" s="13"/>
      <c r="D8" s="13"/>
      <c r="E8" s="13"/>
      <c r="F8" s="13"/>
      <c r="G8" s="16"/>
      <c r="H8" s="16"/>
      <c r="I8" s="13"/>
      <c r="J8" s="13"/>
      <c r="K8" s="13"/>
      <c r="L8" s="13"/>
      <c r="M8" s="13"/>
      <c r="N8" s="13"/>
      <c r="O8" s="13"/>
      <c r="P8" s="13"/>
      <c r="Q8" s="13"/>
      <c r="R8" s="16"/>
      <c r="S8" s="13"/>
      <c r="T8" s="13"/>
      <c r="U8" s="13"/>
      <c r="V8" s="13"/>
      <c r="W8" s="13"/>
      <c r="X8" s="13"/>
      <c r="Y8" s="6"/>
    </row>
    <row r="9" spans="1:25">
      <c r="A9" s="5"/>
      <c r="B9" s="13"/>
      <c r="C9" s="13"/>
      <c r="D9" s="13"/>
      <c r="E9" s="13"/>
      <c r="F9" s="13"/>
      <c r="G9" s="16"/>
      <c r="H9" s="16"/>
      <c r="I9" s="13"/>
      <c r="J9" s="13"/>
      <c r="K9" s="13"/>
      <c r="L9" s="13"/>
      <c r="M9" s="13"/>
      <c r="N9" s="13"/>
      <c r="O9" s="13"/>
      <c r="P9" s="13"/>
      <c r="Q9" s="13"/>
      <c r="R9" s="16"/>
      <c r="S9" s="13"/>
      <c r="T9" s="13"/>
      <c r="U9" s="13"/>
      <c r="V9" s="13"/>
      <c r="W9" s="13"/>
      <c r="X9" s="13"/>
      <c r="Y9" s="6"/>
    </row>
    <row r="10" spans="1:25">
      <c r="A10" s="5"/>
      <c r="B10" s="13"/>
      <c r="C10" s="13"/>
      <c r="D10" s="13"/>
      <c r="E10" s="13"/>
      <c r="F10" s="13"/>
      <c r="G10" s="16"/>
      <c r="H10" s="16"/>
      <c r="I10" s="13"/>
      <c r="J10" s="13"/>
      <c r="K10" s="13"/>
      <c r="L10" s="13"/>
      <c r="M10" s="13"/>
      <c r="N10" s="13"/>
      <c r="O10" s="13"/>
      <c r="P10" s="13"/>
      <c r="Q10" s="13"/>
      <c r="R10" s="16"/>
      <c r="S10" s="13"/>
      <c r="T10" s="13"/>
      <c r="U10" s="13"/>
      <c r="V10" s="13"/>
      <c r="W10" s="13"/>
      <c r="X10" s="13"/>
      <c r="Y10" s="6"/>
    </row>
    <row r="11" spans="1:25">
      <c r="A11" s="5"/>
      <c r="B11" s="13"/>
      <c r="C11" s="13"/>
      <c r="D11" s="13"/>
      <c r="E11" s="13"/>
      <c r="F11" s="13"/>
      <c r="G11" s="16"/>
      <c r="H11" s="16"/>
      <c r="I11" s="13"/>
      <c r="J11" s="13"/>
      <c r="K11" s="13"/>
      <c r="L11" s="13"/>
      <c r="M11" s="13"/>
      <c r="N11" s="13"/>
      <c r="O11" s="13"/>
      <c r="P11" s="13"/>
      <c r="Q11" s="13"/>
      <c r="R11" s="16"/>
      <c r="S11" s="13"/>
      <c r="T11" s="13"/>
      <c r="U11" s="13"/>
      <c r="V11" s="13"/>
      <c r="W11" s="13"/>
      <c r="X11" s="13"/>
      <c r="Y11" s="6"/>
    </row>
    <row r="12" spans="1:25">
      <c r="A12" s="5"/>
      <c r="B12" s="13"/>
      <c r="C12" s="13"/>
      <c r="D12" s="13"/>
      <c r="E12" s="13"/>
      <c r="F12" s="13"/>
      <c r="G12" s="16"/>
      <c r="H12" s="16"/>
      <c r="I12" s="13"/>
      <c r="J12" s="13"/>
      <c r="K12" s="13"/>
      <c r="L12" s="13"/>
      <c r="M12" s="13"/>
      <c r="N12" s="13"/>
      <c r="O12" s="13"/>
      <c r="P12" s="13"/>
      <c r="Q12" s="13"/>
      <c r="R12" s="16"/>
      <c r="S12" s="13"/>
      <c r="T12" s="13"/>
      <c r="U12" s="13"/>
      <c r="V12" s="13"/>
      <c r="W12" s="13"/>
      <c r="X12" s="13"/>
      <c r="Y12" s="6"/>
    </row>
    <row r="13" spans="1:25">
      <c r="A13" s="5"/>
      <c r="B13" s="13"/>
      <c r="C13" s="13"/>
      <c r="D13" s="13"/>
      <c r="E13" s="13"/>
      <c r="F13" s="13"/>
      <c r="G13" s="16"/>
      <c r="H13" s="16"/>
      <c r="I13" s="13"/>
      <c r="J13" s="13"/>
      <c r="K13" s="13"/>
      <c r="L13" s="13"/>
      <c r="M13" s="13"/>
      <c r="N13" s="13"/>
      <c r="O13" s="13"/>
      <c r="P13" s="13"/>
      <c r="Q13" s="13"/>
      <c r="R13" s="16"/>
      <c r="S13" s="13"/>
      <c r="T13" s="13"/>
      <c r="U13" s="13"/>
      <c r="V13" s="13"/>
      <c r="W13" s="13"/>
      <c r="X13" s="13"/>
      <c r="Y13" s="6"/>
    </row>
    <row r="14" spans="1:25">
      <c r="A14" s="5"/>
      <c r="B14" s="13"/>
      <c r="C14" s="13"/>
      <c r="D14" s="13"/>
      <c r="E14" s="13"/>
      <c r="F14" s="13"/>
      <c r="G14" s="16"/>
      <c r="H14" s="16"/>
      <c r="I14" s="13"/>
      <c r="J14" s="13"/>
      <c r="K14" s="13"/>
      <c r="L14" s="13"/>
      <c r="M14" s="13"/>
      <c r="N14" s="13"/>
      <c r="O14" s="13"/>
      <c r="P14" s="13"/>
      <c r="Q14" s="13"/>
      <c r="R14" s="16"/>
      <c r="S14" s="13"/>
      <c r="T14" s="13"/>
      <c r="U14" s="13"/>
      <c r="V14" s="13"/>
      <c r="W14" s="13"/>
      <c r="X14" s="13"/>
      <c r="Y14" s="6"/>
    </row>
    <row r="15" spans="1:25">
      <c r="A15" s="5"/>
      <c r="B15" s="13"/>
      <c r="C15" s="13"/>
      <c r="D15" s="13"/>
      <c r="E15" s="13"/>
      <c r="F15" s="13"/>
      <c r="G15" s="16"/>
      <c r="H15" s="16"/>
      <c r="I15" s="13"/>
      <c r="J15" s="13"/>
      <c r="K15" s="13"/>
      <c r="L15" s="13"/>
      <c r="M15" s="13"/>
      <c r="N15" s="13"/>
      <c r="O15" s="13"/>
      <c r="P15" s="13"/>
      <c r="Q15" s="13"/>
      <c r="R15" s="16"/>
      <c r="S15" s="13"/>
      <c r="T15" s="13"/>
      <c r="U15" s="13"/>
      <c r="V15" s="13"/>
      <c r="W15" s="13"/>
      <c r="X15" s="13"/>
      <c r="Y15" s="6"/>
    </row>
    <row r="16" spans="1:25">
      <c r="A16" s="7"/>
      <c r="B16" s="14"/>
      <c r="C16" s="14"/>
      <c r="D16" s="14"/>
      <c r="E16" s="14"/>
      <c r="F16" s="14"/>
      <c r="G16" s="17"/>
      <c r="H16" s="17"/>
      <c r="I16" s="14"/>
      <c r="J16" s="14"/>
      <c r="K16" s="14"/>
      <c r="L16" s="14"/>
      <c r="M16" s="14"/>
      <c r="N16" s="14"/>
      <c r="O16" s="14"/>
      <c r="P16" s="14"/>
      <c r="Q16" s="14"/>
      <c r="R16" s="17"/>
      <c r="S16" s="14"/>
      <c r="T16" s="14"/>
      <c r="U16" s="14"/>
      <c r="V16" s="14"/>
      <c r="W16" s="14"/>
      <c r="X16" s="14"/>
      <c r="Y16" s="8"/>
    </row>
    <row r="17" spans="7:18">
      <c r="G17" s="43"/>
      <c r="H17" s="43"/>
      <c r="R17" s="43"/>
    </row>
    <row r="18" spans="7:18">
      <c r="G18" s="43"/>
      <c r="H18" s="43"/>
      <c r="R18" s="43"/>
    </row>
    <row r="19" spans="7:18">
      <c r="G19" s="43"/>
      <c r="H19" s="43"/>
      <c r="R19" s="43"/>
    </row>
    <row r="20" spans="7:18">
      <c r="G20" s="43"/>
      <c r="H20" s="43"/>
      <c r="R20" s="43"/>
    </row>
    <row r="21" spans="7:18">
      <c r="G21" s="43"/>
      <c r="H21" s="43"/>
      <c r="R21" s="43"/>
    </row>
    <row r="22" spans="7:18">
      <c r="G22" s="43"/>
      <c r="H22" s="43"/>
      <c r="R22" s="43"/>
    </row>
    <row r="23" spans="7:18">
      <c r="G23" s="43"/>
      <c r="H23" s="43"/>
      <c r="R23" s="43"/>
    </row>
    <row r="24" spans="7:18">
      <c r="G24" s="43"/>
      <c r="H24" s="43"/>
      <c r="R24" s="43"/>
    </row>
    <row r="25" spans="7:18">
      <c r="G25" s="43"/>
      <c r="H25" s="43"/>
      <c r="R25" s="43"/>
    </row>
    <row r="26" spans="7:18">
      <c r="G26" s="43"/>
      <c r="H26" s="43"/>
      <c r="R26" s="43"/>
    </row>
    <row r="27" spans="7:18">
      <c r="G27" s="43"/>
      <c r="H27" s="43"/>
      <c r="R27" s="43"/>
    </row>
    <row r="28" spans="7:18">
      <c r="G28" s="43"/>
      <c r="H28" s="43"/>
      <c r="R28" s="43"/>
    </row>
    <row r="29" spans="7:18">
      <c r="G29" s="43"/>
      <c r="H29" s="43"/>
      <c r="R29" s="43"/>
    </row>
    <row r="30" spans="7:18">
      <c r="G30" s="43"/>
      <c r="H30" s="43"/>
      <c r="R30" s="43"/>
    </row>
    <row r="31" spans="7:18">
      <c r="G31" s="43"/>
      <c r="H31" s="43"/>
      <c r="R31" s="43"/>
    </row>
    <row r="32" spans="7:18">
      <c r="G32" s="43"/>
      <c r="H32" s="43"/>
      <c r="R32" s="43"/>
    </row>
    <row r="33" spans="7:18">
      <c r="G33" s="43"/>
      <c r="H33" s="43"/>
      <c r="R33" s="43"/>
    </row>
    <row r="34" spans="7:18">
      <c r="G34" s="43"/>
      <c r="H34" s="43"/>
      <c r="R34" s="43"/>
    </row>
    <row r="35" spans="7:18">
      <c r="G35" s="43"/>
      <c r="H35" s="43"/>
      <c r="R35" s="43"/>
    </row>
    <row r="36" spans="7:18">
      <c r="G36" s="43"/>
      <c r="H36" s="43"/>
      <c r="R36" s="43"/>
    </row>
    <row r="37" spans="7:18">
      <c r="G37" s="43"/>
      <c r="H37" s="43"/>
      <c r="R37" s="43"/>
    </row>
    <row r="38" spans="7:18">
      <c r="G38" s="43"/>
      <c r="H38" s="43"/>
      <c r="R38" s="43"/>
    </row>
    <row r="39" spans="7:18">
      <c r="G39" s="43"/>
      <c r="H39" s="43"/>
      <c r="R39" s="43"/>
    </row>
    <row r="40" spans="7:18">
      <c r="G40" s="43"/>
      <c r="H40" s="43"/>
      <c r="R40" s="43"/>
    </row>
    <row r="41" spans="7:18">
      <c r="G41" s="43"/>
      <c r="H41" s="43"/>
      <c r="R41" s="43"/>
    </row>
    <row r="42" spans="7:18">
      <c r="G42" s="43"/>
      <c r="H42" s="43"/>
      <c r="R42" s="43"/>
    </row>
    <row r="43" spans="7:18">
      <c r="G43" s="43"/>
      <c r="H43" s="43"/>
      <c r="R43" s="43"/>
    </row>
    <row r="44" spans="7:18">
      <c r="G44" s="43"/>
      <c r="H44" s="43"/>
      <c r="R44" s="43"/>
    </row>
    <row r="45" spans="7:18">
      <c r="G45" s="43"/>
      <c r="H45" s="43"/>
      <c r="R45" s="43"/>
    </row>
    <row r="46" spans="7:18">
      <c r="G46" s="43"/>
      <c r="H46" s="43"/>
      <c r="R46" s="43"/>
    </row>
    <row r="47" spans="7:18">
      <c r="G47" s="43"/>
      <c r="H47" s="43"/>
      <c r="R47" s="43"/>
    </row>
    <row r="48" spans="7:18">
      <c r="G48" s="43"/>
      <c r="H48" s="43"/>
      <c r="R48" s="43"/>
    </row>
    <row r="49" spans="7:18">
      <c r="G49" s="43"/>
      <c r="H49" s="43"/>
      <c r="R49" s="43"/>
    </row>
    <row r="50" spans="7:18">
      <c r="G50" s="43"/>
      <c r="H50" s="43"/>
      <c r="R50" s="43"/>
    </row>
    <row r="51" spans="7:18">
      <c r="G51" s="43"/>
      <c r="H51" s="43"/>
      <c r="R51" s="43"/>
    </row>
    <row r="52" spans="7:18">
      <c r="G52" s="43"/>
      <c r="H52" s="43"/>
      <c r="R52" s="43"/>
    </row>
    <row r="53" spans="7:18">
      <c r="G53" s="43"/>
      <c r="H53" s="43"/>
      <c r="R53" s="43"/>
    </row>
    <row r="54" spans="7:18">
      <c r="G54" s="43"/>
      <c r="H54" s="43"/>
      <c r="R54" s="43"/>
    </row>
    <row r="55" spans="7:18">
      <c r="G55" s="43"/>
      <c r="H55" s="43"/>
      <c r="R55" s="43"/>
    </row>
    <row r="56" spans="7:18">
      <c r="G56" s="43"/>
      <c r="H56" s="43"/>
      <c r="R56" s="43"/>
    </row>
    <row r="57" spans="7:18">
      <c r="G57" s="43"/>
      <c r="H57" s="43"/>
      <c r="R57" s="43"/>
    </row>
    <row r="58" spans="7:18">
      <c r="G58" s="43"/>
      <c r="H58" s="43"/>
      <c r="R58" s="43"/>
    </row>
    <row r="59" spans="7:18">
      <c r="G59" s="43"/>
      <c r="H59" s="43"/>
      <c r="R59" s="43"/>
    </row>
    <row r="60" spans="7:18">
      <c r="G60" s="43"/>
      <c r="H60" s="43"/>
      <c r="R60" s="43"/>
    </row>
    <row r="61" spans="7:18">
      <c r="G61" s="43"/>
      <c r="H61" s="43"/>
      <c r="R61" s="43"/>
    </row>
    <row r="62" spans="7:18">
      <c r="G62" s="43"/>
      <c r="H62" s="43"/>
      <c r="R62" s="43"/>
    </row>
    <row r="63" spans="7:18">
      <c r="G63" s="43"/>
      <c r="H63" s="43"/>
      <c r="R63" s="43"/>
    </row>
    <row r="64" spans="7:18">
      <c r="G64" s="43"/>
      <c r="H64" s="43"/>
      <c r="R64" s="43"/>
    </row>
    <row r="65" spans="7:18">
      <c r="G65" s="43"/>
      <c r="H65" s="43"/>
      <c r="R65" s="43"/>
    </row>
    <row r="66" spans="7:18">
      <c r="G66" s="43"/>
      <c r="H66" s="43"/>
      <c r="R66" s="43"/>
    </row>
    <row r="67" spans="7:18">
      <c r="G67" s="43"/>
      <c r="H67" s="43"/>
      <c r="R67" s="43"/>
    </row>
    <row r="68" spans="7:18">
      <c r="G68" s="43"/>
      <c r="H68" s="43"/>
      <c r="R68" s="43"/>
    </row>
    <row r="69" spans="7:18">
      <c r="G69" s="43"/>
      <c r="H69" s="43"/>
      <c r="R69" s="43"/>
    </row>
    <row r="70" spans="7:18">
      <c r="G70" s="43"/>
      <c r="H70" s="43"/>
      <c r="R70" s="43"/>
    </row>
    <row r="71" spans="7:18">
      <c r="G71" s="43"/>
      <c r="H71" s="43"/>
      <c r="R71" s="43"/>
    </row>
    <row r="72" spans="7:18">
      <c r="G72" s="43"/>
      <c r="H72" s="43"/>
      <c r="R72" s="43"/>
    </row>
    <row r="73" spans="7:18">
      <c r="G73" s="43"/>
      <c r="H73" s="43"/>
      <c r="R73" s="43"/>
    </row>
    <row r="74" spans="7:18">
      <c r="G74" s="43"/>
      <c r="H74" s="43"/>
      <c r="R74" s="43"/>
    </row>
    <row r="75" spans="7:18">
      <c r="G75" s="43"/>
      <c r="H75" s="43"/>
      <c r="R75" s="43"/>
    </row>
    <row r="76" spans="7:18">
      <c r="G76" s="43"/>
      <c r="H76" s="43"/>
      <c r="R76" s="43"/>
    </row>
    <row r="77" spans="7:18">
      <c r="G77" s="43"/>
      <c r="H77" s="43"/>
      <c r="R77" s="43"/>
    </row>
    <row r="78" spans="7:18">
      <c r="G78" s="43"/>
      <c r="H78" s="43"/>
      <c r="R78" s="43"/>
    </row>
    <row r="79" spans="7:18">
      <c r="G79" s="43"/>
      <c r="H79" s="43"/>
      <c r="R79" s="43"/>
    </row>
    <row r="80" spans="7:18">
      <c r="G80" s="43"/>
      <c r="H80" s="43"/>
      <c r="R80" s="43"/>
    </row>
    <row r="81" spans="7:18">
      <c r="G81" s="43"/>
      <c r="H81" s="43"/>
      <c r="R81" s="43"/>
    </row>
    <row r="82" spans="7:18">
      <c r="G82" s="43"/>
      <c r="H82" s="43"/>
      <c r="R82" s="43"/>
    </row>
    <row r="83" spans="7:18">
      <c r="G83" s="43"/>
      <c r="H83" s="43"/>
      <c r="R83" s="43"/>
    </row>
    <row r="84" spans="7:18">
      <c r="G84" s="43"/>
      <c r="H84" s="43"/>
      <c r="R84" s="43"/>
    </row>
    <row r="85" spans="7:18">
      <c r="G85" s="43"/>
      <c r="H85" s="43"/>
      <c r="R85" s="43"/>
    </row>
    <row r="86" spans="7:18">
      <c r="G86" s="43"/>
      <c r="H86" s="43"/>
      <c r="R86" s="43"/>
    </row>
    <row r="87" spans="7:18">
      <c r="G87" s="43"/>
      <c r="H87" s="43"/>
      <c r="R87" s="43"/>
    </row>
    <row r="88" spans="7:18">
      <c r="G88" s="43"/>
      <c r="H88" s="43"/>
      <c r="R88" s="43"/>
    </row>
    <row r="89" spans="7:18">
      <c r="G89" s="43"/>
      <c r="H89" s="43"/>
      <c r="R89" s="43"/>
    </row>
    <row r="90" spans="7:18">
      <c r="G90" s="43"/>
      <c r="H90" s="43"/>
      <c r="R90" s="43"/>
    </row>
    <row r="91" spans="7:18">
      <c r="G91" s="43"/>
      <c r="H91" s="43"/>
      <c r="R91" s="43"/>
    </row>
    <row r="92" spans="7:18">
      <c r="G92" s="43"/>
      <c r="H92" s="43"/>
      <c r="R92" s="43"/>
    </row>
    <row r="93" spans="7:18">
      <c r="G93" s="43"/>
      <c r="H93" s="43"/>
      <c r="R93" s="43"/>
    </row>
    <row r="94" spans="7:18">
      <c r="G94" s="43"/>
      <c r="H94" s="43"/>
      <c r="R94" s="43"/>
    </row>
    <row r="95" spans="7:18">
      <c r="G95" s="43"/>
      <c r="H95" s="43"/>
      <c r="R95" s="43"/>
    </row>
    <row r="96" spans="7:18">
      <c r="G96" s="43"/>
      <c r="H96" s="43"/>
      <c r="R96" s="43"/>
    </row>
    <row r="97" spans="7:18">
      <c r="G97" s="43"/>
      <c r="H97" s="43"/>
      <c r="R97" s="43"/>
    </row>
    <row r="98" spans="7:18">
      <c r="G98" s="43"/>
      <c r="H98" s="43"/>
      <c r="R98" s="43"/>
    </row>
    <row r="99" spans="7:18">
      <c r="G99" s="43"/>
      <c r="H99" s="43"/>
      <c r="R99" s="43"/>
    </row>
    <row r="100" spans="7:18">
      <c r="G100" s="43"/>
      <c r="H100" s="43"/>
      <c r="R100" s="43"/>
    </row>
    <row r="101" spans="7:18">
      <c r="G101" s="43"/>
      <c r="H101" s="43"/>
      <c r="R101" s="43"/>
    </row>
    <row r="102" spans="7:18">
      <c r="G102" s="43"/>
      <c r="H102" s="43"/>
      <c r="R102" s="43"/>
    </row>
    <row r="103" spans="7:18">
      <c r="G103" s="43"/>
      <c r="H103" s="43"/>
      <c r="R103" s="43"/>
    </row>
    <row r="104" spans="7:18">
      <c r="G104" s="43"/>
      <c r="H104" s="43"/>
      <c r="R104" s="43"/>
    </row>
    <row r="105" spans="7:18">
      <c r="G105" s="43"/>
      <c r="H105" s="43"/>
      <c r="R105" s="43"/>
    </row>
    <row r="106" spans="7:18">
      <c r="G106" s="43"/>
      <c r="H106" s="43"/>
      <c r="R106" s="43"/>
    </row>
    <row r="107" spans="7:18">
      <c r="G107" s="43"/>
      <c r="H107" s="43"/>
      <c r="R107" s="43"/>
    </row>
    <row r="108" spans="7:18">
      <c r="G108" s="43"/>
      <c r="H108" s="43"/>
      <c r="R108" s="43"/>
    </row>
    <row r="109" spans="7:18">
      <c r="G109" s="43"/>
      <c r="H109" s="43"/>
      <c r="R109" s="43"/>
    </row>
    <row r="110" spans="7:18">
      <c r="G110" s="43"/>
      <c r="H110" s="43"/>
      <c r="R110" s="43"/>
    </row>
    <row r="111" spans="7:18">
      <c r="G111" s="43"/>
      <c r="H111" s="43"/>
      <c r="R111" s="43"/>
    </row>
    <row r="112" spans="7:18">
      <c r="G112" s="43"/>
      <c r="H112" s="43"/>
      <c r="R112" s="43"/>
    </row>
    <row r="113" spans="7:18">
      <c r="G113" s="43"/>
      <c r="H113" s="43"/>
      <c r="R113" s="43"/>
    </row>
    <row r="114" spans="7:18">
      <c r="G114" s="43"/>
      <c r="H114" s="43"/>
      <c r="R114" s="43"/>
    </row>
    <row r="115" spans="7:18">
      <c r="G115" s="43"/>
      <c r="H115" s="43"/>
      <c r="R115" s="43"/>
    </row>
    <row r="116" spans="7:18">
      <c r="G116" s="43"/>
      <c r="H116" s="43"/>
      <c r="R116" s="43"/>
    </row>
    <row r="117" spans="7:18">
      <c r="G117" s="43"/>
      <c r="H117" s="43"/>
      <c r="R117" s="43"/>
    </row>
    <row r="118" spans="7:18">
      <c r="G118" s="43"/>
      <c r="H118" s="43"/>
      <c r="R118" s="43"/>
    </row>
    <row r="119" spans="7:18">
      <c r="G119" s="43"/>
      <c r="H119" s="43"/>
      <c r="R119" s="43"/>
    </row>
    <row r="120" spans="7:18">
      <c r="G120" s="43"/>
      <c r="H120" s="43"/>
      <c r="R120" s="43"/>
    </row>
    <row r="121" spans="7:18">
      <c r="G121" s="43"/>
      <c r="H121" s="43"/>
      <c r="R121" s="43"/>
    </row>
    <row r="122" spans="7:18">
      <c r="G122" s="43"/>
      <c r="H122" s="43"/>
      <c r="R122" s="43"/>
    </row>
    <row r="123" spans="7:18">
      <c r="G123" s="43"/>
      <c r="H123" s="43"/>
      <c r="R123" s="43"/>
    </row>
    <row r="124" spans="7:18">
      <c r="G124" s="43"/>
      <c r="H124" s="43"/>
      <c r="R124" s="43"/>
    </row>
    <row r="125" spans="7:18">
      <c r="G125" s="43"/>
      <c r="H125" s="43"/>
      <c r="R125" s="43"/>
    </row>
    <row r="126" spans="7:18">
      <c r="G126" s="43"/>
      <c r="H126" s="43"/>
      <c r="R126" s="43"/>
    </row>
    <row r="127" spans="7:18">
      <c r="G127" s="43"/>
      <c r="H127" s="43"/>
      <c r="R127" s="43"/>
    </row>
    <row r="128" spans="7:18">
      <c r="G128" s="43"/>
      <c r="H128" s="43"/>
      <c r="R128" s="43"/>
    </row>
    <row r="129" spans="7:18">
      <c r="G129" s="43"/>
      <c r="H129" s="43"/>
      <c r="R129" s="43"/>
    </row>
    <row r="130" spans="7:18">
      <c r="G130" s="43"/>
      <c r="H130" s="43"/>
      <c r="R130" s="43"/>
    </row>
    <row r="131" spans="7:18">
      <c r="G131" s="43"/>
      <c r="H131" s="43"/>
      <c r="R131" s="43"/>
    </row>
    <row r="132" spans="7:18">
      <c r="G132" s="43"/>
      <c r="H132" s="43"/>
      <c r="R132" s="43"/>
    </row>
    <row r="133" spans="7:18">
      <c r="G133" s="43"/>
      <c r="H133" s="43"/>
      <c r="R133" s="43"/>
    </row>
    <row r="134" spans="7:18">
      <c r="G134" s="43"/>
      <c r="H134" s="43"/>
      <c r="R134" s="43"/>
    </row>
    <row r="135" spans="7:18">
      <c r="G135" s="43"/>
      <c r="H135" s="43"/>
      <c r="R135" s="43"/>
    </row>
    <row r="136" spans="7:18">
      <c r="G136" s="43"/>
      <c r="H136" s="43"/>
      <c r="R136" s="43"/>
    </row>
    <row r="137" spans="7:18">
      <c r="G137" s="43"/>
      <c r="H137" s="43"/>
      <c r="R137" s="43"/>
    </row>
    <row r="138" spans="7:18">
      <c r="G138" s="43"/>
      <c r="H138" s="43"/>
      <c r="R138" s="43"/>
    </row>
    <row r="139" spans="7:18">
      <c r="G139" s="43"/>
      <c r="H139" s="43"/>
      <c r="R139" s="43"/>
    </row>
    <row r="140" spans="7:18">
      <c r="G140" s="43"/>
      <c r="H140" s="43"/>
      <c r="R140" s="43"/>
    </row>
    <row r="141" spans="7:18">
      <c r="G141" s="43"/>
      <c r="H141" s="43"/>
      <c r="R141" s="43"/>
    </row>
    <row r="142" spans="7:18">
      <c r="G142" s="43"/>
      <c r="H142" s="43"/>
      <c r="R142" s="43"/>
    </row>
    <row r="143" spans="7:18">
      <c r="G143" s="43"/>
      <c r="H143" s="43"/>
      <c r="R143" s="43"/>
    </row>
    <row r="144" spans="7:18">
      <c r="G144" s="43"/>
      <c r="H144" s="43"/>
      <c r="R144" s="43"/>
    </row>
    <row r="145" spans="7:18">
      <c r="G145" s="43"/>
      <c r="H145" s="43"/>
      <c r="R145" s="43"/>
    </row>
    <row r="146" spans="7:18">
      <c r="G146" s="43"/>
      <c r="H146" s="43"/>
      <c r="R146" s="43"/>
    </row>
    <row r="147" spans="7:18">
      <c r="G147" s="43"/>
      <c r="H147" s="43"/>
      <c r="R147" s="43"/>
    </row>
    <row r="148" spans="7:18">
      <c r="G148" s="43"/>
      <c r="H148" s="43"/>
      <c r="R148" s="43"/>
    </row>
    <row r="149" spans="7:18">
      <c r="G149" s="43"/>
      <c r="H149" s="43"/>
      <c r="R149" s="43"/>
    </row>
    <row r="150" spans="7:18">
      <c r="G150" s="43"/>
      <c r="H150" s="43"/>
      <c r="R150" s="43"/>
    </row>
    <row r="151" spans="7:18">
      <c r="G151" s="43"/>
      <c r="H151" s="43"/>
      <c r="R151" s="43"/>
    </row>
    <row r="152" spans="7:18">
      <c r="G152" s="43"/>
      <c r="H152" s="43"/>
      <c r="R152" s="43"/>
    </row>
    <row r="153" spans="7:18">
      <c r="G153" s="43"/>
      <c r="H153" s="43"/>
      <c r="R153" s="43"/>
    </row>
    <row r="154" spans="7:18">
      <c r="G154" s="43"/>
      <c r="H154" s="43"/>
      <c r="R154" s="43"/>
    </row>
    <row r="155" spans="7:18">
      <c r="G155" s="43"/>
      <c r="H155" s="43"/>
      <c r="R155" s="43"/>
    </row>
    <row r="156" spans="7:18">
      <c r="G156" s="43"/>
      <c r="H156" s="43"/>
      <c r="R156" s="43"/>
    </row>
    <row r="157" spans="7:18">
      <c r="G157" s="43"/>
      <c r="H157" s="43"/>
      <c r="R157" s="43"/>
    </row>
    <row r="158" spans="7:18">
      <c r="G158" s="43"/>
      <c r="H158" s="43"/>
      <c r="R158" s="43"/>
    </row>
    <row r="159" spans="7:18">
      <c r="G159" s="43"/>
      <c r="H159" s="43"/>
      <c r="R159" s="43"/>
    </row>
    <row r="160" spans="7:18">
      <c r="G160" s="43"/>
      <c r="H160" s="43"/>
      <c r="R160" s="43"/>
    </row>
    <row r="161" spans="7:18">
      <c r="G161" s="43"/>
      <c r="H161" s="43"/>
      <c r="R161" s="43"/>
    </row>
    <row r="162" spans="7:18">
      <c r="G162" s="43"/>
      <c r="H162" s="43"/>
      <c r="R162" s="43"/>
    </row>
    <row r="163" spans="7:18">
      <c r="G163" s="43"/>
      <c r="H163" s="43"/>
      <c r="R163" s="43"/>
    </row>
    <row r="164" spans="7:18">
      <c r="G164" s="43"/>
      <c r="H164" s="43"/>
      <c r="R164" s="43"/>
    </row>
    <row r="165" spans="7:18">
      <c r="G165" s="43"/>
      <c r="H165" s="43"/>
      <c r="R165" s="43"/>
    </row>
    <row r="166" spans="7:18">
      <c r="G166" s="43"/>
      <c r="H166" s="43"/>
      <c r="R166" s="43"/>
    </row>
    <row r="167" spans="7:18">
      <c r="G167" s="43"/>
      <c r="H167" s="43"/>
      <c r="R167" s="43"/>
    </row>
    <row r="168" spans="7:18">
      <c r="G168" s="43"/>
      <c r="H168" s="43"/>
      <c r="R168" s="43"/>
    </row>
    <row r="169" spans="7:18">
      <c r="G169" s="43"/>
      <c r="H169" s="43"/>
      <c r="R169" s="43"/>
    </row>
    <row r="170" spans="7:18">
      <c r="G170" s="43"/>
      <c r="H170" s="43"/>
      <c r="R170" s="43"/>
    </row>
    <row r="171" spans="7:18">
      <c r="G171" s="43"/>
      <c r="H171" s="43"/>
      <c r="R171" s="43"/>
    </row>
    <row r="172" spans="7:18">
      <c r="G172" s="43"/>
      <c r="H172" s="43"/>
      <c r="R172" s="43"/>
    </row>
    <row r="173" spans="7:18">
      <c r="G173" s="43"/>
      <c r="H173" s="43"/>
      <c r="R173" s="43"/>
    </row>
    <row r="174" spans="7:18">
      <c r="G174" s="43"/>
      <c r="H174" s="43"/>
      <c r="R174" s="43"/>
    </row>
    <row r="175" spans="7:18">
      <c r="G175" s="43"/>
      <c r="H175" s="43"/>
      <c r="R175" s="43"/>
    </row>
    <row r="176" spans="7:18">
      <c r="G176" s="43"/>
      <c r="H176" s="43"/>
      <c r="R176" s="43"/>
    </row>
    <row r="177" spans="7:18">
      <c r="G177" s="43"/>
      <c r="H177" s="43"/>
      <c r="R177" s="43"/>
    </row>
    <row r="178" spans="7:18">
      <c r="G178" s="43"/>
      <c r="H178" s="43"/>
      <c r="R178" s="43"/>
    </row>
    <row r="179" spans="7:18">
      <c r="G179" s="43"/>
      <c r="H179" s="43"/>
      <c r="R179" s="43"/>
    </row>
    <row r="180" spans="7:18">
      <c r="G180" s="43"/>
      <c r="H180" s="43"/>
      <c r="R180" s="43"/>
    </row>
    <row r="181" spans="7:18">
      <c r="G181" s="43"/>
      <c r="H181" s="43"/>
      <c r="R181" s="43"/>
    </row>
    <row r="182" spans="7:18">
      <c r="G182" s="43"/>
      <c r="H182" s="43"/>
      <c r="R182" s="43"/>
    </row>
    <row r="183" spans="7:18">
      <c r="G183" s="43"/>
      <c r="H183" s="43"/>
      <c r="R183" s="43"/>
    </row>
    <row r="184" spans="7:18">
      <c r="G184" s="43"/>
      <c r="H184" s="43"/>
      <c r="R184" s="43"/>
    </row>
    <row r="185" spans="7:18">
      <c r="G185" s="43"/>
      <c r="H185" s="43"/>
      <c r="R185" s="43"/>
    </row>
    <row r="186" spans="7:18">
      <c r="G186" s="43"/>
      <c r="H186" s="43"/>
      <c r="R186" s="43"/>
    </row>
    <row r="187" spans="7:18">
      <c r="G187" s="43"/>
      <c r="H187" s="43"/>
      <c r="R187" s="43"/>
    </row>
    <row r="188" spans="7:18">
      <c r="G188" s="43"/>
      <c r="H188" s="43"/>
      <c r="R188" s="43"/>
    </row>
    <row r="189" spans="7:18">
      <c r="G189" s="43"/>
      <c r="H189" s="43"/>
      <c r="R189" s="43"/>
    </row>
    <row r="190" spans="7:18">
      <c r="G190" s="43"/>
      <c r="H190" s="43"/>
      <c r="R190" s="43"/>
    </row>
    <row r="191" spans="7:18">
      <c r="G191" s="43"/>
      <c r="H191" s="43"/>
      <c r="R191" s="43"/>
    </row>
    <row r="192" spans="7:18">
      <c r="G192" s="43"/>
      <c r="H192" s="43"/>
      <c r="R192" s="43"/>
    </row>
    <row r="193" spans="7:18">
      <c r="G193" s="43"/>
      <c r="H193" s="43"/>
      <c r="R193" s="43"/>
    </row>
    <row r="194" spans="7:18">
      <c r="G194" s="43"/>
      <c r="H194" s="43"/>
      <c r="R194" s="43"/>
    </row>
    <row r="195" spans="7:18">
      <c r="G195" s="43"/>
      <c r="H195" s="43"/>
      <c r="R195" s="43"/>
    </row>
    <row r="196" spans="7:18">
      <c r="G196" s="43"/>
      <c r="H196" s="43"/>
      <c r="R196" s="43"/>
    </row>
    <row r="197" spans="7:18">
      <c r="G197" s="43"/>
      <c r="H197" s="43"/>
      <c r="R197" s="43"/>
    </row>
    <row r="198" spans="7:18">
      <c r="G198" s="43"/>
      <c r="H198" s="43"/>
      <c r="R198" s="43"/>
    </row>
    <row r="199" spans="7:18">
      <c r="G199" s="43"/>
      <c r="H199" s="43"/>
      <c r="R199" s="43"/>
    </row>
    <row r="200" spans="7:18">
      <c r="G200" s="43"/>
      <c r="H200" s="43"/>
      <c r="R200" s="43"/>
    </row>
    <row r="201" spans="7:18">
      <c r="G201" s="43"/>
      <c r="H201" s="43"/>
      <c r="R201" s="43"/>
    </row>
    <row r="202" spans="7:18">
      <c r="G202" s="43"/>
      <c r="H202" s="43"/>
      <c r="R202" s="43"/>
    </row>
    <row r="203" spans="7:18">
      <c r="G203" s="43"/>
      <c r="H203" s="43"/>
      <c r="R203" s="43"/>
    </row>
  </sheetData>
  <mergeCells count="1">
    <mergeCell ref="A1:Y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02"/>
  <sheetViews>
    <sheetView workbookViewId="0"/>
  </sheetViews>
  <sheetFormatPr baseColWidth="10" defaultColWidth="8.83203125" defaultRowHeight="14"/>
  <cols>
    <col min="1" max="1" width="8" customWidth="1"/>
    <col min="2" max="2" width="12" customWidth="1"/>
    <col min="3" max="3" width="23" customWidth="1"/>
    <col min="4" max="4" width="20" customWidth="1"/>
    <col min="5" max="5" width="23" customWidth="1"/>
    <col min="6" max="6" width="17" customWidth="1"/>
    <col min="7" max="7" width="28" customWidth="1"/>
    <col min="8" max="8" width="12" customWidth="1"/>
    <col min="10" max="24" width="12" customWidth="1"/>
  </cols>
  <sheetData>
    <row r="1" spans="1:24" ht="17">
      <c r="A1" s="118" t="s">
        <v>119</v>
      </c>
      <c r="B1" s="118" t="s">
        <v>119</v>
      </c>
      <c r="C1" s="118" t="s">
        <v>119</v>
      </c>
      <c r="D1" s="118" t="s">
        <v>119</v>
      </c>
      <c r="E1" s="118" t="s">
        <v>119</v>
      </c>
      <c r="F1" s="118" t="s">
        <v>119</v>
      </c>
      <c r="G1" s="118" t="s">
        <v>119</v>
      </c>
    </row>
    <row r="2" spans="1:24" ht="30">
      <c r="A2" s="40" t="s">
        <v>120</v>
      </c>
      <c r="B2" s="42" t="s">
        <v>69</v>
      </c>
      <c r="C2" s="42" t="s">
        <v>100</v>
      </c>
      <c r="D2" s="42" t="s">
        <v>121</v>
      </c>
      <c r="E2" s="42" t="s">
        <v>101</v>
      </c>
      <c r="F2" s="42" t="s">
        <v>122</v>
      </c>
      <c r="G2" s="41" t="s">
        <v>123</v>
      </c>
      <c r="H2" t="s">
        <v>124</v>
      </c>
      <c r="J2" s="40" t="s">
        <v>125</v>
      </c>
      <c r="K2" s="42" t="s">
        <v>126</v>
      </c>
      <c r="L2" s="42" t="s">
        <v>69</v>
      </c>
      <c r="M2" s="42" t="s">
        <v>127</v>
      </c>
      <c r="N2" s="42" t="s">
        <v>128</v>
      </c>
      <c r="O2" s="42" t="s">
        <v>129</v>
      </c>
      <c r="P2" s="42" t="s">
        <v>122</v>
      </c>
      <c r="Q2" s="42" t="s">
        <v>109</v>
      </c>
      <c r="R2" s="42" t="s">
        <v>130</v>
      </c>
      <c r="S2" s="42" t="s">
        <v>111</v>
      </c>
      <c r="T2" s="42" t="s">
        <v>131</v>
      </c>
      <c r="U2" s="42" t="s">
        <v>132</v>
      </c>
      <c r="V2" s="42" t="s">
        <v>133</v>
      </c>
      <c r="W2" s="42" t="s">
        <v>134</v>
      </c>
      <c r="X2" s="41" t="s">
        <v>135</v>
      </c>
    </row>
    <row r="3" spans="1:24">
      <c r="A3" s="3">
        <f t="shared" ref="A3:A34" si="0">ROW()-2</f>
        <v>1</v>
      </c>
      <c r="B3" s="12" t="str">
        <f t="shared" ref="B3:B34" ca="1" si="1">IFERROR(IF($H3="","",INDEX($L$3:$L$202,MATCH($H3,$W$3:$W$202,0))),"")</f>
        <v/>
      </c>
      <c r="C3" s="15" t="str">
        <f t="shared" ref="C3:C34" ca="1" si="2">IFERROR(IF($H3="","",INDEX($N$3:$N$202,MATCH($H3,$W$3:$W$202,0))),"")</f>
        <v/>
      </c>
      <c r="D3" s="18" t="str">
        <f t="shared" ref="D3:D34" ca="1" si="3">IFERROR(IF($H3="","",INDEX($U$3:$U$202,MATCH($H3,$W$3:$W$202,0))),"")</f>
        <v/>
      </c>
      <c r="E3" s="18" t="str">
        <f ca="1">IFERROR(IF($H3="","",INDEX(LENH_GOC!$H$4:$H$203,MATCH(INDEX($K$3:$K$202,MATCH($H3,$W$3:$W$202,0)),LENH_GOC!$A$4:$A$203,0))),"")</f>
        <v/>
      </c>
      <c r="F3" s="18" t="str">
        <f t="shared" ref="F3:F34" ca="1" si="4">IFERROR(IF($H3="","",INDEX($P$3:$P$202,MATCH($H3,$W$3:$W$202,0))),"")</f>
        <v/>
      </c>
      <c r="G3" s="4" t="str">
        <f t="shared" ref="G3:G34" ca="1" si="5">IFERROR(IF($H3="","",INDEX($X$3:$X$202,MATCH($H3,$W$3:$W$202,0))),"")</f>
        <v/>
      </c>
      <c r="H3" t="str">
        <f ca="1">IFERROR(IF(ROW()-2&lt;=CAI_DAT!$B$10,ROW()-2,""),"")</f>
        <v/>
      </c>
      <c r="J3" t="str">
        <f>IF(LENH_GOC!A4="","",4)</f>
        <v/>
      </c>
      <c r="K3" t="str">
        <f>IF(LENH_GOC!A4="","",LENH_GOC!A4)</f>
        <v/>
      </c>
      <c r="L3" t="str">
        <f>IF($K3="","",IFERROR(TRIM(LENH_GOC!C4),""))</f>
        <v/>
      </c>
      <c r="M3" t="str">
        <f>IF($K3="","",IFERROR(UPPER(TRIM(LENH_GOC!Y4)),""))</f>
        <v/>
      </c>
      <c r="N3" s="43" t="str">
        <f>IFERROR(IF($K3="","",IF(LENH_GOC!G4="","",IF(ISNUMBER(LENH_GOC!G4),LENH_GOC!G4,DATE(VALUE(MID(LENH_GOC!G4,7,4)),VALUE(MID(LENH_GOC!G4,4,2)),VALUE(LEFT(LENH_GOC!G4,2)))+TIME(VALUE(MID(LENH_GOC!G4,12,2)),VALUE(MID(LENH_GOC!G4,15,2)),VALUE(MID(LENH_GOC!G4,18,2)))))), "")</f>
        <v/>
      </c>
      <c r="O3" t="str">
        <f>IF($K3="","",IF(LENH_GOC!E4="","",LENH_GOC!E4))</f>
        <v/>
      </c>
      <c r="P3" t="str">
        <f>IF($K3="","",IF(LENH_GOC!F4="","",LENH_GOC!F4))</f>
        <v/>
      </c>
      <c r="Q3" t="str">
        <f>IFERROR(IF($K3="","",IF(LENH_GOC!P4="","",IFERROR(VALUE(LENH_GOC!P4),IF(OR(LENH_GOC!P4=TRUE,UPPER(TRIM(LENH_GOC!P4))="TRUE"),1,0)))),"")</f>
        <v/>
      </c>
      <c r="R3" t="str">
        <f>IF($K3="","",IF(LENH_GOC!Q4="","",LENH_GOC!Q4))</f>
        <v/>
      </c>
      <c r="S3" s="43" t="str">
        <f>IF($K3="","",IF(LENH_GOC!R4="","",LENH_GOC!R4))</f>
        <v/>
      </c>
      <c r="T3">
        <f>IFERROR(IF($K3="",0,IF(AND(ISNUMBER($N3),INT($N3)=CAI_DAT!$B$4,LEFT(UPPER(TRIM($L3)),2)=LEFT(UPPER(TRIM(CAI_DAT!$B$5)),2),$Q3=1,OR(AND($M3="SO",ISNUMBER($P3),$P3&gt;0),AND($M3="MO",ISNUMBER($O3),$O3&gt;0))),1,0)),0)</f>
        <v>0</v>
      </c>
      <c r="U3" t="str">
        <f t="shared" ref="U3:U34" si="6">IFERROR(IF($T3=0,"",IF($M3="SO",$P3,IF(AND($M3="MO",OR($R3=TRUE,$R3="TRUE"),ISNUMBER($P3),$P3&gt;0),$P3,$O3))),"")</f>
        <v/>
      </c>
      <c r="V3" t="str">
        <f t="shared" ref="V3:V34" si="7">IFERROR(IF($T3=0,"",MOD($N3,1)*86400),"")</f>
        <v/>
      </c>
      <c r="W3" t="str">
        <f>IFERROR(IF($T3=0,"",COUNTIFS($T$3:$T$202,1,$V$3:$V$202,"&lt;"&amp;$V3)+COUNTIFS($T$3:$T3,1,$V$3:$V3,$V3)),"")</f>
        <v/>
      </c>
      <c r="X3" t="str">
        <f t="shared" ref="X3:X34" si="8">IFERROR(IF($T3=0,"",IF($M3="SO","SO: dùng CS hoàn thành",IF(AND($M3="MO",OR($R3=TRUE,$R3="TRUE"),ISNUMBER($P3),$P3&gt;0),"MO dừng sớm: dùng CS hoàn thành","MO: dùng CS ra lệnh"))),"")</f>
        <v/>
      </c>
    </row>
    <row r="4" spans="1:24">
      <c r="A4" s="5">
        <f t="shared" si="0"/>
        <v>2</v>
      </c>
      <c r="B4" s="13" t="str">
        <f t="shared" ca="1" si="1"/>
        <v/>
      </c>
      <c r="C4" s="16" t="str">
        <f t="shared" ca="1" si="2"/>
        <v/>
      </c>
      <c r="D4" s="19" t="str">
        <f t="shared" ca="1" si="3"/>
        <v/>
      </c>
      <c r="E4" s="19" t="str">
        <f ca="1">IFERROR(IF($H4="","",INDEX(LENH_GOC!$H$4:$H$203,MATCH(INDEX($K$3:$K$202,MATCH($H4,$W$3:$W$202,0)),LENH_GOC!$A$4:$A$203,0))),"")</f>
        <v/>
      </c>
      <c r="F4" s="19" t="str">
        <f t="shared" ca="1" si="4"/>
        <v/>
      </c>
      <c r="G4" s="6" t="str">
        <f t="shared" ca="1" si="5"/>
        <v/>
      </c>
      <c r="H4" t="str">
        <f ca="1">IFERROR(IF(ROW()-2&lt;=CAI_DAT!$B$10,ROW()-2,""),"")</f>
        <v/>
      </c>
      <c r="J4" t="str">
        <f>IF(LENH_GOC!A5="","",5)</f>
        <v/>
      </c>
      <c r="K4" t="str">
        <f>IF(LENH_GOC!A5="","",LENH_GOC!A5)</f>
        <v/>
      </c>
      <c r="L4" t="str">
        <f>IF($K4="","",IFERROR(TRIM(LENH_GOC!C5),""))</f>
        <v/>
      </c>
      <c r="M4" t="str">
        <f>IF($K4="","",IFERROR(UPPER(TRIM(LENH_GOC!Y5)),""))</f>
        <v/>
      </c>
      <c r="N4" s="43" t="str">
        <f>IFERROR(IF($K4="","",IF(LENH_GOC!G5="","",IF(ISNUMBER(LENH_GOC!G5),LENH_GOC!G5,DATE(VALUE(MID(LENH_GOC!G5,7,4)),VALUE(MID(LENH_GOC!G5,4,2)),VALUE(LEFT(LENH_GOC!G5,2)))+TIME(VALUE(MID(LENH_GOC!G5,12,2)),VALUE(MID(LENH_GOC!G5,15,2)),VALUE(MID(LENH_GOC!G5,18,2)))))), "")</f>
        <v/>
      </c>
      <c r="O4" t="str">
        <f>IF($K4="","",IF(LENH_GOC!E5="","",LENH_GOC!E5))</f>
        <v/>
      </c>
      <c r="P4" t="str">
        <f>IF($K4="","",IF(LENH_GOC!F5="","",LENH_GOC!F5))</f>
        <v/>
      </c>
      <c r="Q4" t="str">
        <f>IFERROR(IF($K4="","",IF(LENH_GOC!P5="","",IFERROR(VALUE(LENH_GOC!P5),IF(OR(LENH_GOC!P5=TRUE,UPPER(TRIM(LENH_GOC!P5))="TRUE"),1,0)))),"")</f>
        <v/>
      </c>
      <c r="R4" t="str">
        <f>IF($K4="","",IF(LENH_GOC!Q5="","",LENH_GOC!Q5))</f>
        <v/>
      </c>
      <c r="S4" s="43" t="str">
        <f>IF($K4="","",IF(LENH_GOC!R5="","",LENH_GOC!R5))</f>
        <v/>
      </c>
      <c r="T4">
        <f>IFERROR(IF($K4="",0,IF(AND(ISNUMBER($N4),INT($N4)=CAI_DAT!$B$4,LEFT(UPPER(TRIM($L4)),2)=LEFT(UPPER(TRIM(CAI_DAT!$B$5)),2),$Q4=1,OR(AND($M4="SO",ISNUMBER($P4),$P4&gt;0),AND($M4="MO",ISNUMBER($O4),$O4&gt;0))),1,0)),0)</f>
        <v>0</v>
      </c>
      <c r="U4" t="str">
        <f t="shared" si="6"/>
        <v/>
      </c>
      <c r="V4" t="str">
        <f t="shared" si="7"/>
        <v/>
      </c>
      <c r="W4" t="str">
        <f>IFERROR(IF($T4=0,"",COUNTIFS($T$3:$T$202,1,$V$3:$V$202,"&lt;"&amp;$V4)+COUNTIFS($T$3:$T4,1,$V$3:$V4,$V4)),"")</f>
        <v/>
      </c>
      <c r="X4" t="str">
        <f t="shared" si="8"/>
        <v/>
      </c>
    </row>
    <row r="5" spans="1:24">
      <c r="A5" s="5">
        <f t="shared" si="0"/>
        <v>3</v>
      </c>
      <c r="B5" s="13" t="str">
        <f t="shared" ca="1" si="1"/>
        <v/>
      </c>
      <c r="C5" s="16" t="str">
        <f t="shared" ca="1" si="2"/>
        <v/>
      </c>
      <c r="D5" s="19" t="str">
        <f t="shared" ca="1" si="3"/>
        <v/>
      </c>
      <c r="E5" s="19" t="str">
        <f ca="1">IFERROR(IF($H5="","",INDEX(LENH_GOC!$H$4:$H$203,MATCH(INDEX($K$3:$K$202,MATCH($H5,$W$3:$W$202,0)),LENH_GOC!$A$4:$A$203,0))),"")</f>
        <v/>
      </c>
      <c r="F5" s="19" t="str">
        <f t="shared" ca="1" si="4"/>
        <v/>
      </c>
      <c r="G5" s="6" t="str">
        <f t="shared" ca="1" si="5"/>
        <v/>
      </c>
      <c r="H5" t="str">
        <f ca="1">IFERROR(IF(ROW()-2&lt;=CAI_DAT!$B$10,ROW()-2,""),"")</f>
        <v/>
      </c>
      <c r="J5" t="str">
        <f>IF(LENH_GOC!A6="","",6)</f>
        <v/>
      </c>
      <c r="K5" t="str">
        <f>IF(LENH_GOC!A6="","",LENH_GOC!A6)</f>
        <v/>
      </c>
      <c r="L5" t="str">
        <f>IF($K5="","",IFERROR(TRIM(LENH_GOC!C6),""))</f>
        <v/>
      </c>
      <c r="M5" t="str">
        <f>IF($K5="","",IFERROR(UPPER(TRIM(LENH_GOC!Y6)),""))</f>
        <v/>
      </c>
      <c r="N5" s="43" t="str">
        <f>IFERROR(IF($K5="","",IF(LENH_GOC!G6="","",IF(ISNUMBER(LENH_GOC!G6),LENH_GOC!G6,DATE(VALUE(MID(LENH_GOC!G6,7,4)),VALUE(MID(LENH_GOC!G6,4,2)),VALUE(LEFT(LENH_GOC!G6,2)))+TIME(VALUE(MID(LENH_GOC!G6,12,2)),VALUE(MID(LENH_GOC!G6,15,2)),VALUE(MID(LENH_GOC!G6,18,2)))))), "")</f>
        <v/>
      </c>
      <c r="O5" t="str">
        <f>IF($K5="","",IF(LENH_GOC!E6="","",LENH_GOC!E6))</f>
        <v/>
      </c>
      <c r="P5" t="str">
        <f>IF($K5="","",IF(LENH_GOC!F6="","",LENH_GOC!F6))</f>
        <v/>
      </c>
      <c r="Q5" t="str">
        <f>IFERROR(IF($K5="","",IF(LENH_GOC!P6="","",IFERROR(VALUE(LENH_GOC!P6),IF(OR(LENH_GOC!P6=TRUE,UPPER(TRIM(LENH_GOC!P6))="TRUE"),1,0)))),"")</f>
        <v/>
      </c>
      <c r="R5" t="str">
        <f>IF($K5="","",IF(LENH_GOC!Q6="","",LENH_GOC!Q6))</f>
        <v/>
      </c>
      <c r="S5" s="43" t="str">
        <f>IF($K5="","",IF(LENH_GOC!R6="","",LENH_GOC!R6))</f>
        <v/>
      </c>
      <c r="T5">
        <f>IFERROR(IF($K5="",0,IF(AND(ISNUMBER($N5),INT($N5)=CAI_DAT!$B$4,LEFT(UPPER(TRIM($L5)),2)=LEFT(UPPER(TRIM(CAI_DAT!$B$5)),2),$Q5=1,OR(AND($M5="SO",ISNUMBER($P5),$P5&gt;0),AND($M5="MO",ISNUMBER($O5),$O5&gt;0))),1,0)),0)</f>
        <v>0</v>
      </c>
      <c r="U5" t="str">
        <f t="shared" si="6"/>
        <v/>
      </c>
      <c r="V5" t="str">
        <f t="shared" si="7"/>
        <v/>
      </c>
      <c r="W5" t="str">
        <f>IFERROR(IF($T5=0,"",COUNTIFS($T$3:$T$202,1,$V$3:$V$202,"&lt;"&amp;$V5)+COUNTIFS($T$3:$T5,1,$V$3:$V5,$V5)),"")</f>
        <v/>
      </c>
      <c r="X5" t="str">
        <f t="shared" si="8"/>
        <v/>
      </c>
    </row>
    <row r="6" spans="1:24">
      <c r="A6" s="5">
        <f t="shared" si="0"/>
        <v>4</v>
      </c>
      <c r="B6" s="13" t="str">
        <f t="shared" ca="1" si="1"/>
        <v/>
      </c>
      <c r="C6" s="16" t="str">
        <f t="shared" ca="1" si="2"/>
        <v/>
      </c>
      <c r="D6" s="19" t="str">
        <f t="shared" ca="1" si="3"/>
        <v/>
      </c>
      <c r="E6" s="19" t="str">
        <f ca="1">IFERROR(IF($H6="","",INDEX(LENH_GOC!$H$4:$H$203,MATCH(INDEX($K$3:$K$202,MATCH($H6,$W$3:$W$202,0)),LENH_GOC!$A$4:$A$203,0))),"")</f>
        <v/>
      </c>
      <c r="F6" s="19" t="str">
        <f t="shared" ca="1" si="4"/>
        <v/>
      </c>
      <c r="G6" s="6" t="str">
        <f t="shared" ca="1" si="5"/>
        <v/>
      </c>
      <c r="H6" t="str">
        <f ca="1">IFERROR(IF(ROW()-2&lt;=CAI_DAT!$B$10,ROW()-2,""),"")</f>
        <v/>
      </c>
      <c r="J6" t="str">
        <f>IF(LENH_GOC!A7="","",7)</f>
        <v/>
      </c>
      <c r="K6" t="str">
        <f>IF(LENH_GOC!A7="","",LENH_GOC!A7)</f>
        <v/>
      </c>
      <c r="L6" t="str">
        <f>IF($K6="","",IFERROR(TRIM(LENH_GOC!C7),""))</f>
        <v/>
      </c>
      <c r="M6" t="str">
        <f>IF($K6="","",IFERROR(UPPER(TRIM(LENH_GOC!Y7)),""))</f>
        <v/>
      </c>
      <c r="N6" s="43" t="str">
        <f>IFERROR(IF($K6="","",IF(LENH_GOC!G7="","",IF(ISNUMBER(LENH_GOC!G7),LENH_GOC!G7,DATE(VALUE(MID(LENH_GOC!G7,7,4)),VALUE(MID(LENH_GOC!G7,4,2)),VALUE(LEFT(LENH_GOC!G7,2)))+TIME(VALUE(MID(LENH_GOC!G7,12,2)),VALUE(MID(LENH_GOC!G7,15,2)),VALUE(MID(LENH_GOC!G7,18,2)))))), "")</f>
        <v/>
      </c>
      <c r="O6" t="str">
        <f>IF($K6="","",IF(LENH_GOC!E7="","",LENH_GOC!E7))</f>
        <v/>
      </c>
      <c r="P6" t="str">
        <f>IF($K6="","",IF(LENH_GOC!F7="","",LENH_GOC!F7))</f>
        <v/>
      </c>
      <c r="Q6" t="str">
        <f>IFERROR(IF($K6="","",IF(LENH_GOC!P7="","",IFERROR(VALUE(LENH_GOC!P7),IF(OR(LENH_GOC!P7=TRUE,UPPER(TRIM(LENH_GOC!P7))="TRUE"),1,0)))),"")</f>
        <v/>
      </c>
      <c r="R6" t="str">
        <f>IF($K6="","",IF(LENH_GOC!Q7="","",LENH_GOC!Q7))</f>
        <v/>
      </c>
      <c r="S6" s="43" t="str">
        <f>IF($K6="","",IF(LENH_GOC!R7="","",LENH_GOC!R7))</f>
        <v/>
      </c>
      <c r="T6">
        <f>IFERROR(IF($K6="",0,IF(AND(ISNUMBER($N6),INT($N6)=CAI_DAT!$B$4,LEFT(UPPER(TRIM($L6)),2)=LEFT(UPPER(TRIM(CAI_DAT!$B$5)),2),$Q6=1,OR(AND($M6="SO",ISNUMBER($P6),$P6&gt;0),AND($M6="MO",ISNUMBER($O6),$O6&gt;0))),1,0)),0)</f>
        <v>0</v>
      </c>
      <c r="U6" t="str">
        <f t="shared" si="6"/>
        <v/>
      </c>
      <c r="V6" t="str">
        <f t="shared" si="7"/>
        <v/>
      </c>
      <c r="W6" t="str">
        <f>IFERROR(IF($T6=0,"",COUNTIFS($T$3:$T$202,1,$V$3:$V$202,"&lt;"&amp;$V6)+COUNTIFS($T$3:$T6,1,$V$3:$V6,$V6)),"")</f>
        <v/>
      </c>
      <c r="X6" t="str">
        <f t="shared" si="8"/>
        <v/>
      </c>
    </row>
    <row r="7" spans="1:24">
      <c r="A7" s="5">
        <f t="shared" si="0"/>
        <v>5</v>
      </c>
      <c r="B7" s="13" t="str">
        <f t="shared" ca="1" si="1"/>
        <v/>
      </c>
      <c r="C7" s="16" t="str">
        <f t="shared" ca="1" si="2"/>
        <v/>
      </c>
      <c r="D7" s="19" t="str">
        <f t="shared" ca="1" si="3"/>
        <v/>
      </c>
      <c r="E7" s="19" t="str">
        <f ca="1">IFERROR(IF($H7="","",INDEX(LENH_GOC!$H$4:$H$203,MATCH(INDEX($K$3:$K$202,MATCH($H7,$W$3:$W$202,0)),LENH_GOC!$A$4:$A$203,0))),"")</f>
        <v/>
      </c>
      <c r="F7" s="19" t="str">
        <f t="shared" ca="1" si="4"/>
        <v/>
      </c>
      <c r="G7" s="6" t="str">
        <f t="shared" ca="1" si="5"/>
        <v/>
      </c>
      <c r="H7" t="str">
        <f ca="1">IFERROR(IF(ROW()-2&lt;=CAI_DAT!$B$10,ROW()-2,""),"")</f>
        <v/>
      </c>
      <c r="J7" t="str">
        <f>IF(LENH_GOC!A8="","",8)</f>
        <v/>
      </c>
      <c r="K7" t="str">
        <f>IF(LENH_GOC!A8="","",LENH_GOC!A8)</f>
        <v/>
      </c>
      <c r="L7" t="str">
        <f>IF($K7="","",IFERROR(TRIM(LENH_GOC!C8),""))</f>
        <v/>
      </c>
      <c r="M7" t="str">
        <f>IF($K7="","",IFERROR(UPPER(TRIM(LENH_GOC!Y8)),""))</f>
        <v/>
      </c>
      <c r="N7" s="43" t="str">
        <f>IFERROR(IF($K7="","",IF(LENH_GOC!G8="","",IF(ISNUMBER(LENH_GOC!G8),LENH_GOC!G8,DATE(VALUE(MID(LENH_GOC!G8,7,4)),VALUE(MID(LENH_GOC!G8,4,2)),VALUE(LEFT(LENH_GOC!G8,2)))+TIME(VALUE(MID(LENH_GOC!G8,12,2)),VALUE(MID(LENH_GOC!G8,15,2)),VALUE(MID(LENH_GOC!G8,18,2)))))), "")</f>
        <v/>
      </c>
      <c r="O7" t="str">
        <f>IF($K7="","",IF(LENH_GOC!E8="","",LENH_GOC!E8))</f>
        <v/>
      </c>
      <c r="P7" t="str">
        <f>IF($K7="","",IF(LENH_GOC!F8="","",LENH_GOC!F8))</f>
        <v/>
      </c>
      <c r="Q7" t="str">
        <f>IFERROR(IF($K7="","",IF(LENH_GOC!P8="","",IFERROR(VALUE(LENH_GOC!P8),IF(OR(LENH_GOC!P8=TRUE,UPPER(TRIM(LENH_GOC!P8))="TRUE"),1,0)))),"")</f>
        <v/>
      </c>
      <c r="R7" t="str">
        <f>IF($K7="","",IF(LENH_GOC!Q8="","",LENH_GOC!Q8))</f>
        <v/>
      </c>
      <c r="S7" s="43" t="str">
        <f>IF($K7="","",IF(LENH_GOC!R8="","",LENH_GOC!R8))</f>
        <v/>
      </c>
      <c r="T7">
        <f>IFERROR(IF($K7="",0,IF(AND(ISNUMBER($N7),INT($N7)=CAI_DAT!$B$4,LEFT(UPPER(TRIM($L7)),2)=LEFT(UPPER(TRIM(CAI_DAT!$B$5)),2),$Q7=1,OR(AND($M7="SO",ISNUMBER($P7),$P7&gt;0),AND($M7="MO",ISNUMBER($O7),$O7&gt;0))),1,0)),0)</f>
        <v>0</v>
      </c>
      <c r="U7" t="str">
        <f t="shared" si="6"/>
        <v/>
      </c>
      <c r="V7" t="str">
        <f t="shared" si="7"/>
        <v/>
      </c>
      <c r="W7" t="str">
        <f>IFERROR(IF($T7=0,"",COUNTIFS($T$3:$T$202,1,$V$3:$V$202,"&lt;"&amp;$V7)+COUNTIFS($T$3:$T7,1,$V$3:$V7,$V7)),"")</f>
        <v/>
      </c>
      <c r="X7" t="str">
        <f t="shared" si="8"/>
        <v/>
      </c>
    </row>
    <row r="8" spans="1:24">
      <c r="A8" s="5">
        <f t="shared" si="0"/>
        <v>6</v>
      </c>
      <c r="B8" s="13" t="str">
        <f t="shared" ca="1" si="1"/>
        <v/>
      </c>
      <c r="C8" s="16" t="str">
        <f t="shared" ca="1" si="2"/>
        <v/>
      </c>
      <c r="D8" s="19" t="str">
        <f t="shared" ca="1" si="3"/>
        <v/>
      </c>
      <c r="E8" s="19" t="str">
        <f ca="1">IFERROR(IF($H8="","",INDEX(LENH_GOC!$H$4:$H$203,MATCH(INDEX($K$3:$K$202,MATCH($H8,$W$3:$W$202,0)),LENH_GOC!$A$4:$A$203,0))),"")</f>
        <v/>
      </c>
      <c r="F8" s="19" t="str">
        <f t="shared" ca="1" si="4"/>
        <v/>
      </c>
      <c r="G8" s="6" t="str">
        <f t="shared" ca="1" si="5"/>
        <v/>
      </c>
      <c r="H8" t="str">
        <f ca="1">IFERROR(IF(ROW()-2&lt;=CAI_DAT!$B$10,ROW()-2,""),"")</f>
        <v/>
      </c>
      <c r="J8" t="str">
        <f>IF(LENH_GOC!A9="","",9)</f>
        <v/>
      </c>
      <c r="K8" t="str">
        <f>IF(LENH_GOC!A9="","",LENH_GOC!A9)</f>
        <v/>
      </c>
      <c r="L8" t="str">
        <f>IF($K8="","",IFERROR(TRIM(LENH_GOC!C9),""))</f>
        <v/>
      </c>
      <c r="M8" t="str">
        <f>IF($K8="","",IFERROR(UPPER(TRIM(LENH_GOC!Y9)),""))</f>
        <v/>
      </c>
      <c r="N8" s="43" t="str">
        <f>IFERROR(IF($K8="","",IF(LENH_GOC!G9="","",IF(ISNUMBER(LENH_GOC!G9),LENH_GOC!G9,DATE(VALUE(MID(LENH_GOC!G9,7,4)),VALUE(MID(LENH_GOC!G9,4,2)),VALUE(LEFT(LENH_GOC!G9,2)))+TIME(VALUE(MID(LENH_GOC!G9,12,2)),VALUE(MID(LENH_GOC!G9,15,2)),VALUE(MID(LENH_GOC!G9,18,2)))))), "")</f>
        <v/>
      </c>
      <c r="O8" t="str">
        <f>IF($K8="","",IF(LENH_GOC!E9="","",LENH_GOC!E9))</f>
        <v/>
      </c>
      <c r="P8" t="str">
        <f>IF($K8="","",IF(LENH_GOC!F9="","",LENH_GOC!F9))</f>
        <v/>
      </c>
      <c r="Q8" t="str">
        <f>IFERROR(IF($K8="","",IF(LENH_GOC!P9="","",IFERROR(VALUE(LENH_GOC!P9),IF(OR(LENH_GOC!P9=TRUE,UPPER(TRIM(LENH_GOC!P9))="TRUE"),1,0)))),"")</f>
        <v/>
      </c>
      <c r="R8" t="str">
        <f>IF($K8="","",IF(LENH_GOC!Q9="","",LENH_GOC!Q9))</f>
        <v/>
      </c>
      <c r="S8" s="43" t="str">
        <f>IF($K8="","",IF(LENH_GOC!R9="","",LENH_GOC!R9))</f>
        <v/>
      </c>
      <c r="T8">
        <f>IFERROR(IF($K8="",0,IF(AND(ISNUMBER($N8),INT($N8)=CAI_DAT!$B$4,LEFT(UPPER(TRIM($L8)),2)=LEFT(UPPER(TRIM(CAI_DAT!$B$5)),2),$Q8=1,OR(AND($M8="SO",ISNUMBER($P8),$P8&gt;0),AND($M8="MO",ISNUMBER($O8),$O8&gt;0))),1,0)),0)</f>
        <v>0</v>
      </c>
      <c r="U8" t="str">
        <f t="shared" si="6"/>
        <v/>
      </c>
      <c r="V8" t="str">
        <f t="shared" si="7"/>
        <v/>
      </c>
      <c r="W8" t="str">
        <f>IFERROR(IF($T8=0,"",COUNTIFS($T$3:$T$202,1,$V$3:$V$202,"&lt;"&amp;$V8)+COUNTIFS($T$3:$T8,1,$V$3:$V8,$V8)),"")</f>
        <v/>
      </c>
      <c r="X8" t="str">
        <f t="shared" si="8"/>
        <v/>
      </c>
    </row>
    <row r="9" spans="1:24">
      <c r="A9" s="5">
        <f t="shared" si="0"/>
        <v>7</v>
      </c>
      <c r="B9" s="13" t="str">
        <f t="shared" ca="1" si="1"/>
        <v/>
      </c>
      <c r="C9" s="16" t="str">
        <f t="shared" ca="1" si="2"/>
        <v/>
      </c>
      <c r="D9" s="19" t="str">
        <f t="shared" ca="1" si="3"/>
        <v/>
      </c>
      <c r="E9" s="19" t="str">
        <f ca="1">IFERROR(IF($H9="","",INDEX(LENH_GOC!$H$4:$H$203,MATCH(INDEX($K$3:$K$202,MATCH($H9,$W$3:$W$202,0)),LENH_GOC!$A$4:$A$203,0))),"")</f>
        <v/>
      </c>
      <c r="F9" s="19" t="str">
        <f t="shared" ca="1" si="4"/>
        <v/>
      </c>
      <c r="G9" s="6" t="str">
        <f t="shared" ca="1" si="5"/>
        <v/>
      </c>
      <c r="H9" t="str">
        <f ca="1">IFERROR(IF(ROW()-2&lt;=CAI_DAT!$B$10,ROW()-2,""),"")</f>
        <v/>
      </c>
      <c r="J9" t="str">
        <f>IF(LENH_GOC!A10="","",10)</f>
        <v/>
      </c>
      <c r="K9" t="str">
        <f>IF(LENH_GOC!A10="","",LENH_GOC!A10)</f>
        <v/>
      </c>
      <c r="L9" t="str">
        <f>IF($K9="","",IFERROR(TRIM(LENH_GOC!C10),""))</f>
        <v/>
      </c>
      <c r="M9" t="str">
        <f>IF($K9="","",IFERROR(UPPER(TRIM(LENH_GOC!Y10)),""))</f>
        <v/>
      </c>
      <c r="N9" s="43" t="str">
        <f>IFERROR(IF($K9="","",IF(LENH_GOC!G10="","",IF(ISNUMBER(LENH_GOC!G10),LENH_GOC!G10,DATE(VALUE(MID(LENH_GOC!G10,7,4)),VALUE(MID(LENH_GOC!G10,4,2)),VALUE(LEFT(LENH_GOC!G10,2)))+TIME(VALUE(MID(LENH_GOC!G10,12,2)),VALUE(MID(LENH_GOC!G10,15,2)),VALUE(MID(LENH_GOC!G10,18,2)))))), "")</f>
        <v/>
      </c>
      <c r="O9" t="str">
        <f>IF($K9="","",IF(LENH_GOC!E10="","",LENH_GOC!E10))</f>
        <v/>
      </c>
      <c r="P9" t="str">
        <f>IF($K9="","",IF(LENH_GOC!F10="","",LENH_GOC!F10))</f>
        <v/>
      </c>
      <c r="Q9" t="str">
        <f>IFERROR(IF($K9="","",IF(LENH_GOC!P10="","",IFERROR(VALUE(LENH_GOC!P10),IF(OR(LENH_GOC!P10=TRUE,UPPER(TRIM(LENH_GOC!P10))="TRUE"),1,0)))),"")</f>
        <v/>
      </c>
      <c r="R9" t="str">
        <f>IF($K9="","",IF(LENH_GOC!Q10="","",LENH_GOC!Q10))</f>
        <v/>
      </c>
      <c r="S9" s="43" t="str">
        <f>IF($K9="","",IF(LENH_GOC!R10="","",LENH_GOC!R10))</f>
        <v/>
      </c>
      <c r="T9">
        <f>IFERROR(IF($K9="",0,IF(AND(ISNUMBER($N9),INT($N9)=CAI_DAT!$B$4,LEFT(UPPER(TRIM($L9)),2)=LEFT(UPPER(TRIM(CAI_DAT!$B$5)),2),$Q9=1,OR(AND($M9="SO",ISNUMBER($P9),$P9&gt;0),AND($M9="MO",ISNUMBER($O9),$O9&gt;0))),1,0)),0)</f>
        <v>0</v>
      </c>
      <c r="U9" t="str">
        <f t="shared" si="6"/>
        <v/>
      </c>
      <c r="V9" t="str">
        <f t="shared" si="7"/>
        <v/>
      </c>
      <c r="W9" t="str">
        <f>IFERROR(IF($T9=0,"",COUNTIFS($T$3:$T$202,1,$V$3:$V$202,"&lt;"&amp;$V9)+COUNTIFS($T$3:$T9,1,$V$3:$V9,$V9)),"")</f>
        <v/>
      </c>
      <c r="X9" t="str">
        <f t="shared" si="8"/>
        <v/>
      </c>
    </row>
    <row r="10" spans="1:24">
      <c r="A10" s="5">
        <f t="shared" si="0"/>
        <v>8</v>
      </c>
      <c r="B10" s="13" t="str">
        <f t="shared" ca="1" si="1"/>
        <v/>
      </c>
      <c r="C10" s="16" t="str">
        <f t="shared" ca="1" si="2"/>
        <v/>
      </c>
      <c r="D10" s="19" t="str">
        <f t="shared" ca="1" si="3"/>
        <v/>
      </c>
      <c r="E10" s="19" t="str">
        <f ca="1">IFERROR(IF($H10="","",INDEX(LENH_GOC!$H$4:$H$203,MATCH(INDEX($K$3:$K$202,MATCH($H10,$W$3:$W$202,0)),LENH_GOC!$A$4:$A$203,0))),"")</f>
        <v/>
      </c>
      <c r="F10" s="19" t="str">
        <f t="shared" ca="1" si="4"/>
        <v/>
      </c>
      <c r="G10" s="6" t="str">
        <f t="shared" ca="1" si="5"/>
        <v/>
      </c>
      <c r="H10" t="str">
        <f ca="1">IFERROR(IF(ROW()-2&lt;=CAI_DAT!$B$10,ROW()-2,""),"")</f>
        <v/>
      </c>
      <c r="J10" t="str">
        <f>IF(LENH_GOC!A11="","",11)</f>
        <v/>
      </c>
      <c r="K10" t="str">
        <f>IF(LENH_GOC!A11="","",LENH_GOC!A11)</f>
        <v/>
      </c>
      <c r="L10" t="str">
        <f>IF($K10="","",IFERROR(TRIM(LENH_GOC!C11),""))</f>
        <v/>
      </c>
      <c r="M10" t="str">
        <f>IF($K10="","",IFERROR(UPPER(TRIM(LENH_GOC!Y11)),""))</f>
        <v/>
      </c>
      <c r="N10" s="43" t="str">
        <f>IFERROR(IF($K10="","",IF(LENH_GOC!G11="","",IF(ISNUMBER(LENH_GOC!G11),LENH_GOC!G11,DATE(VALUE(MID(LENH_GOC!G11,7,4)),VALUE(MID(LENH_GOC!G11,4,2)),VALUE(LEFT(LENH_GOC!G11,2)))+TIME(VALUE(MID(LENH_GOC!G11,12,2)),VALUE(MID(LENH_GOC!G11,15,2)),VALUE(MID(LENH_GOC!G11,18,2)))))), "")</f>
        <v/>
      </c>
      <c r="O10" t="str">
        <f>IF($K10="","",IF(LENH_GOC!E11="","",LENH_GOC!E11))</f>
        <v/>
      </c>
      <c r="P10" t="str">
        <f>IF($K10="","",IF(LENH_GOC!F11="","",LENH_GOC!F11))</f>
        <v/>
      </c>
      <c r="Q10" t="str">
        <f>IFERROR(IF($K10="","",IF(LENH_GOC!P11="","",IFERROR(VALUE(LENH_GOC!P11),IF(OR(LENH_GOC!P11=TRUE,UPPER(TRIM(LENH_GOC!P11))="TRUE"),1,0)))),"")</f>
        <v/>
      </c>
      <c r="R10" t="str">
        <f>IF($K10="","",IF(LENH_GOC!Q11="","",LENH_GOC!Q11))</f>
        <v/>
      </c>
      <c r="S10" s="43" t="str">
        <f>IF($K10="","",IF(LENH_GOC!R11="","",LENH_GOC!R11))</f>
        <v/>
      </c>
      <c r="T10">
        <f>IFERROR(IF($K10="",0,IF(AND(ISNUMBER($N10),INT($N10)=CAI_DAT!$B$4,LEFT(UPPER(TRIM($L10)),2)=LEFT(UPPER(TRIM(CAI_DAT!$B$5)),2),$Q10=1,OR(AND($M10="SO",ISNUMBER($P10),$P10&gt;0),AND($M10="MO",ISNUMBER($O10),$O10&gt;0))),1,0)),0)</f>
        <v>0</v>
      </c>
      <c r="U10" t="str">
        <f t="shared" si="6"/>
        <v/>
      </c>
      <c r="V10" t="str">
        <f t="shared" si="7"/>
        <v/>
      </c>
      <c r="W10" t="str">
        <f>IFERROR(IF($T10=0,"",COUNTIFS($T$3:$T$202,1,$V$3:$V$202,"&lt;"&amp;$V10)+COUNTIFS($T$3:$T10,1,$V$3:$V10,$V10)),"")</f>
        <v/>
      </c>
      <c r="X10" t="str">
        <f t="shared" si="8"/>
        <v/>
      </c>
    </row>
    <row r="11" spans="1:24">
      <c r="A11" s="5">
        <f t="shared" si="0"/>
        <v>9</v>
      </c>
      <c r="B11" s="13" t="str">
        <f t="shared" ca="1" si="1"/>
        <v/>
      </c>
      <c r="C11" s="16" t="str">
        <f t="shared" ca="1" si="2"/>
        <v/>
      </c>
      <c r="D11" s="19" t="str">
        <f t="shared" ca="1" si="3"/>
        <v/>
      </c>
      <c r="E11" s="19" t="str">
        <f ca="1">IFERROR(IF($H11="","",INDEX(LENH_GOC!$H$4:$H$203,MATCH(INDEX($K$3:$K$202,MATCH($H11,$W$3:$W$202,0)),LENH_GOC!$A$4:$A$203,0))),"")</f>
        <v/>
      </c>
      <c r="F11" s="19" t="str">
        <f t="shared" ca="1" si="4"/>
        <v/>
      </c>
      <c r="G11" s="6" t="str">
        <f t="shared" ca="1" si="5"/>
        <v/>
      </c>
      <c r="H11" t="str">
        <f ca="1">IFERROR(IF(ROW()-2&lt;=CAI_DAT!$B$10,ROW()-2,""),"")</f>
        <v/>
      </c>
      <c r="J11" t="str">
        <f>IF(LENH_GOC!A12="","",12)</f>
        <v/>
      </c>
      <c r="K11" t="str">
        <f>IF(LENH_GOC!A12="","",LENH_GOC!A12)</f>
        <v/>
      </c>
      <c r="L11" t="str">
        <f>IF($K11="","",IFERROR(TRIM(LENH_GOC!C12),""))</f>
        <v/>
      </c>
      <c r="M11" t="str">
        <f>IF($K11="","",IFERROR(UPPER(TRIM(LENH_GOC!Y12)),""))</f>
        <v/>
      </c>
      <c r="N11" s="43" t="str">
        <f>IFERROR(IF($K11="","",IF(LENH_GOC!G12="","",IF(ISNUMBER(LENH_GOC!G12),LENH_GOC!G12,DATE(VALUE(MID(LENH_GOC!G12,7,4)),VALUE(MID(LENH_GOC!G12,4,2)),VALUE(LEFT(LENH_GOC!G12,2)))+TIME(VALUE(MID(LENH_GOC!G12,12,2)),VALUE(MID(LENH_GOC!G12,15,2)),VALUE(MID(LENH_GOC!G12,18,2)))))), "")</f>
        <v/>
      </c>
      <c r="O11" t="str">
        <f>IF($K11="","",IF(LENH_GOC!E12="","",LENH_GOC!E12))</f>
        <v/>
      </c>
      <c r="P11" t="str">
        <f>IF($K11="","",IF(LENH_GOC!F12="","",LENH_GOC!F12))</f>
        <v/>
      </c>
      <c r="Q11" t="str">
        <f>IFERROR(IF($K11="","",IF(LENH_GOC!P12="","",IFERROR(VALUE(LENH_GOC!P12),IF(OR(LENH_GOC!P12=TRUE,UPPER(TRIM(LENH_GOC!P12))="TRUE"),1,0)))),"")</f>
        <v/>
      </c>
      <c r="R11" t="str">
        <f>IF($K11="","",IF(LENH_GOC!Q12="","",LENH_GOC!Q12))</f>
        <v/>
      </c>
      <c r="S11" s="43" t="str">
        <f>IF($K11="","",IF(LENH_GOC!R12="","",LENH_GOC!R12))</f>
        <v/>
      </c>
      <c r="T11">
        <f>IFERROR(IF($K11="",0,IF(AND(ISNUMBER($N11),INT($N11)=CAI_DAT!$B$4,LEFT(UPPER(TRIM($L11)),2)=LEFT(UPPER(TRIM(CAI_DAT!$B$5)),2),$Q11=1,OR(AND($M11="SO",ISNUMBER($P11),$P11&gt;0),AND($M11="MO",ISNUMBER($O11),$O11&gt;0))),1,0)),0)</f>
        <v>0</v>
      </c>
      <c r="U11" t="str">
        <f t="shared" si="6"/>
        <v/>
      </c>
      <c r="V11" t="str">
        <f t="shared" si="7"/>
        <v/>
      </c>
      <c r="W11" t="str">
        <f>IFERROR(IF($T11=0,"",COUNTIFS($T$3:$T$202,1,$V$3:$V$202,"&lt;"&amp;$V11)+COUNTIFS($T$3:$T11,1,$V$3:$V11,$V11)),"")</f>
        <v/>
      </c>
      <c r="X11" t="str">
        <f t="shared" si="8"/>
        <v/>
      </c>
    </row>
    <row r="12" spans="1:24">
      <c r="A12" s="5">
        <f t="shared" si="0"/>
        <v>10</v>
      </c>
      <c r="B12" s="13" t="str">
        <f t="shared" ca="1" si="1"/>
        <v/>
      </c>
      <c r="C12" s="16" t="str">
        <f t="shared" ca="1" si="2"/>
        <v/>
      </c>
      <c r="D12" s="19" t="str">
        <f t="shared" ca="1" si="3"/>
        <v/>
      </c>
      <c r="E12" s="19" t="str">
        <f ca="1">IFERROR(IF($H12="","",INDEX(LENH_GOC!$H$4:$H$203,MATCH(INDEX($K$3:$K$202,MATCH($H12,$W$3:$W$202,0)),LENH_GOC!$A$4:$A$203,0))),"")</f>
        <v/>
      </c>
      <c r="F12" s="19" t="str">
        <f t="shared" ca="1" si="4"/>
        <v/>
      </c>
      <c r="G12" s="6" t="str">
        <f t="shared" ca="1" si="5"/>
        <v/>
      </c>
      <c r="H12" t="str">
        <f ca="1">IFERROR(IF(ROW()-2&lt;=CAI_DAT!$B$10,ROW()-2,""),"")</f>
        <v/>
      </c>
      <c r="J12" t="str">
        <f>IF(LENH_GOC!A13="","",13)</f>
        <v/>
      </c>
      <c r="K12" t="str">
        <f>IF(LENH_GOC!A13="","",LENH_GOC!A13)</f>
        <v/>
      </c>
      <c r="L12" t="str">
        <f>IF($K12="","",IFERROR(TRIM(LENH_GOC!C13),""))</f>
        <v/>
      </c>
      <c r="M12" t="str">
        <f>IF($K12="","",IFERROR(UPPER(TRIM(LENH_GOC!Y13)),""))</f>
        <v/>
      </c>
      <c r="N12" s="43" t="str">
        <f>IFERROR(IF($K12="","",IF(LENH_GOC!G13="","",IF(ISNUMBER(LENH_GOC!G13),LENH_GOC!G13,DATE(VALUE(MID(LENH_GOC!G13,7,4)),VALUE(MID(LENH_GOC!G13,4,2)),VALUE(LEFT(LENH_GOC!G13,2)))+TIME(VALUE(MID(LENH_GOC!G13,12,2)),VALUE(MID(LENH_GOC!G13,15,2)),VALUE(MID(LENH_GOC!G13,18,2)))))), "")</f>
        <v/>
      </c>
      <c r="O12" t="str">
        <f>IF($K12="","",IF(LENH_GOC!E13="","",LENH_GOC!E13))</f>
        <v/>
      </c>
      <c r="P12" t="str">
        <f>IF($K12="","",IF(LENH_GOC!F13="","",LENH_GOC!F13))</f>
        <v/>
      </c>
      <c r="Q12" t="str">
        <f>IFERROR(IF($K12="","",IF(LENH_GOC!P13="","",IFERROR(VALUE(LENH_GOC!P13),IF(OR(LENH_GOC!P13=TRUE,UPPER(TRIM(LENH_GOC!P13))="TRUE"),1,0)))),"")</f>
        <v/>
      </c>
      <c r="R12" t="str">
        <f>IF($K12="","",IF(LENH_GOC!Q13="","",LENH_GOC!Q13))</f>
        <v/>
      </c>
      <c r="S12" s="43" t="str">
        <f>IF($K12="","",IF(LENH_GOC!R13="","",LENH_GOC!R13))</f>
        <v/>
      </c>
      <c r="T12">
        <f>IFERROR(IF($K12="",0,IF(AND(ISNUMBER($N12),INT($N12)=CAI_DAT!$B$4,LEFT(UPPER(TRIM($L12)),2)=LEFT(UPPER(TRIM(CAI_DAT!$B$5)),2),$Q12=1,OR(AND($M12="SO",ISNUMBER($P12),$P12&gt;0),AND($M12="MO",ISNUMBER($O12),$O12&gt;0))),1,0)),0)</f>
        <v>0</v>
      </c>
      <c r="U12" t="str">
        <f t="shared" si="6"/>
        <v/>
      </c>
      <c r="V12" t="str">
        <f t="shared" si="7"/>
        <v/>
      </c>
      <c r="W12" t="str">
        <f>IFERROR(IF($T12=0,"",COUNTIFS($T$3:$T$202,1,$V$3:$V$202,"&lt;"&amp;$V12)+COUNTIFS($T$3:$T12,1,$V$3:$V12,$V12)),"")</f>
        <v/>
      </c>
      <c r="X12" t="str">
        <f t="shared" si="8"/>
        <v/>
      </c>
    </row>
    <row r="13" spans="1:24">
      <c r="A13" s="5">
        <f t="shared" si="0"/>
        <v>11</v>
      </c>
      <c r="B13" s="13" t="str">
        <f t="shared" ca="1" si="1"/>
        <v/>
      </c>
      <c r="C13" s="16" t="str">
        <f t="shared" ca="1" si="2"/>
        <v/>
      </c>
      <c r="D13" s="19" t="str">
        <f t="shared" ca="1" si="3"/>
        <v/>
      </c>
      <c r="E13" s="19" t="str">
        <f ca="1">IFERROR(IF($H13="","",INDEX(LENH_GOC!$H$4:$H$203,MATCH(INDEX($K$3:$K$202,MATCH($H13,$W$3:$W$202,0)),LENH_GOC!$A$4:$A$203,0))),"")</f>
        <v/>
      </c>
      <c r="F13" s="19" t="str">
        <f t="shared" ca="1" si="4"/>
        <v/>
      </c>
      <c r="G13" s="6" t="str">
        <f t="shared" ca="1" si="5"/>
        <v/>
      </c>
      <c r="H13" t="str">
        <f ca="1">IFERROR(IF(ROW()-2&lt;=CAI_DAT!$B$10,ROW()-2,""),"")</f>
        <v/>
      </c>
      <c r="J13" t="str">
        <f>IF(LENH_GOC!A14="","",14)</f>
        <v/>
      </c>
      <c r="K13" t="str">
        <f>IF(LENH_GOC!A14="","",LENH_GOC!A14)</f>
        <v/>
      </c>
      <c r="L13" t="str">
        <f>IF($K13="","",IFERROR(TRIM(LENH_GOC!C14),""))</f>
        <v/>
      </c>
      <c r="M13" t="str">
        <f>IF($K13="","",IFERROR(UPPER(TRIM(LENH_GOC!Y14)),""))</f>
        <v/>
      </c>
      <c r="N13" s="43" t="str">
        <f>IFERROR(IF($K13="","",IF(LENH_GOC!G14="","",IF(ISNUMBER(LENH_GOC!G14),LENH_GOC!G14,DATE(VALUE(MID(LENH_GOC!G14,7,4)),VALUE(MID(LENH_GOC!G14,4,2)),VALUE(LEFT(LENH_GOC!G14,2)))+TIME(VALUE(MID(LENH_GOC!G14,12,2)),VALUE(MID(LENH_GOC!G14,15,2)),VALUE(MID(LENH_GOC!G14,18,2)))))), "")</f>
        <v/>
      </c>
      <c r="O13" t="str">
        <f>IF($K13="","",IF(LENH_GOC!E14="","",LENH_GOC!E14))</f>
        <v/>
      </c>
      <c r="P13" t="str">
        <f>IF($K13="","",IF(LENH_GOC!F14="","",LENH_GOC!F14))</f>
        <v/>
      </c>
      <c r="Q13" t="str">
        <f>IFERROR(IF($K13="","",IF(LENH_GOC!P14="","",IFERROR(VALUE(LENH_GOC!P14),IF(OR(LENH_GOC!P14=TRUE,UPPER(TRIM(LENH_GOC!P14))="TRUE"),1,0)))),"")</f>
        <v/>
      </c>
      <c r="R13" t="str">
        <f>IF($K13="","",IF(LENH_GOC!Q14="","",LENH_GOC!Q14))</f>
        <v/>
      </c>
      <c r="S13" s="43" t="str">
        <f>IF($K13="","",IF(LENH_GOC!R14="","",LENH_GOC!R14))</f>
        <v/>
      </c>
      <c r="T13">
        <f>IFERROR(IF($K13="",0,IF(AND(ISNUMBER($N13),INT($N13)=CAI_DAT!$B$4,LEFT(UPPER(TRIM($L13)),2)=LEFT(UPPER(TRIM(CAI_DAT!$B$5)),2),$Q13=1,OR(AND($M13="SO",ISNUMBER($P13),$P13&gt;0),AND($M13="MO",ISNUMBER($O13),$O13&gt;0))),1,0)),0)</f>
        <v>0</v>
      </c>
      <c r="U13" t="str">
        <f t="shared" si="6"/>
        <v/>
      </c>
      <c r="V13" t="str">
        <f t="shared" si="7"/>
        <v/>
      </c>
      <c r="W13" t="str">
        <f>IFERROR(IF($T13=0,"",COUNTIFS($T$3:$T$202,1,$V$3:$V$202,"&lt;"&amp;$V13)+COUNTIFS($T$3:$T13,1,$V$3:$V13,$V13)),"")</f>
        <v/>
      </c>
      <c r="X13" t="str">
        <f t="shared" si="8"/>
        <v/>
      </c>
    </row>
    <row r="14" spans="1:24">
      <c r="A14" s="5">
        <f t="shared" si="0"/>
        <v>12</v>
      </c>
      <c r="B14" s="13" t="str">
        <f t="shared" ca="1" si="1"/>
        <v/>
      </c>
      <c r="C14" s="16" t="str">
        <f t="shared" ca="1" si="2"/>
        <v/>
      </c>
      <c r="D14" s="19" t="str">
        <f t="shared" ca="1" si="3"/>
        <v/>
      </c>
      <c r="E14" s="19" t="str">
        <f ca="1">IFERROR(IF($H14="","",INDEX(LENH_GOC!$H$4:$H$203,MATCH(INDEX($K$3:$K$202,MATCH($H14,$W$3:$W$202,0)),LENH_GOC!$A$4:$A$203,0))),"")</f>
        <v/>
      </c>
      <c r="F14" s="19" t="str">
        <f t="shared" ca="1" si="4"/>
        <v/>
      </c>
      <c r="G14" s="6" t="str">
        <f t="shared" ca="1" si="5"/>
        <v/>
      </c>
      <c r="H14" t="str">
        <f ca="1">IFERROR(IF(ROW()-2&lt;=CAI_DAT!$B$10,ROW()-2,""),"")</f>
        <v/>
      </c>
      <c r="J14" t="str">
        <f>IF(LENH_GOC!A15="","",15)</f>
        <v/>
      </c>
      <c r="K14" t="str">
        <f>IF(LENH_GOC!A15="","",LENH_GOC!A15)</f>
        <v/>
      </c>
      <c r="L14" t="str">
        <f>IF($K14="","",IFERROR(TRIM(LENH_GOC!C15),""))</f>
        <v/>
      </c>
      <c r="M14" t="str">
        <f>IF($K14="","",IFERROR(UPPER(TRIM(LENH_GOC!Y15)),""))</f>
        <v/>
      </c>
      <c r="N14" s="43" t="str">
        <f>IFERROR(IF($K14="","",IF(LENH_GOC!G15="","",IF(ISNUMBER(LENH_GOC!G15),LENH_GOC!G15,DATE(VALUE(MID(LENH_GOC!G15,7,4)),VALUE(MID(LENH_GOC!G15,4,2)),VALUE(LEFT(LENH_GOC!G15,2)))+TIME(VALUE(MID(LENH_GOC!G15,12,2)),VALUE(MID(LENH_GOC!G15,15,2)),VALUE(MID(LENH_GOC!G15,18,2)))))), "")</f>
        <v/>
      </c>
      <c r="O14" t="str">
        <f>IF($K14="","",IF(LENH_GOC!E15="","",LENH_GOC!E15))</f>
        <v/>
      </c>
      <c r="P14" t="str">
        <f>IF($K14="","",IF(LENH_GOC!F15="","",LENH_GOC!F15))</f>
        <v/>
      </c>
      <c r="Q14" t="str">
        <f>IFERROR(IF($K14="","",IF(LENH_GOC!P15="","",IFERROR(VALUE(LENH_GOC!P15),IF(OR(LENH_GOC!P15=TRUE,UPPER(TRIM(LENH_GOC!P15))="TRUE"),1,0)))),"")</f>
        <v/>
      </c>
      <c r="R14" t="str">
        <f>IF($K14="","",IF(LENH_GOC!Q15="","",LENH_GOC!Q15))</f>
        <v/>
      </c>
      <c r="S14" s="43" t="str">
        <f>IF($K14="","",IF(LENH_GOC!R15="","",LENH_GOC!R15))</f>
        <v/>
      </c>
      <c r="T14">
        <f>IFERROR(IF($K14="",0,IF(AND(ISNUMBER($N14),INT($N14)=CAI_DAT!$B$4,LEFT(UPPER(TRIM($L14)),2)=LEFT(UPPER(TRIM(CAI_DAT!$B$5)),2),$Q14=1,OR(AND($M14="SO",ISNUMBER($P14),$P14&gt;0),AND($M14="MO",ISNUMBER($O14),$O14&gt;0))),1,0)),0)</f>
        <v>0</v>
      </c>
      <c r="U14" t="str">
        <f t="shared" si="6"/>
        <v/>
      </c>
      <c r="V14" t="str">
        <f t="shared" si="7"/>
        <v/>
      </c>
      <c r="W14" t="str">
        <f>IFERROR(IF($T14=0,"",COUNTIFS($T$3:$T$202,1,$V$3:$V$202,"&lt;"&amp;$V14)+COUNTIFS($T$3:$T14,1,$V$3:$V14,$V14)),"")</f>
        <v/>
      </c>
      <c r="X14" t="str">
        <f t="shared" si="8"/>
        <v/>
      </c>
    </row>
    <row r="15" spans="1:24">
      <c r="A15" s="5">
        <f t="shared" si="0"/>
        <v>13</v>
      </c>
      <c r="B15" s="13" t="str">
        <f t="shared" ca="1" si="1"/>
        <v/>
      </c>
      <c r="C15" s="16" t="str">
        <f t="shared" ca="1" si="2"/>
        <v/>
      </c>
      <c r="D15" s="19" t="str">
        <f t="shared" ca="1" si="3"/>
        <v/>
      </c>
      <c r="E15" s="19" t="str">
        <f ca="1">IFERROR(IF($H15="","",INDEX(LENH_GOC!$H$4:$H$203,MATCH(INDEX($K$3:$K$202,MATCH($H15,$W$3:$W$202,0)),LENH_GOC!$A$4:$A$203,0))),"")</f>
        <v/>
      </c>
      <c r="F15" s="19" t="str">
        <f t="shared" ca="1" si="4"/>
        <v/>
      </c>
      <c r="G15" s="6" t="str">
        <f t="shared" ca="1" si="5"/>
        <v/>
      </c>
      <c r="H15" t="str">
        <f ca="1">IFERROR(IF(ROW()-2&lt;=CAI_DAT!$B$10,ROW()-2,""),"")</f>
        <v/>
      </c>
      <c r="J15" t="str">
        <f>IF(LENH_GOC!A16="","",16)</f>
        <v/>
      </c>
      <c r="K15" t="str">
        <f>IF(LENH_GOC!A16="","",LENH_GOC!A16)</f>
        <v/>
      </c>
      <c r="L15" t="str">
        <f>IF($K15="","",IFERROR(TRIM(LENH_GOC!C16),""))</f>
        <v/>
      </c>
      <c r="M15" t="str">
        <f>IF($K15="","",IFERROR(UPPER(TRIM(LENH_GOC!Y16)),""))</f>
        <v/>
      </c>
      <c r="N15" s="43" t="str">
        <f>IFERROR(IF($K15="","",IF(LENH_GOC!G16="","",IF(ISNUMBER(LENH_GOC!G16),LENH_GOC!G16,DATE(VALUE(MID(LENH_GOC!G16,7,4)),VALUE(MID(LENH_GOC!G16,4,2)),VALUE(LEFT(LENH_GOC!G16,2)))+TIME(VALUE(MID(LENH_GOC!G16,12,2)),VALUE(MID(LENH_GOC!G16,15,2)),VALUE(MID(LENH_GOC!G16,18,2)))))), "")</f>
        <v/>
      </c>
      <c r="O15" t="str">
        <f>IF($K15="","",IF(LENH_GOC!E16="","",LENH_GOC!E16))</f>
        <v/>
      </c>
      <c r="P15" t="str">
        <f>IF($K15="","",IF(LENH_GOC!F16="","",LENH_GOC!F16))</f>
        <v/>
      </c>
      <c r="Q15" t="str">
        <f>IFERROR(IF($K15="","",IF(LENH_GOC!P16="","",IFERROR(VALUE(LENH_GOC!P16),IF(OR(LENH_GOC!P16=TRUE,UPPER(TRIM(LENH_GOC!P16))="TRUE"),1,0)))),"")</f>
        <v/>
      </c>
      <c r="R15" t="str">
        <f>IF($K15="","",IF(LENH_GOC!Q16="","",LENH_GOC!Q16))</f>
        <v/>
      </c>
      <c r="S15" s="43" t="str">
        <f>IF($K15="","",IF(LENH_GOC!R16="","",LENH_GOC!R16))</f>
        <v/>
      </c>
      <c r="T15">
        <f>IFERROR(IF($K15="",0,IF(AND(ISNUMBER($N15),INT($N15)=CAI_DAT!$B$4,LEFT(UPPER(TRIM($L15)),2)=LEFT(UPPER(TRIM(CAI_DAT!$B$5)),2),$Q15=1,OR(AND($M15="SO",ISNUMBER($P15),$P15&gt;0),AND($M15="MO",ISNUMBER($O15),$O15&gt;0))),1,0)),0)</f>
        <v>0</v>
      </c>
      <c r="U15" t="str">
        <f t="shared" si="6"/>
        <v/>
      </c>
      <c r="V15" t="str">
        <f t="shared" si="7"/>
        <v/>
      </c>
      <c r="W15" t="str">
        <f>IFERROR(IF($T15=0,"",COUNTIFS($T$3:$T$202,1,$V$3:$V$202,"&lt;"&amp;$V15)+COUNTIFS($T$3:$T15,1,$V$3:$V15,$V15)),"")</f>
        <v/>
      </c>
      <c r="X15" t="str">
        <f t="shared" si="8"/>
        <v/>
      </c>
    </row>
    <row r="16" spans="1:24">
      <c r="A16" s="5">
        <f t="shared" si="0"/>
        <v>14</v>
      </c>
      <c r="B16" s="13" t="str">
        <f t="shared" ca="1" si="1"/>
        <v/>
      </c>
      <c r="C16" s="16" t="str">
        <f t="shared" ca="1" si="2"/>
        <v/>
      </c>
      <c r="D16" s="19" t="str">
        <f t="shared" ca="1" si="3"/>
        <v/>
      </c>
      <c r="E16" s="19" t="str">
        <f ca="1">IFERROR(IF($H16="","",INDEX(LENH_GOC!$H$4:$H$203,MATCH(INDEX($K$3:$K$202,MATCH($H16,$W$3:$W$202,0)),LENH_GOC!$A$4:$A$203,0))),"")</f>
        <v/>
      </c>
      <c r="F16" s="19" t="str">
        <f t="shared" ca="1" si="4"/>
        <v/>
      </c>
      <c r="G16" s="6" t="str">
        <f t="shared" ca="1" si="5"/>
        <v/>
      </c>
      <c r="H16" t="str">
        <f ca="1">IFERROR(IF(ROW()-2&lt;=CAI_DAT!$B$10,ROW()-2,""),"")</f>
        <v/>
      </c>
      <c r="J16" t="str">
        <f>IF(LENH_GOC!A17="","",17)</f>
        <v/>
      </c>
      <c r="K16" t="str">
        <f>IF(LENH_GOC!A17="","",LENH_GOC!A17)</f>
        <v/>
      </c>
      <c r="L16" t="str">
        <f>IF($K16="","",IFERROR(TRIM(LENH_GOC!C17),""))</f>
        <v/>
      </c>
      <c r="M16" t="str">
        <f>IF($K16="","",IFERROR(UPPER(TRIM(LENH_GOC!Y17)),""))</f>
        <v/>
      </c>
      <c r="N16" s="43" t="str">
        <f>IFERROR(IF($K16="","",IF(LENH_GOC!G17="","",IF(ISNUMBER(LENH_GOC!G17),LENH_GOC!G17,DATE(VALUE(MID(LENH_GOC!G17,7,4)),VALUE(MID(LENH_GOC!G17,4,2)),VALUE(LEFT(LENH_GOC!G17,2)))+TIME(VALUE(MID(LENH_GOC!G17,12,2)),VALUE(MID(LENH_GOC!G17,15,2)),VALUE(MID(LENH_GOC!G17,18,2)))))), "")</f>
        <v/>
      </c>
      <c r="O16" t="str">
        <f>IF($K16="","",IF(LENH_GOC!E17="","",LENH_GOC!E17))</f>
        <v/>
      </c>
      <c r="P16" t="str">
        <f>IF($K16="","",IF(LENH_GOC!F17="","",LENH_GOC!F17))</f>
        <v/>
      </c>
      <c r="Q16" t="str">
        <f>IFERROR(IF($K16="","",IF(LENH_GOC!P17="","",IFERROR(VALUE(LENH_GOC!P17),IF(OR(LENH_GOC!P17=TRUE,UPPER(TRIM(LENH_GOC!P17))="TRUE"),1,0)))),"")</f>
        <v/>
      </c>
      <c r="R16" t="str">
        <f>IF($K16="","",IF(LENH_GOC!Q17="","",LENH_GOC!Q17))</f>
        <v/>
      </c>
      <c r="S16" s="43" t="str">
        <f>IF($K16="","",IF(LENH_GOC!R17="","",LENH_GOC!R17))</f>
        <v/>
      </c>
      <c r="T16">
        <f>IFERROR(IF($K16="",0,IF(AND(ISNUMBER($N16),INT($N16)=CAI_DAT!$B$4,LEFT(UPPER(TRIM($L16)),2)=LEFT(UPPER(TRIM(CAI_DAT!$B$5)),2),$Q16=1,OR(AND($M16="SO",ISNUMBER($P16),$P16&gt;0),AND($M16="MO",ISNUMBER($O16),$O16&gt;0))),1,0)),0)</f>
        <v>0</v>
      </c>
      <c r="U16" t="str">
        <f t="shared" si="6"/>
        <v/>
      </c>
      <c r="V16" t="str">
        <f t="shared" si="7"/>
        <v/>
      </c>
      <c r="W16" t="str">
        <f>IFERROR(IF($T16=0,"",COUNTIFS($T$3:$T$202,1,$V$3:$V$202,"&lt;"&amp;$V16)+COUNTIFS($T$3:$T16,1,$V$3:$V16,$V16)),"")</f>
        <v/>
      </c>
      <c r="X16" t="str">
        <f t="shared" si="8"/>
        <v/>
      </c>
    </row>
    <row r="17" spans="1:24">
      <c r="A17" s="5">
        <f t="shared" si="0"/>
        <v>15</v>
      </c>
      <c r="B17" s="13" t="str">
        <f t="shared" ca="1" si="1"/>
        <v/>
      </c>
      <c r="C17" s="16" t="str">
        <f t="shared" ca="1" si="2"/>
        <v/>
      </c>
      <c r="D17" s="19" t="str">
        <f t="shared" ca="1" si="3"/>
        <v/>
      </c>
      <c r="E17" s="19" t="str">
        <f ca="1">IFERROR(IF($H17="","",INDEX(LENH_GOC!$H$4:$H$203,MATCH(INDEX($K$3:$K$202,MATCH($H17,$W$3:$W$202,0)),LENH_GOC!$A$4:$A$203,0))),"")</f>
        <v/>
      </c>
      <c r="F17" s="19" t="str">
        <f t="shared" ca="1" si="4"/>
        <v/>
      </c>
      <c r="G17" s="6" t="str">
        <f t="shared" ca="1" si="5"/>
        <v/>
      </c>
      <c r="H17" t="str">
        <f ca="1">IFERROR(IF(ROW()-2&lt;=CAI_DAT!$B$10,ROW()-2,""),"")</f>
        <v/>
      </c>
      <c r="J17" t="str">
        <f>IF(LENH_GOC!A18="","",18)</f>
        <v/>
      </c>
      <c r="K17" t="str">
        <f>IF(LENH_GOC!A18="","",LENH_GOC!A18)</f>
        <v/>
      </c>
      <c r="L17" t="str">
        <f>IF($K17="","",IFERROR(TRIM(LENH_GOC!C18),""))</f>
        <v/>
      </c>
      <c r="M17" t="str">
        <f>IF($K17="","",IFERROR(UPPER(TRIM(LENH_GOC!Y18)),""))</f>
        <v/>
      </c>
      <c r="N17" s="43" t="str">
        <f>IFERROR(IF($K17="","",IF(LENH_GOC!G18="","",IF(ISNUMBER(LENH_GOC!G18),LENH_GOC!G18,DATE(VALUE(MID(LENH_GOC!G18,7,4)),VALUE(MID(LENH_GOC!G18,4,2)),VALUE(LEFT(LENH_GOC!G18,2)))+TIME(VALUE(MID(LENH_GOC!G18,12,2)),VALUE(MID(LENH_GOC!G18,15,2)),VALUE(MID(LENH_GOC!G18,18,2)))))), "")</f>
        <v/>
      </c>
      <c r="O17" t="str">
        <f>IF($K17="","",IF(LENH_GOC!E18="","",LENH_GOC!E18))</f>
        <v/>
      </c>
      <c r="P17" t="str">
        <f>IF($K17="","",IF(LENH_GOC!F18="","",LENH_GOC!F18))</f>
        <v/>
      </c>
      <c r="Q17" t="str">
        <f>IFERROR(IF($K17="","",IF(LENH_GOC!P18="","",IFERROR(VALUE(LENH_GOC!P18),IF(OR(LENH_GOC!P18=TRUE,UPPER(TRIM(LENH_GOC!P18))="TRUE"),1,0)))),"")</f>
        <v/>
      </c>
      <c r="R17" t="str">
        <f>IF($K17="","",IF(LENH_GOC!Q18="","",LENH_GOC!Q18))</f>
        <v/>
      </c>
      <c r="S17" s="43" t="str">
        <f>IF($K17="","",IF(LENH_GOC!R18="","",LENH_GOC!R18))</f>
        <v/>
      </c>
      <c r="T17">
        <f>IFERROR(IF($K17="",0,IF(AND(ISNUMBER($N17),INT($N17)=CAI_DAT!$B$4,LEFT(UPPER(TRIM($L17)),2)=LEFT(UPPER(TRIM(CAI_DAT!$B$5)),2),$Q17=1,OR(AND($M17="SO",ISNUMBER($P17),$P17&gt;0),AND($M17="MO",ISNUMBER($O17),$O17&gt;0))),1,0)),0)</f>
        <v>0</v>
      </c>
      <c r="U17" t="str">
        <f t="shared" si="6"/>
        <v/>
      </c>
      <c r="V17" t="str">
        <f t="shared" si="7"/>
        <v/>
      </c>
      <c r="W17" t="str">
        <f>IFERROR(IF($T17=0,"",COUNTIFS($T$3:$T$202,1,$V$3:$V$202,"&lt;"&amp;$V17)+COUNTIFS($T$3:$T17,1,$V$3:$V17,$V17)),"")</f>
        <v/>
      </c>
      <c r="X17" t="str">
        <f t="shared" si="8"/>
        <v/>
      </c>
    </row>
    <row r="18" spans="1:24">
      <c r="A18" s="5">
        <f t="shared" si="0"/>
        <v>16</v>
      </c>
      <c r="B18" s="13" t="str">
        <f t="shared" ca="1" si="1"/>
        <v/>
      </c>
      <c r="C18" s="16" t="str">
        <f t="shared" ca="1" si="2"/>
        <v/>
      </c>
      <c r="D18" s="19" t="str">
        <f t="shared" ca="1" si="3"/>
        <v/>
      </c>
      <c r="E18" s="19" t="str">
        <f ca="1">IFERROR(IF($H18="","",INDEX(LENH_GOC!$H$4:$H$203,MATCH(INDEX($K$3:$K$202,MATCH($H18,$W$3:$W$202,0)),LENH_GOC!$A$4:$A$203,0))),"")</f>
        <v/>
      </c>
      <c r="F18" s="19" t="str">
        <f t="shared" ca="1" si="4"/>
        <v/>
      </c>
      <c r="G18" s="6" t="str">
        <f t="shared" ca="1" si="5"/>
        <v/>
      </c>
      <c r="H18" t="str">
        <f ca="1">IFERROR(IF(ROW()-2&lt;=CAI_DAT!$B$10,ROW()-2,""),"")</f>
        <v/>
      </c>
      <c r="J18" t="str">
        <f>IF(LENH_GOC!A19="","",19)</f>
        <v/>
      </c>
      <c r="K18" t="str">
        <f>IF(LENH_GOC!A19="","",LENH_GOC!A19)</f>
        <v/>
      </c>
      <c r="L18" t="str">
        <f>IF($K18="","",IFERROR(TRIM(LENH_GOC!C19),""))</f>
        <v/>
      </c>
      <c r="M18" t="str">
        <f>IF($K18="","",IFERROR(UPPER(TRIM(LENH_GOC!Y19)),""))</f>
        <v/>
      </c>
      <c r="N18" s="43" t="str">
        <f>IFERROR(IF($K18="","",IF(LENH_GOC!G19="","",IF(ISNUMBER(LENH_GOC!G19),LENH_GOC!G19,DATE(VALUE(MID(LENH_GOC!G19,7,4)),VALUE(MID(LENH_GOC!G19,4,2)),VALUE(LEFT(LENH_GOC!G19,2)))+TIME(VALUE(MID(LENH_GOC!G19,12,2)),VALUE(MID(LENH_GOC!G19,15,2)),VALUE(MID(LENH_GOC!G19,18,2)))))), "")</f>
        <v/>
      </c>
      <c r="O18" t="str">
        <f>IF($K18="","",IF(LENH_GOC!E19="","",LENH_GOC!E19))</f>
        <v/>
      </c>
      <c r="P18" t="str">
        <f>IF($K18="","",IF(LENH_GOC!F19="","",LENH_GOC!F19))</f>
        <v/>
      </c>
      <c r="Q18" t="str">
        <f>IFERROR(IF($K18="","",IF(LENH_GOC!P19="","",IFERROR(VALUE(LENH_GOC!P19),IF(OR(LENH_GOC!P19=TRUE,UPPER(TRIM(LENH_GOC!P19))="TRUE"),1,0)))),"")</f>
        <v/>
      </c>
      <c r="R18" t="str">
        <f>IF($K18="","",IF(LENH_GOC!Q19="","",LENH_GOC!Q19))</f>
        <v/>
      </c>
      <c r="S18" s="43" t="str">
        <f>IF($K18="","",IF(LENH_GOC!R19="","",LENH_GOC!R19))</f>
        <v/>
      </c>
      <c r="T18">
        <f>IFERROR(IF($K18="",0,IF(AND(ISNUMBER($N18),INT($N18)=CAI_DAT!$B$4,LEFT(UPPER(TRIM($L18)),2)=LEFT(UPPER(TRIM(CAI_DAT!$B$5)),2),$Q18=1,OR(AND($M18="SO",ISNUMBER($P18),$P18&gt;0),AND($M18="MO",ISNUMBER($O18),$O18&gt;0))),1,0)),0)</f>
        <v>0</v>
      </c>
      <c r="U18" t="str">
        <f t="shared" si="6"/>
        <v/>
      </c>
      <c r="V18" t="str">
        <f t="shared" si="7"/>
        <v/>
      </c>
      <c r="W18" t="str">
        <f>IFERROR(IF($T18=0,"",COUNTIFS($T$3:$T$202,1,$V$3:$V$202,"&lt;"&amp;$V18)+COUNTIFS($T$3:$T18,1,$V$3:$V18,$V18)),"")</f>
        <v/>
      </c>
      <c r="X18" t="str">
        <f t="shared" si="8"/>
        <v/>
      </c>
    </row>
    <row r="19" spans="1:24">
      <c r="A19" s="5">
        <f t="shared" si="0"/>
        <v>17</v>
      </c>
      <c r="B19" s="13" t="str">
        <f t="shared" ca="1" si="1"/>
        <v/>
      </c>
      <c r="C19" s="16" t="str">
        <f t="shared" ca="1" si="2"/>
        <v/>
      </c>
      <c r="D19" s="19" t="str">
        <f t="shared" ca="1" si="3"/>
        <v/>
      </c>
      <c r="E19" s="19" t="str">
        <f ca="1">IFERROR(IF($H19="","",INDEX(LENH_GOC!$H$4:$H$203,MATCH(INDEX($K$3:$K$202,MATCH($H19,$W$3:$W$202,0)),LENH_GOC!$A$4:$A$203,0))),"")</f>
        <v/>
      </c>
      <c r="F19" s="19" t="str">
        <f t="shared" ca="1" si="4"/>
        <v/>
      </c>
      <c r="G19" s="6" t="str">
        <f t="shared" ca="1" si="5"/>
        <v/>
      </c>
      <c r="H19" t="str">
        <f ca="1">IFERROR(IF(ROW()-2&lt;=CAI_DAT!$B$10,ROW()-2,""),"")</f>
        <v/>
      </c>
      <c r="J19" t="str">
        <f>IF(LENH_GOC!A20="","",20)</f>
        <v/>
      </c>
      <c r="K19" t="str">
        <f>IF(LENH_GOC!A20="","",LENH_GOC!A20)</f>
        <v/>
      </c>
      <c r="L19" t="str">
        <f>IF($K19="","",IFERROR(TRIM(LENH_GOC!C20),""))</f>
        <v/>
      </c>
      <c r="M19" t="str">
        <f>IF($K19="","",IFERROR(UPPER(TRIM(LENH_GOC!Y20)),""))</f>
        <v/>
      </c>
      <c r="N19" s="43" t="str">
        <f>IFERROR(IF($K19="","",IF(LENH_GOC!G20="","",IF(ISNUMBER(LENH_GOC!G20),LENH_GOC!G20,DATE(VALUE(MID(LENH_GOC!G20,7,4)),VALUE(MID(LENH_GOC!G20,4,2)),VALUE(LEFT(LENH_GOC!G20,2)))+TIME(VALUE(MID(LENH_GOC!G20,12,2)),VALUE(MID(LENH_GOC!G20,15,2)),VALUE(MID(LENH_GOC!G20,18,2)))))), "")</f>
        <v/>
      </c>
      <c r="O19" t="str">
        <f>IF($K19="","",IF(LENH_GOC!E20="","",LENH_GOC!E20))</f>
        <v/>
      </c>
      <c r="P19" t="str">
        <f>IF($K19="","",IF(LENH_GOC!F20="","",LENH_GOC!F20))</f>
        <v/>
      </c>
      <c r="Q19" t="str">
        <f>IFERROR(IF($K19="","",IF(LENH_GOC!P20="","",IFERROR(VALUE(LENH_GOC!P20),IF(OR(LENH_GOC!P20=TRUE,UPPER(TRIM(LENH_GOC!P20))="TRUE"),1,0)))),"")</f>
        <v/>
      </c>
      <c r="R19" t="str">
        <f>IF($K19="","",IF(LENH_GOC!Q20="","",LENH_GOC!Q20))</f>
        <v/>
      </c>
      <c r="S19" s="43" t="str">
        <f>IF($K19="","",IF(LENH_GOC!R20="","",LENH_GOC!R20))</f>
        <v/>
      </c>
      <c r="T19">
        <f>IFERROR(IF($K19="",0,IF(AND(ISNUMBER($N19),INT($N19)=CAI_DAT!$B$4,LEFT(UPPER(TRIM($L19)),2)=LEFT(UPPER(TRIM(CAI_DAT!$B$5)),2),$Q19=1,OR(AND($M19="SO",ISNUMBER($P19),$P19&gt;0),AND($M19="MO",ISNUMBER($O19),$O19&gt;0))),1,0)),0)</f>
        <v>0</v>
      </c>
      <c r="U19" t="str">
        <f t="shared" si="6"/>
        <v/>
      </c>
      <c r="V19" t="str">
        <f t="shared" si="7"/>
        <v/>
      </c>
      <c r="W19" t="str">
        <f>IFERROR(IF($T19=0,"",COUNTIFS($T$3:$T$202,1,$V$3:$V$202,"&lt;"&amp;$V19)+COUNTIFS($T$3:$T19,1,$V$3:$V19,$V19)),"")</f>
        <v/>
      </c>
      <c r="X19" t="str">
        <f t="shared" si="8"/>
        <v/>
      </c>
    </row>
    <row r="20" spans="1:24">
      <c r="A20" s="5">
        <f t="shared" si="0"/>
        <v>18</v>
      </c>
      <c r="B20" s="13" t="str">
        <f t="shared" ca="1" si="1"/>
        <v/>
      </c>
      <c r="C20" s="16" t="str">
        <f t="shared" ca="1" si="2"/>
        <v/>
      </c>
      <c r="D20" s="19" t="str">
        <f t="shared" ca="1" si="3"/>
        <v/>
      </c>
      <c r="E20" s="19" t="str">
        <f ca="1">IFERROR(IF($H20="","",INDEX(LENH_GOC!$H$4:$H$203,MATCH(INDEX($K$3:$K$202,MATCH($H20,$W$3:$W$202,0)),LENH_GOC!$A$4:$A$203,0))),"")</f>
        <v/>
      </c>
      <c r="F20" s="19" t="str">
        <f t="shared" ca="1" si="4"/>
        <v/>
      </c>
      <c r="G20" s="6" t="str">
        <f t="shared" ca="1" si="5"/>
        <v/>
      </c>
      <c r="H20" t="str">
        <f ca="1">IFERROR(IF(ROW()-2&lt;=CAI_DAT!$B$10,ROW()-2,""),"")</f>
        <v/>
      </c>
      <c r="J20" t="str">
        <f>IF(LENH_GOC!A21="","",21)</f>
        <v/>
      </c>
      <c r="K20" t="str">
        <f>IF(LENH_GOC!A21="","",LENH_GOC!A21)</f>
        <v/>
      </c>
      <c r="L20" t="str">
        <f>IF($K20="","",IFERROR(TRIM(LENH_GOC!C21),""))</f>
        <v/>
      </c>
      <c r="M20" t="str">
        <f>IF($K20="","",IFERROR(UPPER(TRIM(LENH_GOC!Y21)),""))</f>
        <v/>
      </c>
      <c r="N20" s="43" t="str">
        <f>IFERROR(IF($K20="","",IF(LENH_GOC!G21="","",IF(ISNUMBER(LENH_GOC!G21),LENH_GOC!G21,DATE(VALUE(MID(LENH_GOC!G21,7,4)),VALUE(MID(LENH_GOC!G21,4,2)),VALUE(LEFT(LENH_GOC!G21,2)))+TIME(VALUE(MID(LENH_GOC!G21,12,2)),VALUE(MID(LENH_GOC!G21,15,2)),VALUE(MID(LENH_GOC!G21,18,2)))))), "")</f>
        <v/>
      </c>
      <c r="O20" t="str">
        <f>IF($K20="","",IF(LENH_GOC!E21="","",LENH_GOC!E21))</f>
        <v/>
      </c>
      <c r="P20" t="str">
        <f>IF($K20="","",IF(LENH_GOC!F21="","",LENH_GOC!F21))</f>
        <v/>
      </c>
      <c r="Q20" t="str">
        <f>IFERROR(IF($K20="","",IF(LENH_GOC!P21="","",IFERROR(VALUE(LENH_GOC!P21),IF(OR(LENH_GOC!P21=TRUE,UPPER(TRIM(LENH_GOC!P21))="TRUE"),1,0)))),"")</f>
        <v/>
      </c>
      <c r="R20" t="str">
        <f>IF($K20="","",IF(LENH_GOC!Q21="","",LENH_GOC!Q21))</f>
        <v/>
      </c>
      <c r="S20" s="43" t="str">
        <f>IF($K20="","",IF(LENH_GOC!R21="","",LENH_GOC!R21))</f>
        <v/>
      </c>
      <c r="T20">
        <f>IFERROR(IF($K20="",0,IF(AND(ISNUMBER($N20),INT($N20)=CAI_DAT!$B$4,LEFT(UPPER(TRIM($L20)),2)=LEFT(UPPER(TRIM(CAI_DAT!$B$5)),2),$Q20=1,OR(AND($M20="SO",ISNUMBER($P20),$P20&gt;0),AND($M20="MO",ISNUMBER($O20),$O20&gt;0))),1,0)),0)</f>
        <v>0</v>
      </c>
      <c r="U20" t="str">
        <f t="shared" si="6"/>
        <v/>
      </c>
      <c r="V20" t="str">
        <f t="shared" si="7"/>
        <v/>
      </c>
      <c r="W20" t="str">
        <f>IFERROR(IF($T20=0,"",COUNTIFS($T$3:$T$202,1,$V$3:$V$202,"&lt;"&amp;$V20)+COUNTIFS($T$3:$T20,1,$V$3:$V20,$V20)),"")</f>
        <v/>
      </c>
      <c r="X20" t="str">
        <f t="shared" si="8"/>
        <v/>
      </c>
    </row>
    <row r="21" spans="1:24">
      <c r="A21" s="5">
        <f t="shared" si="0"/>
        <v>19</v>
      </c>
      <c r="B21" s="13" t="str">
        <f t="shared" ca="1" si="1"/>
        <v/>
      </c>
      <c r="C21" s="16" t="str">
        <f t="shared" ca="1" si="2"/>
        <v/>
      </c>
      <c r="D21" s="19" t="str">
        <f t="shared" ca="1" si="3"/>
        <v/>
      </c>
      <c r="E21" s="19" t="str">
        <f ca="1">IFERROR(IF($H21="","",INDEX(LENH_GOC!$H$4:$H$203,MATCH(INDEX($K$3:$K$202,MATCH($H21,$W$3:$W$202,0)),LENH_GOC!$A$4:$A$203,0))),"")</f>
        <v/>
      </c>
      <c r="F21" s="19" t="str">
        <f t="shared" ca="1" si="4"/>
        <v/>
      </c>
      <c r="G21" s="6" t="str">
        <f t="shared" ca="1" si="5"/>
        <v/>
      </c>
      <c r="H21" t="str">
        <f ca="1">IFERROR(IF(ROW()-2&lt;=CAI_DAT!$B$10,ROW()-2,""),"")</f>
        <v/>
      </c>
      <c r="J21" t="str">
        <f>IF(LENH_GOC!A22="","",22)</f>
        <v/>
      </c>
      <c r="K21" t="str">
        <f>IF(LENH_GOC!A22="","",LENH_GOC!A22)</f>
        <v/>
      </c>
      <c r="L21" t="str">
        <f>IF($K21="","",IFERROR(TRIM(LENH_GOC!C22),""))</f>
        <v/>
      </c>
      <c r="M21" t="str">
        <f>IF($K21="","",IFERROR(UPPER(TRIM(LENH_GOC!Y22)),""))</f>
        <v/>
      </c>
      <c r="N21" s="43" t="str">
        <f>IFERROR(IF($K21="","",IF(LENH_GOC!G22="","",IF(ISNUMBER(LENH_GOC!G22),LENH_GOC!G22,DATE(VALUE(MID(LENH_GOC!G22,7,4)),VALUE(MID(LENH_GOC!G22,4,2)),VALUE(LEFT(LENH_GOC!G22,2)))+TIME(VALUE(MID(LENH_GOC!G22,12,2)),VALUE(MID(LENH_GOC!G22,15,2)),VALUE(MID(LENH_GOC!G22,18,2)))))), "")</f>
        <v/>
      </c>
      <c r="O21" t="str">
        <f>IF($K21="","",IF(LENH_GOC!E22="","",LENH_GOC!E22))</f>
        <v/>
      </c>
      <c r="P21" t="str">
        <f>IF($K21="","",IF(LENH_GOC!F22="","",LENH_GOC!F22))</f>
        <v/>
      </c>
      <c r="Q21" t="str">
        <f>IFERROR(IF($K21="","",IF(LENH_GOC!P22="","",IFERROR(VALUE(LENH_GOC!P22),IF(OR(LENH_GOC!P22=TRUE,UPPER(TRIM(LENH_GOC!P22))="TRUE"),1,0)))),"")</f>
        <v/>
      </c>
      <c r="R21" t="str">
        <f>IF($K21="","",IF(LENH_GOC!Q22="","",LENH_GOC!Q22))</f>
        <v/>
      </c>
      <c r="S21" s="43" t="str">
        <f>IF($K21="","",IF(LENH_GOC!R22="","",LENH_GOC!R22))</f>
        <v/>
      </c>
      <c r="T21">
        <f>IFERROR(IF($K21="",0,IF(AND(ISNUMBER($N21),INT($N21)=CAI_DAT!$B$4,LEFT(UPPER(TRIM($L21)),2)=LEFT(UPPER(TRIM(CAI_DAT!$B$5)),2),$Q21=1,OR(AND($M21="SO",ISNUMBER($P21),$P21&gt;0),AND($M21="MO",ISNUMBER($O21),$O21&gt;0))),1,0)),0)</f>
        <v>0</v>
      </c>
      <c r="U21" t="str">
        <f t="shared" si="6"/>
        <v/>
      </c>
      <c r="V21" t="str">
        <f t="shared" si="7"/>
        <v/>
      </c>
      <c r="W21" t="str">
        <f>IFERROR(IF($T21=0,"",COUNTIFS($T$3:$T$202,1,$V$3:$V$202,"&lt;"&amp;$V21)+COUNTIFS($T$3:$T21,1,$V$3:$V21,$V21)),"")</f>
        <v/>
      </c>
      <c r="X21" t="str">
        <f t="shared" si="8"/>
        <v/>
      </c>
    </row>
    <row r="22" spans="1:24">
      <c r="A22" s="5">
        <f t="shared" si="0"/>
        <v>20</v>
      </c>
      <c r="B22" s="13" t="str">
        <f t="shared" ca="1" si="1"/>
        <v/>
      </c>
      <c r="C22" s="16" t="str">
        <f t="shared" ca="1" si="2"/>
        <v/>
      </c>
      <c r="D22" s="19" t="str">
        <f t="shared" ca="1" si="3"/>
        <v/>
      </c>
      <c r="E22" s="19" t="str">
        <f ca="1">IFERROR(IF($H22="","",INDEX(LENH_GOC!$H$4:$H$203,MATCH(INDEX($K$3:$K$202,MATCH($H22,$W$3:$W$202,0)),LENH_GOC!$A$4:$A$203,0))),"")</f>
        <v/>
      </c>
      <c r="F22" s="19" t="str">
        <f t="shared" ca="1" si="4"/>
        <v/>
      </c>
      <c r="G22" s="6" t="str">
        <f t="shared" ca="1" si="5"/>
        <v/>
      </c>
      <c r="H22" t="str">
        <f ca="1">IFERROR(IF(ROW()-2&lt;=CAI_DAT!$B$10,ROW()-2,""),"")</f>
        <v/>
      </c>
      <c r="J22" t="str">
        <f>IF(LENH_GOC!A23="","",23)</f>
        <v/>
      </c>
      <c r="K22" t="str">
        <f>IF(LENH_GOC!A23="","",LENH_GOC!A23)</f>
        <v/>
      </c>
      <c r="L22" t="str">
        <f>IF($K22="","",IFERROR(TRIM(LENH_GOC!C23),""))</f>
        <v/>
      </c>
      <c r="M22" t="str">
        <f>IF($K22="","",IFERROR(UPPER(TRIM(LENH_GOC!Y23)),""))</f>
        <v/>
      </c>
      <c r="N22" s="43" t="str">
        <f>IFERROR(IF($K22="","",IF(LENH_GOC!G23="","",IF(ISNUMBER(LENH_GOC!G23),LENH_GOC!G23,DATE(VALUE(MID(LENH_GOC!G23,7,4)),VALUE(MID(LENH_GOC!G23,4,2)),VALUE(LEFT(LENH_GOC!G23,2)))+TIME(VALUE(MID(LENH_GOC!G23,12,2)),VALUE(MID(LENH_GOC!G23,15,2)),VALUE(MID(LENH_GOC!G23,18,2)))))), "")</f>
        <v/>
      </c>
      <c r="O22" t="str">
        <f>IF($K22="","",IF(LENH_GOC!E23="","",LENH_GOC!E23))</f>
        <v/>
      </c>
      <c r="P22" t="str">
        <f>IF($K22="","",IF(LENH_GOC!F23="","",LENH_GOC!F23))</f>
        <v/>
      </c>
      <c r="Q22" t="str">
        <f>IFERROR(IF($K22="","",IF(LENH_GOC!P23="","",IFERROR(VALUE(LENH_GOC!P23),IF(OR(LENH_GOC!P23=TRUE,UPPER(TRIM(LENH_GOC!P23))="TRUE"),1,0)))),"")</f>
        <v/>
      </c>
      <c r="R22" t="str">
        <f>IF($K22="","",IF(LENH_GOC!Q23="","",LENH_GOC!Q23))</f>
        <v/>
      </c>
      <c r="S22" s="43" t="str">
        <f>IF($K22="","",IF(LENH_GOC!R23="","",LENH_GOC!R23))</f>
        <v/>
      </c>
      <c r="T22">
        <f>IFERROR(IF($K22="",0,IF(AND(ISNUMBER($N22),INT($N22)=CAI_DAT!$B$4,LEFT(UPPER(TRIM($L22)),2)=LEFT(UPPER(TRIM(CAI_DAT!$B$5)),2),$Q22=1,OR(AND($M22="SO",ISNUMBER($P22),$P22&gt;0),AND($M22="MO",ISNUMBER($O22),$O22&gt;0))),1,0)),0)</f>
        <v>0</v>
      </c>
      <c r="U22" t="str">
        <f t="shared" si="6"/>
        <v/>
      </c>
      <c r="V22" t="str">
        <f t="shared" si="7"/>
        <v/>
      </c>
      <c r="W22" t="str">
        <f>IFERROR(IF($T22=0,"",COUNTIFS($T$3:$T$202,1,$V$3:$V$202,"&lt;"&amp;$V22)+COUNTIFS($T$3:$T22,1,$V$3:$V22,$V22)),"")</f>
        <v/>
      </c>
      <c r="X22" t="str">
        <f t="shared" si="8"/>
        <v/>
      </c>
    </row>
    <row r="23" spans="1:24">
      <c r="A23" s="5">
        <f t="shared" si="0"/>
        <v>21</v>
      </c>
      <c r="B23" s="13" t="str">
        <f t="shared" ca="1" si="1"/>
        <v/>
      </c>
      <c r="C23" s="16" t="str">
        <f t="shared" ca="1" si="2"/>
        <v/>
      </c>
      <c r="D23" s="19" t="str">
        <f t="shared" ca="1" si="3"/>
        <v/>
      </c>
      <c r="E23" s="19" t="str">
        <f ca="1">IFERROR(IF($H23="","",INDEX(LENH_GOC!$H$4:$H$203,MATCH(INDEX($K$3:$K$202,MATCH($H23,$W$3:$W$202,0)),LENH_GOC!$A$4:$A$203,0))),"")</f>
        <v/>
      </c>
      <c r="F23" s="19" t="str">
        <f t="shared" ca="1" si="4"/>
        <v/>
      </c>
      <c r="G23" s="6" t="str">
        <f t="shared" ca="1" si="5"/>
        <v/>
      </c>
      <c r="H23" t="str">
        <f ca="1">IFERROR(IF(ROW()-2&lt;=CAI_DAT!$B$10,ROW()-2,""),"")</f>
        <v/>
      </c>
      <c r="J23" t="str">
        <f>IF(LENH_GOC!A24="","",24)</f>
        <v/>
      </c>
      <c r="K23" t="str">
        <f>IF(LENH_GOC!A24="","",LENH_GOC!A24)</f>
        <v/>
      </c>
      <c r="L23" t="str">
        <f>IF($K23="","",IFERROR(TRIM(LENH_GOC!C24),""))</f>
        <v/>
      </c>
      <c r="M23" t="str">
        <f>IF($K23="","",IFERROR(UPPER(TRIM(LENH_GOC!Y24)),""))</f>
        <v/>
      </c>
      <c r="N23" s="43" t="str">
        <f>IFERROR(IF($K23="","",IF(LENH_GOC!G24="","",IF(ISNUMBER(LENH_GOC!G24),LENH_GOC!G24,DATE(VALUE(MID(LENH_GOC!G24,7,4)),VALUE(MID(LENH_GOC!G24,4,2)),VALUE(LEFT(LENH_GOC!G24,2)))+TIME(VALUE(MID(LENH_GOC!G24,12,2)),VALUE(MID(LENH_GOC!G24,15,2)),VALUE(MID(LENH_GOC!G24,18,2)))))), "")</f>
        <v/>
      </c>
      <c r="O23" t="str">
        <f>IF($K23="","",IF(LENH_GOC!E24="","",LENH_GOC!E24))</f>
        <v/>
      </c>
      <c r="P23" t="str">
        <f>IF($K23="","",IF(LENH_GOC!F24="","",LENH_GOC!F24))</f>
        <v/>
      </c>
      <c r="Q23" t="str">
        <f>IFERROR(IF($K23="","",IF(LENH_GOC!P24="","",IFERROR(VALUE(LENH_GOC!P24),IF(OR(LENH_GOC!P24=TRUE,UPPER(TRIM(LENH_GOC!P24))="TRUE"),1,0)))),"")</f>
        <v/>
      </c>
      <c r="R23" t="str">
        <f>IF($K23="","",IF(LENH_GOC!Q24="","",LENH_GOC!Q24))</f>
        <v/>
      </c>
      <c r="S23" s="43" t="str">
        <f>IF($K23="","",IF(LENH_GOC!R24="","",LENH_GOC!R24))</f>
        <v/>
      </c>
      <c r="T23">
        <f>IFERROR(IF($K23="",0,IF(AND(ISNUMBER($N23),INT($N23)=CAI_DAT!$B$4,LEFT(UPPER(TRIM($L23)),2)=LEFT(UPPER(TRIM(CAI_DAT!$B$5)),2),$Q23=1,OR(AND($M23="SO",ISNUMBER($P23),$P23&gt;0),AND($M23="MO",ISNUMBER($O23),$O23&gt;0))),1,0)),0)</f>
        <v>0</v>
      </c>
      <c r="U23" t="str">
        <f t="shared" si="6"/>
        <v/>
      </c>
      <c r="V23" t="str">
        <f t="shared" si="7"/>
        <v/>
      </c>
      <c r="W23" t="str">
        <f>IFERROR(IF($T23=0,"",COUNTIFS($T$3:$T$202,1,$V$3:$V$202,"&lt;"&amp;$V23)+COUNTIFS($T$3:$T23,1,$V$3:$V23,$V23)),"")</f>
        <v/>
      </c>
      <c r="X23" t="str">
        <f t="shared" si="8"/>
        <v/>
      </c>
    </row>
    <row r="24" spans="1:24">
      <c r="A24" s="5">
        <f t="shared" si="0"/>
        <v>22</v>
      </c>
      <c r="B24" s="13" t="str">
        <f t="shared" ca="1" si="1"/>
        <v/>
      </c>
      <c r="C24" s="16" t="str">
        <f t="shared" ca="1" si="2"/>
        <v/>
      </c>
      <c r="D24" s="19" t="str">
        <f t="shared" ca="1" si="3"/>
        <v/>
      </c>
      <c r="E24" s="19" t="str">
        <f ca="1">IFERROR(IF($H24="","",INDEX(LENH_GOC!$H$4:$H$203,MATCH(INDEX($K$3:$K$202,MATCH($H24,$W$3:$W$202,0)),LENH_GOC!$A$4:$A$203,0))),"")</f>
        <v/>
      </c>
      <c r="F24" s="19" t="str">
        <f t="shared" ca="1" si="4"/>
        <v/>
      </c>
      <c r="G24" s="6" t="str">
        <f t="shared" ca="1" si="5"/>
        <v/>
      </c>
      <c r="H24" t="str">
        <f ca="1">IFERROR(IF(ROW()-2&lt;=CAI_DAT!$B$10,ROW()-2,""),"")</f>
        <v/>
      </c>
      <c r="J24" t="str">
        <f>IF(LENH_GOC!A25="","",25)</f>
        <v/>
      </c>
      <c r="K24" t="str">
        <f>IF(LENH_GOC!A25="","",LENH_GOC!A25)</f>
        <v/>
      </c>
      <c r="L24" t="str">
        <f>IF($K24="","",IFERROR(TRIM(LENH_GOC!C25),""))</f>
        <v/>
      </c>
      <c r="M24" t="str">
        <f>IF($K24="","",IFERROR(UPPER(TRIM(LENH_GOC!Y25)),""))</f>
        <v/>
      </c>
      <c r="N24" s="43" t="str">
        <f>IFERROR(IF($K24="","",IF(LENH_GOC!G25="","",IF(ISNUMBER(LENH_GOC!G25),LENH_GOC!G25,DATE(VALUE(MID(LENH_GOC!G25,7,4)),VALUE(MID(LENH_GOC!G25,4,2)),VALUE(LEFT(LENH_GOC!G25,2)))+TIME(VALUE(MID(LENH_GOC!G25,12,2)),VALUE(MID(LENH_GOC!G25,15,2)),VALUE(MID(LENH_GOC!G25,18,2)))))), "")</f>
        <v/>
      </c>
      <c r="O24" t="str">
        <f>IF($K24="","",IF(LENH_GOC!E25="","",LENH_GOC!E25))</f>
        <v/>
      </c>
      <c r="P24" t="str">
        <f>IF($K24="","",IF(LENH_GOC!F25="","",LENH_GOC!F25))</f>
        <v/>
      </c>
      <c r="Q24" t="str">
        <f>IFERROR(IF($K24="","",IF(LENH_GOC!P25="","",IFERROR(VALUE(LENH_GOC!P25),IF(OR(LENH_GOC!P25=TRUE,UPPER(TRIM(LENH_GOC!P25))="TRUE"),1,0)))),"")</f>
        <v/>
      </c>
      <c r="R24" t="str">
        <f>IF($K24="","",IF(LENH_GOC!Q25="","",LENH_GOC!Q25))</f>
        <v/>
      </c>
      <c r="S24" s="43" t="str">
        <f>IF($K24="","",IF(LENH_GOC!R25="","",LENH_GOC!R25))</f>
        <v/>
      </c>
      <c r="T24">
        <f>IFERROR(IF($K24="",0,IF(AND(ISNUMBER($N24),INT($N24)=CAI_DAT!$B$4,LEFT(UPPER(TRIM($L24)),2)=LEFT(UPPER(TRIM(CAI_DAT!$B$5)),2),$Q24=1,OR(AND($M24="SO",ISNUMBER($P24),$P24&gt;0),AND($M24="MO",ISNUMBER($O24),$O24&gt;0))),1,0)),0)</f>
        <v>0</v>
      </c>
      <c r="U24" t="str">
        <f t="shared" si="6"/>
        <v/>
      </c>
      <c r="V24" t="str">
        <f t="shared" si="7"/>
        <v/>
      </c>
      <c r="W24" t="str">
        <f>IFERROR(IF($T24=0,"",COUNTIFS($T$3:$T$202,1,$V$3:$V$202,"&lt;"&amp;$V24)+COUNTIFS($T$3:$T24,1,$V$3:$V24,$V24)),"")</f>
        <v/>
      </c>
      <c r="X24" t="str">
        <f t="shared" si="8"/>
        <v/>
      </c>
    </row>
    <row r="25" spans="1:24">
      <c r="A25" s="5">
        <f t="shared" si="0"/>
        <v>23</v>
      </c>
      <c r="B25" s="13" t="str">
        <f t="shared" ca="1" si="1"/>
        <v/>
      </c>
      <c r="C25" s="16" t="str">
        <f t="shared" ca="1" si="2"/>
        <v/>
      </c>
      <c r="D25" s="19" t="str">
        <f t="shared" ca="1" si="3"/>
        <v/>
      </c>
      <c r="E25" s="19" t="str">
        <f ca="1">IFERROR(IF($H25="","",INDEX(LENH_GOC!$H$4:$H$203,MATCH(INDEX($K$3:$K$202,MATCH($H25,$W$3:$W$202,0)),LENH_GOC!$A$4:$A$203,0))),"")</f>
        <v/>
      </c>
      <c r="F25" s="19" t="str">
        <f t="shared" ca="1" si="4"/>
        <v/>
      </c>
      <c r="G25" s="6" t="str">
        <f t="shared" ca="1" si="5"/>
        <v/>
      </c>
      <c r="H25" t="str">
        <f ca="1">IFERROR(IF(ROW()-2&lt;=CAI_DAT!$B$10,ROW()-2,""),"")</f>
        <v/>
      </c>
      <c r="J25" t="str">
        <f>IF(LENH_GOC!A26="","",26)</f>
        <v/>
      </c>
      <c r="K25" t="str">
        <f>IF(LENH_GOC!A26="","",LENH_GOC!A26)</f>
        <v/>
      </c>
      <c r="L25" t="str">
        <f>IF($K25="","",IFERROR(TRIM(LENH_GOC!C26),""))</f>
        <v/>
      </c>
      <c r="M25" t="str">
        <f>IF($K25="","",IFERROR(UPPER(TRIM(LENH_GOC!Y26)),""))</f>
        <v/>
      </c>
      <c r="N25" s="43" t="str">
        <f>IFERROR(IF($K25="","",IF(LENH_GOC!G26="","",IF(ISNUMBER(LENH_GOC!G26),LENH_GOC!G26,DATE(VALUE(MID(LENH_GOC!G26,7,4)),VALUE(MID(LENH_GOC!G26,4,2)),VALUE(LEFT(LENH_GOC!G26,2)))+TIME(VALUE(MID(LENH_GOC!G26,12,2)),VALUE(MID(LENH_GOC!G26,15,2)),VALUE(MID(LENH_GOC!G26,18,2)))))), "")</f>
        <v/>
      </c>
      <c r="O25" t="str">
        <f>IF($K25="","",IF(LENH_GOC!E26="","",LENH_GOC!E26))</f>
        <v/>
      </c>
      <c r="P25" t="str">
        <f>IF($K25="","",IF(LENH_GOC!F26="","",LENH_GOC!F26))</f>
        <v/>
      </c>
      <c r="Q25" t="str">
        <f>IFERROR(IF($K25="","",IF(LENH_GOC!P26="","",IFERROR(VALUE(LENH_GOC!P26),IF(OR(LENH_GOC!P26=TRUE,UPPER(TRIM(LENH_GOC!P26))="TRUE"),1,0)))),"")</f>
        <v/>
      </c>
      <c r="R25" t="str">
        <f>IF($K25="","",IF(LENH_GOC!Q26="","",LENH_GOC!Q26))</f>
        <v/>
      </c>
      <c r="S25" s="43" t="str">
        <f>IF($K25="","",IF(LENH_GOC!R26="","",LENH_GOC!R26))</f>
        <v/>
      </c>
      <c r="T25">
        <f>IFERROR(IF($K25="",0,IF(AND(ISNUMBER($N25),INT($N25)=CAI_DAT!$B$4,LEFT(UPPER(TRIM($L25)),2)=LEFT(UPPER(TRIM(CAI_DAT!$B$5)),2),$Q25=1,OR(AND($M25="SO",ISNUMBER($P25),$P25&gt;0),AND($M25="MO",ISNUMBER($O25),$O25&gt;0))),1,0)),0)</f>
        <v>0</v>
      </c>
      <c r="U25" t="str">
        <f t="shared" si="6"/>
        <v/>
      </c>
      <c r="V25" t="str">
        <f t="shared" si="7"/>
        <v/>
      </c>
      <c r="W25" t="str">
        <f>IFERROR(IF($T25=0,"",COUNTIFS($T$3:$T$202,1,$V$3:$V$202,"&lt;"&amp;$V25)+COUNTIFS($T$3:$T25,1,$V$3:$V25,$V25)),"")</f>
        <v/>
      </c>
      <c r="X25" t="str">
        <f t="shared" si="8"/>
        <v/>
      </c>
    </row>
    <row r="26" spans="1:24">
      <c r="A26" s="5">
        <f t="shared" si="0"/>
        <v>24</v>
      </c>
      <c r="B26" s="13" t="str">
        <f t="shared" ca="1" si="1"/>
        <v/>
      </c>
      <c r="C26" s="16" t="str">
        <f t="shared" ca="1" si="2"/>
        <v/>
      </c>
      <c r="D26" s="19" t="str">
        <f t="shared" ca="1" si="3"/>
        <v/>
      </c>
      <c r="E26" s="19" t="str">
        <f ca="1">IFERROR(IF($H26="","",INDEX(LENH_GOC!$H$4:$H$203,MATCH(INDEX($K$3:$K$202,MATCH($H26,$W$3:$W$202,0)),LENH_GOC!$A$4:$A$203,0))),"")</f>
        <v/>
      </c>
      <c r="F26" s="19" t="str">
        <f t="shared" ca="1" si="4"/>
        <v/>
      </c>
      <c r="G26" s="6" t="str">
        <f t="shared" ca="1" si="5"/>
        <v/>
      </c>
      <c r="H26" t="str">
        <f ca="1">IFERROR(IF(ROW()-2&lt;=CAI_DAT!$B$10,ROW()-2,""),"")</f>
        <v/>
      </c>
      <c r="J26" t="str">
        <f>IF(LENH_GOC!A27="","",27)</f>
        <v/>
      </c>
      <c r="K26" t="str">
        <f>IF(LENH_GOC!A27="","",LENH_GOC!A27)</f>
        <v/>
      </c>
      <c r="L26" t="str">
        <f>IF($K26="","",IFERROR(TRIM(LENH_GOC!C27),""))</f>
        <v/>
      </c>
      <c r="M26" t="str">
        <f>IF($K26="","",IFERROR(UPPER(TRIM(LENH_GOC!Y27)),""))</f>
        <v/>
      </c>
      <c r="N26" s="43" t="str">
        <f>IFERROR(IF($K26="","",IF(LENH_GOC!G27="","",IF(ISNUMBER(LENH_GOC!G27),LENH_GOC!G27,DATE(VALUE(MID(LENH_GOC!G27,7,4)),VALUE(MID(LENH_GOC!G27,4,2)),VALUE(LEFT(LENH_GOC!G27,2)))+TIME(VALUE(MID(LENH_GOC!G27,12,2)),VALUE(MID(LENH_GOC!G27,15,2)),VALUE(MID(LENH_GOC!G27,18,2)))))), "")</f>
        <v/>
      </c>
      <c r="O26" t="str">
        <f>IF($K26="","",IF(LENH_GOC!E27="","",LENH_GOC!E27))</f>
        <v/>
      </c>
      <c r="P26" t="str">
        <f>IF($K26="","",IF(LENH_GOC!F27="","",LENH_GOC!F27))</f>
        <v/>
      </c>
      <c r="Q26" t="str">
        <f>IFERROR(IF($K26="","",IF(LENH_GOC!P27="","",IFERROR(VALUE(LENH_GOC!P27),IF(OR(LENH_GOC!P27=TRUE,UPPER(TRIM(LENH_GOC!P27))="TRUE"),1,0)))),"")</f>
        <v/>
      </c>
      <c r="R26" t="str">
        <f>IF($K26="","",IF(LENH_GOC!Q27="","",LENH_GOC!Q27))</f>
        <v/>
      </c>
      <c r="S26" s="43" t="str">
        <f>IF($K26="","",IF(LENH_GOC!R27="","",LENH_GOC!R27))</f>
        <v/>
      </c>
      <c r="T26">
        <f>IFERROR(IF($K26="",0,IF(AND(ISNUMBER($N26),INT($N26)=CAI_DAT!$B$4,LEFT(UPPER(TRIM($L26)),2)=LEFT(UPPER(TRIM(CAI_DAT!$B$5)),2),$Q26=1,OR(AND($M26="SO",ISNUMBER($P26),$P26&gt;0),AND($M26="MO",ISNUMBER($O26),$O26&gt;0))),1,0)),0)</f>
        <v>0</v>
      </c>
      <c r="U26" t="str">
        <f t="shared" si="6"/>
        <v/>
      </c>
      <c r="V26" t="str">
        <f t="shared" si="7"/>
        <v/>
      </c>
      <c r="W26" t="str">
        <f>IFERROR(IF($T26=0,"",COUNTIFS($T$3:$T$202,1,$V$3:$V$202,"&lt;"&amp;$V26)+COUNTIFS($T$3:$T26,1,$V$3:$V26,$V26)),"")</f>
        <v/>
      </c>
      <c r="X26" t="str">
        <f t="shared" si="8"/>
        <v/>
      </c>
    </row>
    <row r="27" spans="1:24">
      <c r="A27" s="5">
        <f t="shared" si="0"/>
        <v>25</v>
      </c>
      <c r="B27" s="13" t="str">
        <f t="shared" ca="1" si="1"/>
        <v/>
      </c>
      <c r="C27" s="16" t="str">
        <f t="shared" ca="1" si="2"/>
        <v/>
      </c>
      <c r="D27" s="19" t="str">
        <f t="shared" ca="1" si="3"/>
        <v/>
      </c>
      <c r="E27" s="19" t="str">
        <f ca="1">IFERROR(IF($H27="","",INDEX(LENH_GOC!$H$4:$H$203,MATCH(INDEX($K$3:$K$202,MATCH($H27,$W$3:$W$202,0)),LENH_GOC!$A$4:$A$203,0))),"")</f>
        <v/>
      </c>
      <c r="F27" s="19" t="str">
        <f t="shared" ca="1" si="4"/>
        <v/>
      </c>
      <c r="G27" s="6" t="str">
        <f t="shared" ca="1" si="5"/>
        <v/>
      </c>
      <c r="H27" t="str">
        <f ca="1">IFERROR(IF(ROW()-2&lt;=CAI_DAT!$B$10,ROW()-2,""),"")</f>
        <v/>
      </c>
      <c r="J27" t="str">
        <f>IF(LENH_GOC!A28="","",28)</f>
        <v/>
      </c>
      <c r="K27" t="str">
        <f>IF(LENH_GOC!A28="","",LENH_GOC!A28)</f>
        <v/>
      </c>
      <c r="L27" t="str">
        <f>IF($K27="","",IFERROR(TRIM(LENH_GOC!C28),""))</f>
        <v/>
      </c>
      <c r="M27" t="str">
        <f>IF($K27="","",IFERROR(UPPER(TRIM(LENH_GOC!Y28)),""))</f>
        <v/>
      </c>
      <c r="N27" s="43" t="str">
        <f>IFERROR(IF($K27="","",IF(LENH_GOC!G28="","",IF(ISNUMBER(LENH_GOC!G28),LENH_GOC!G28,DATE(VALUE(MID(LENH_GOC!G28,7,4)),VALUE(MID(LENH_GOC!G28,4,2)),VALUE(LEFT(LENH_GOC!G28,2)))+TIME(VALUE(MID(LENH_GOC!G28,12,2)),VALUE(MID(LENH_GOC!G28,15,2)),VALUE(MID(LENH_GOC!G28,18,2)))))), "")</f>
        <v/>
      </c>
      <c r="O27" t="str">
        <f>IF($K27="","",IF(LENH_GOC!E28="","",LENH_GOC!E28))</f>
        <v/>
      </c>
      <c r="P27" t="str">
        <f>IF($K27="","",IF(LENH_GOC!F28="","",LENH_GOC!F28))</f>
        <v/>
      </c>
      <c r="Q27" t="str">
        <f>IFERROR(IF($K27="","",IF(LENH_GOC!P28="","",IFERROR(VALUE(LENH_GOC!P28),IF(OR(LENH_GOC!P28=TRUE,UPPER(TRIM(LENH_GOC!P28))="TRUE"),1,0)))),"")</f>
        <v/>
      </c>
      <c r="R27" t="str">
        <f>IF($K27="","",IF(LENH_GOC!Q28="","",LENH_GOC!Q28))</f>
        <v/>
      </c>
      <c r="S27" s="43" t="str">
        <f>IF($K27="","",IF(LENH_GOC!R28="","",LENH_GOC!R28))</f>
        <v/>
      </c>
      <c r="T27">
        <f>IFERROR(IF($K27="",0,IF(AND(ISNUMBER($N27),INT($N27)=CAI_DAT!$B$4,LEFT(UPPER(TRIM($L27)),2)=LEFT(UPPER(TRIM(CAI_DAT!$B$5)),2),$Q27=1,OR(AND($M27="SO",ISNUMBER($P27),$P27&gt;0),AND($M27="MO",ISNUMBER($O27),$O27&gt;0))),1,0)),0)</f>
        <v>0</v>
      </c>
      <c r="U27" t="str">
        <f t="shared" si="6"/>
        <v/>
      </c>
      <c r="V27" t="str">
        <f t="shared" si="7"/>
        <v/>
      </c>
      <c r="W27" t="str">
        <f>IFERROR(IF($T27=0,"",COUNTIFS($T$3:$T$202,1,$V$3:$V$202,"&lt;"&amp;$V27)+COUNTIFS($T$3:$T27,1,$V$3:$V27,$V27)),"")</f>
        <v/>
      </c>
      <c r="X27" t="str">
        <f t="shared" si="8"/>
        <v/>
      </c>
    </row>
    <row r="28" spans="1:24">
      <c r="A28" s="5">
        <f t="shared" si="0"/>
        <v>26</v>
      </c>
      <c r="B28" s="13" t="str">
        <f t="shared" ca="1" si="1"/>
        <v/>
      </c>
      <c r="C28" s="16" t="str">
        <f t="shared" ca="1" si="2"/>
        <v/>
      </c>
      <c r="D28" s="19" t="str">
        <f t="shared" ca="1" si="3"/>
        <v/>
      </c>
      <c r="E28" s="19" t="str">
        <f ca="1">IFERROR(IF($H28="","",INDEX(LENH_GOC!$H$4:$H$203,MATCH(INDEX($K$3:$K$202,MATCH($H28,$W$3:$W$202,0)),LENH_GOC!$A$4:$A$203,0))),"")</f>
        <v/>
      </c>
      <c r="F28" s="19" t="str">
        <f t="shared" ca="1" si="4"/>
        <v/>
      </c>
      <c r="G28" s="6" t="str">
        <f t="shared" ca="1" si="5"/>
        <v/>
      </c>
      <c r="H28" t="str">
        <f ca="1">IFERROR(IF(ROW()-2&lt;=CAI_DAT!$B$10,ROW()-2,""),"")</f>
        <v/>
      </c>
      <c r="J28" t="str">
        <f>IF(LENH_GOC!A29="","",29)</f>
        <v/>
      </c>
      <c r="K28" t="str">
        <f>IF(LENH_GOC!A29="","",LENH_GOC!A29)</f>
        <v/>
      </c>
      <c r="L28" t="str">
        <f>IF($K28="","",IFERROR(TRIM(LENH_GOC!C29),""))</f>
        <v/>
      </c>
      <c r="M28" t="str">
        <f>IF($K28="","",IFERROR(UPPER(TRIM(LENH_GOC!Y29)),""))</f>
        <v/>
      </c>
      <c r="N28" s="43" t="str">
        <f>IFERROR(IF($K28="","",IF(LENH_GOC!G29="","",IF(ISNUMBER(LENH_GOC!G29),LENH_GOC!G29,DATE(VALUE(MID(LENH_GOC!G29,7,4)),VALUE(MID(LENH_GOC!G29,4,2)),VALUE(LEFT(LENH_GOC!G29,2)))+TIME(VALUE(MID(LENH_GOC!G29,12,2)),VALUE(MID(LENH_GOC!G29,15,2)),VALUE(MID(LENH_GOC!G29,18,2)))))), "")</f>
        <v/>
      </c>
      <c r="O28" t="str">
        <f>IF($K28="","",IF(LENH_GOC!E29="","",LENH_GOC!E29))</f>
        <v/>
      </c>
      <c r="P28" t="str">
        <f>IF($K28="","",IF(LENH_GOC!F29="","",LENH_GOC!F29))</f>
        <v/>
      </c>
      <c r="Q28" t="str">
        <f>IFERROR(IF($K28="","",IF(LENH_GOC!P29="","",IFERROR(VALUE(LENH_GOC!P29),IF(OR(LENH_GOC!P29=TRUE,UPPER(TRIM(LENH_GOC!P29))="TRUE"),1,0)))),"")</f>
        <v/>
      </c>
      <c r="R28" t="str">
        <f>IF($K28="","",IF(LENH_GOC!Q29="","",LENH_GOC!Q29))</f>
        <v/>
      </c>
      <c r="S28" s="43" t="str">
        <f>IF($K28="","",IF(LENH_GOC!R29="","",LENH_GOC!R29))</f>
        <v/>
      </c>
      <c r="T28">
        <f>IFERROR(IF($K28="",0,IF(AND(ISNUMBER($N28),INT($N28)=CAI_DAT!$B$4,LEFT(UPPER(TRIM($L28)),2)=LEFT(UPPER(TRIM(CAI_DAT!$B$5)),2),$Q28=1,OR(AND($M28="SO",ISNUMBER($P28),$P28&gt;0),AND($M28="MO",ISNUMBER($O28),$O28&gt;0))),1,0)),0)</f>
        <v>0</v>
      </c>
      <c r="U28" t="str">
        <f t="shared" si="6"/>
        <v/>
      </c>
      <c r="V28" t="str">
        <f t="shared" si="7"/>
        <v/>
      </c>
      <c r="W28" t="str">
        <f>IFERROR(IF($T28=0,"",COUNTIFS($T$3:$T$202,1,$V$3:$V$202,"&lt;"&amp;$V28)+COUNTIFS($T$3:$T28,1,$V$3:$V28,$V28)),"")</f>
        <v/>
      </c>
      <c r="X28" t="str">
        <f t="shared" si="8"/>
        <v/>
      </c>
    </row>
    <row r="29" spans="1:24">
      <c r="A29" s="5">
        <f t="shared" si="0"/>
        <v>27</v>
      </c>
      <c r="B29" s="13" t="str">
        <f t="shared" ca="1" si="1"/>
        <v/>
      </c>
      <c r="C29" s="16" t="str">
        <f t="shared" ca="1" si="2"/>
        <v/>
      </c>
      <c r="D29" s="19" t="str">
        <f t="shared" ca="1" si="3"/>
        <v/>
      </c>
      <c r="E29" s="19" t="str">
        <f ca="1">IFERROR(IF($H29="","",INDEX(LENH_GOC!$H$4:$H$203,MATCH(INDEX($K$3:$K$202,MATCH($H29,$W$3:$W$202,0)),LENH_GOC!$A$4:$A$203,0))),"")</f>
        <v/>
      </c>
      <c r="F29" s="19" t="str">
        <f t="shared" ca="1" si="4"/>
        <v/>
      </c>
      <c r="G29" s="6" t="str">
        <f t="shared" ca="1" si="5"/>
        <v/>
      </c>
      <c r="H29" t="str">
        <f ca="1">IFERROR(IF(ROW()-2&lt;=CAI_DAT!$B$10,ROW()-2,""),"")</f>
        <v/>
      </c>
      <c r="J29" t="str">
        <f>IF(LENH_GOC!A30="","",30)</f>
        <v/>
      </c>
      <c r="K29" t="str">
        <f>IF(LENH_GOC!A30="","",LENH_GOC!A30)</f>
        <v/>
      </c>
      <c r="L29" t="str">
        <f>IF($K29="","",IFERROR(TRIM(LENH_GOC!C30),""))</f>
        <v/>
      </c>
      <c r="M29" t="str">
        <f>IF($K29="","",IFERROR(UPPER(TRIM(LENH_GOC!Y30)),""))</f>
        <v/>
      </c>
      <c r="N29" s="43" t="str">
        <f>IFERROR(IF($K29="","",IF(LENH_GOC!G30="","",IF(ISNUMBER(LENH_GOC!G30),LENH_GOC!G30,DATE(VALUE(MID(LENH_GOC!G30,7,4)),VALUE(MID(LENH_GOC!G30,4,2)),VALUE(LEFT(LENH_GOC!G30,2)))+TIME(VALUE(MID(LENH_GOC!G30,12,2)),VALUE(MID(LENH_GOC!G30,15,2)),VALUE(MID(LENH_GOC!G30,18,2)))))), "")</f>
        <v/>
      </c>
      <c r="O29" t="str">
        <f>IF($K29="","",IF(LENH_GOC!E30="","",LENH_GOC!E30))</f>
        <v/>
      </c>
      <c r="P29" t="str">
        <f>IF($K29="","",IF(LENH_GOC!F30="","",LENH_GOC!F30))</f>
        <v/>
      </c>
      <c r="Q29" t="str">
        <f>IFERROR(IF($K29="","",IF(LENH_GOC!P30="","",IFERROR(VALUE(LENH_GOC!P30),IF(OR(LENH_GOC!P30=TRUE,UPPER(TRIM(LENH_GOC!P30))="TRUE"),1,0)))),"")</f>
        <v/>
      </c>
      <c r="R29" t="str">
        <f>IF($K29="","",IF(LENH_GOC!Q30="","",LENH_GOC!Q30))</f>
        <v/>
      </c>
      <c r="S29" s="43" t="str">
        <f>IF($K29="","",IF(LENH_GOC!R30="","",LENH_GOC!R30))</f>
        <v/>
      </c>
      <c r="T29">
        <f>IFERROR(IF($K29="",0,IF(AND(ISNUMBER($N29),INT($N29)=CAI_DAT!$B$4,LEFT(UPPER(TRIM($L29)),2)=LEFT(UPPER(TRIM(CAI_DAT!$B$5)),2),$Q29=1,OR(AND($M29="SO",ISNUMBER($P29),$P29&gt;0),AND($M29="MO",ISNUMBER($O29),$O29&gt;0))),1,0)),0)</f>
        <v>0</v>
      </c>
      <c r="U29" t="str">
        <f t="shared" si="6"/>
        <v/>
      </c>
      <c r="V29" t="str">
        <f t="shared" si="7"/>
        <v/>
      </c>
      <c r="W29" t="str">
        <f>IFERROR(IF($T29=0,"",COUNTIFS($T$3:$T$202,1,$V$3:$V$202,"&lt;"&amp;$V29)+COUNTIFS($T$3:$T29,1,$V$3:$V29,$V29)),"")</f>
        <v/>
      </c>
      <c r="X29" t="str">
        <f t="shared" si="8"/>
        <v/>
      </c>
    </row>
    <row r="30" spans="1:24">
      <c r="A30" s="5">
        <f t="shared" si="0"/>
        <v>28</v>
      </c>
      <c r="B30" s="13" t="str">
        <f t="shared" ca="1" si="1"/>
        <v/>
      </c>
      <c r="C30" s="16" t="str">
        <f t="shared" ca="1" si="2"/>
        <v/>
      </c>
      <c r="D30" s="19" t="str">
        <f t="shared" ca="1" si="3"/>
        <v/>
      </c>
      <c r="E30" s="19" t="str">
        <f ca="1">IFERROR(IF($H30="","",INDEX(LENH_GOC!$H$4:$H$203,MATCH(INDEX($K$3:$K$202,MATCH($H30,$W$3:$W$202,0)),LENH_GOC!$A$4:$A$203,0))),"")</f>
        <v/>
      </c>
      <c r="F30" s="19" t="str">
        <f t="shared" ca="1" si="4"/>
        <v/>
      </c>
      <c r="G30" s="6" t="str">
        <f t="shared" ca="1" si="5"/>
        <v/>
      </c>
      <c r="H30" t="str">
        <f ca="1">IFERROR(IF(ROW()-2&lt;=CAI_DAT!$B$10,ROW()-2,""),"")</f>
        <v/>
      </c>
      <c r="J30" t="str">
        <f>IF(LENH_GOC!A31="","",31)</f>
        <v/>
      </c>
      <c r="K30" t="str">
        <f>IF(LENH_GOC!A31="","",LENH_GOC!A31)</f>
        <v/>
      </c>
      <c r="L30" t="str">
        <f>IF($K30="","",IFERROR(TRIM(LENH_GOC!C31),""))</f>
        <v/>
      </c>
      <c r="M30" t="str">
        <f>IF($K30="","",IFERROR(UPPER(TRIM(LENH_GOC!Y31)),""))</f>
        <v/>
      </c>
      <c r="N30" s="43" t="str">
        <f>IFERROR(IF($K30="","",IF(LENH_GOC!G31="","",IF(ISNUMBER(LENH_GOC!G31),LENH_GOC!G31,DATE(VALUE(MID(LENH_GOC!G31,7,4)),VALUE(MID(LENH_GOC!G31,4,2)),VALUE(LEFT(LENH_GOC!G31,2)))+TIME(VALUE(MID(LENH_GOC!G31,12,2)),VALUE(MID(LENH_GOC!G31,15,2)),VALUE(MID(LENH_GOC!G31,18,2)))))), "")</f>
        <v/>
      </c>
      <c r="O30" t="str">
        <f>IF($K30="","",IF(LENH_GOC!E31="","",LENH_GOC!E31))</f>
        <v/>
      </c>
      <c r="P30" t="str">
        <f>IF($K30="","",IF(LENH_GOC!F31="","",LENH_GOC!F31))</f>
        <v/>
      </c>
      <c r="Q30" t="str">
        <f>IFERROR(IF($K30="","",IF(LENH_GOC!P31="","",IFERROR(VALUE(LENH_GOC!P31),IF(OR(LENH_GOC!P31=TRUE,UPPER(TRIM(LENH_GOC!P31))="TRUE"),1,0)))),"")</f>
        <v/>
      </c>
      <c r="R30" t="str">
        <f>IF($K30="","",IF(LENH_GOC!Q31="","",LENH_GOC!Q31))</f>
        <v/>
      </c>
      <c r="S30" s="43" t="str">
        <f>IF($K30="","",IF(LENH_GOC!R31="","",LENH_GOC!R31))</f>
        <v/>
      </c>
      <c r="T30">
        <f>IFERROR(IF($K30="",0,IF(AND(ISNUMBER($N30),INT($N30)=CAI_DAT!$B$4,LEFT(UPPER(TRIM($L30)),2)=LEFT(UPPER(TRIM(CAI_DAT!$B$5)),2),$Q30=1,OR(AND($M30="SO",ISNUMBER($P30),$P30&gt;0),AND($M30="MO",ISNUMBER($O30),$O30&gt;0))),1,0)),0)</f>
        <v>0</v>
      </c>
      <c r="U30" t="str">
        <f t="shared" si="6"/>
        <v/>
      </c>
      <c r="V30" t="str">
        <f t="shared" si="7"/>
        <v/>
      </c>
      <c r="W30" t="str">
        <f>IFERROR(IF($T30=0,"",COUNTIFS($T$3:$T$202,1,$V$3:$V$202,"&lt;"&amp;$V30)+COUNTIFS($T$3:$T30,1,$V$3:$V30,$V30)),"")</f>
        <v/>
      </c>
      <c r="X30" t="str">
        <f t="shared" si="8"/>
        <v/>
      </c>
    </row>
    <row r="31" spans="1:24">
      <c r="A31" s="5">
        <f t="shared" si="0"/>
        <v>29</v>
      </c>
      <c r="B31" s="13" t="str">
        <f t="shared" ca="1" si="1"/>
        <v/>
      </c>
      <c r="C31" s="16" t="str">
        <f t="shared" ca="1" si="2"/>
        <v/>
      </c>
      <c r="D31" s="19" t="str">
        <f t="shared" ca="1" si="3"/>
        <v/>
      </c>
      <c r="E31" s="19" t="str">
        <f ca="1">IFERROR(IF($H31="","",INDEX(LENH_GOC!$H$4:$H$203,MATCH(INDEX($K$3:$K$202,MATCH($H31,$W$3:$W$202,0)),LENH_GOC!$A$4:$A$203,0))),"")</f>
        <v/>
      </c>
      <c r="F31" s="19" t="str">
        <f t="shared" ca="1" si="4"/>
        <v/>
      </c>
      <c r="G31" s="6" t="str">
        <f t="shared" ca="1" si="5"/>
        <v/>
      </c>
      <c r="H31" t="str">
        <f ca="1">IFERROR(IF(ROW()-2&lt;=CAI_DAT!$B$10,ROW()-2,""),"")</f>
        <v/>
      </c>
      <c r="J31" t="str">
        <f>IF(LENH_GOC!A32="","",32)</f>
        <v/>
      </c>
      <c r="K31" t="str">
        <f>IF(LENH_GOC!A32="","",LENH_GOC!A32)</f>
        <v/>
      </c>
      <c r="L31" t="str">
        <f>IF($K31="","",IFERROR(TRIM(LENH_GOC!C32),""))</f>
        <v/>
      </c>
      <c r="M31" t="str">
        <f>IF($K31="","",IFERROR(UPPER(TRIM(LENH_GOC!Y32)),""))</f>
        <v/>
      </c>
      <c r="N31" s="43" t="str">
        <f>IFERROR(IF($K31="","",IF(LENH_GOC!G32="","",IF(ISNUMBER(LENH_GOC!G32),LENH_GOC!G32,DATE(VALUE(MID(LENH_GOC!G32,7,4)),VALUE(MID(LENH_GOC!G32,4,2)),VALUE(LEFT(LENH_GOC!G32,2)))+TIME(VALUE(MID(LENH_GOC!G32,12,2)),VALUE(MID(LENH_GOC!G32,15,2)),VALUE(MID(LENH_GOC!G32,18,2)))))), "")</f>
        <v/>
      </c>
      <c r="O31" t="str">
        <f>IF($K31="","",IF(LENH_GOC!E32="","",LENH_GOC!E32))</f>
        <v/>
      </c>
      <c r="P31" t="str">
        <f>IF($K31="","",IF(LENH_GOC!F32="","",LENH_GOC!F32))</f>
        <v/>
      </c>
      <c r="Q31" t="str">
        <f>IFERROR(IF($K31="","",IF(LENH_GOC!P32="","",IFERROR(VALUE(LENH_GOC!P32),IF(OR(LENH_GOC!P32=TRUE,UPPER(TRIM(LENH_GOC!P32))="TRUE"),1,0)))),"")</f>
        <v/>
      </c>
      <c r="R31" t="str">
        <f>IF($K31="","",IF(LENH_GOC!Q32="","",LENH_GOC!Q32))</f>
        <v/>
      </c>
      <c r="S31" s="43" t="str">
        <f>IF($K31="","",IF(LENH_GOC!R32="","",LENH_GOC!R32))</f>
        <v/>
      </c>
      <c r="T31">
        <f>IFERROR(IF($K31="",0,IF(AND(ISNUMBER($N31),INT($N31)=CAI_DAT!$B$4,LEFT(UPPER(TRIM($L31)),2)=LEFT(UPPER(TRIM(CAI_DAT!$B$5)),2),$Q31=1,OR(AND($M31="SO",ISNUMBER($P31),$P31&gt;0),AND($M31="MO",ISNUMBER($O31),$O31&gt;0))),1,0)),0)</f>
        <v>0</v>
      </c>
      <c r="U31" t="str">
        <f t="shared" si="6"/>
        <v/>
      </c>
      <c r="V31" t="str">
        <f t="shared" si="7"/>
        <v/>
      </c>
      <c r="W31" t="str">
        <f>IFERROR(IF($T31=0,"",COUNTIFS($T$3:$T$202,1,$V$3:$V$202,"&lt;"&amp;$V31)+COUNTIFS($T$3:$T31,1,$V$3:$V31,$V31)),"")</f>
        <v/>
      </c>
      <c r="X31" t="str">
        <f t="shared" si="8"/>
        <v/>
      </c>
    </row>
    <row r="32" spans="1:24">
      <c r="A32" s="5">
        <f t="shared" si="0"/>
        <v>30</v>
      </c>
      <c r="B32" s="13" t="str">
        <f t="shared" ca="1" si="1"/>
        <v/>
      </c>
      <c r="C32" s="16" t="str">
        <f t="shared" ca="1" si="2"/>
        <v/>
      </c>
      <c r="D32" s="19" t="str">
        <f t="shared" ca="1" si="3"/>
        <v/>
      </c>
      <c r="E32" s="19" t="str">
        <f ca="1">IFERROR(IF($H32="","",INDEX(LENH_GOC!$H$4:$H$203,MATCH(INDEX($K$3:$K$202,MATCH($H32,$W$3:$W$202,0)),LENH_GOC!$A$4:$A$203,0))),"")</f>
        <v/>
      </c>
      <c r="F32" s="19" t="str">
        <f t="shared" ca="1" si="4"/>
        <v/>
      </c>
      <c r="G32" s="6" t="str">
        <f t="shared" ca="1" si="5"/>
        <v/>
      </c>
      <c r="H32" t="str">
        <f ca="1">IFERROR(IF(ROW()-2&lt;=CAI_DAT!$B$10,ROW()-2,""),"")</f>
        <v/>
      </c>
      <c r="J32" t="str">
        <f>IF(LENH_GOC!A33="","",33)</f>
        <v/>
      </c>
      <c r="K32" t="str">
        <f>IF(LENH_GOC!A33="","",LENH_GOC!A33)</f>
        <v/>
      </c>
      <c r="L32" t="str">
        <f>IF($K32="","",IFERROR(TRIM(LENH_GOC!C33),""))</f>
        <v/>
      </c>
      <c r="M32" t="str">
        <f>IF($K32="","",IFERROR(UPPER(TRIM(LENH_GOC!Y33)),""))</f>
        <v/>
      </c>
      <c r="N32" s="43" t="str">
        <f>IFERROR(IF($K32="","",IF(LENH_GOC!G33="","",IF(ISNUMBER(LENH_GOC!G33),LENH_GOC!G33,DATE(VALUE(MID(LENH_GOC!G33,7,4)),VALUE(MID(LENH_GOC!G33,4,2)),VALUE(LEFT(LENH_GOC!G33,2)))+TIME(VALUE(MID(LENH_GOC!G33,12,2)),VALUE(MID(LENH_GOC!G33,15,2)),VALUE(MID(LENH_GOC!G33,18,2)))))), "")</f>
        <v/>
      </c>
      <c r="O32" t="str">
        <f>IF($K32="","",IF(LENH_GOC!E33="","",LENH_GOC!E33))</f>
        <v/>
      </c>
      <c r="P32" t="str">
        <f>IF($K32="","",IF(LENH_GOC!F33="","",LENH_GOC!F33))</f>
        <v/>
      </c>
      <c r="Q32" t="str">
        <f>IFERROR(IF($K32="","",IF(LENH_GOC!P33="","",IFERROR(VALUE(LENH_GOC!P33),IF(OR(LENH_GOC!P33=TRUE,UPPER(TRIM(LENH_GOC!P33))="TRUE"),1,0)))),"")</f>
        <v/>
      </c>
      <c r="R32" t="str">
        <f>IF($K32="","",IF(LENH_GOC!Q33="","",LENH_GOC!Q33))</f>
        <v/>
      </c>
      <c r="S32" s="43" t="str">
        <f>IF($K32="","",IF(LENH_GOC!R33="","",LENH_GOC!R33))</f>
        <v/>
      </c>
      <c r="T32">
        <f>IFERROR(IF($K32="",0,IF(AND(ISNUMBER($N32),INT($N32)=CAI_DAT!$B$4,LEFT(UPPER(TRIM($L32)),2)=LEFT(UPPER(TRIM(CAI_DAT!$B$5)),2),$Q32=1,OR(AND($M32="SO",ISNUMBER($P32),$P32&gt;0),AND($M32="MO",ISNUMBER($O32),$O32&gt;0))),1,0)),0)</f>
        <v>0</v>
      </c>
      <c r="U32" t="str">
        <f t="shared" si="6"/>
        <v/>
      </c>
      <c r="V32" t="str">
        <f t="shared" si="7"/>
        <v/>
      </c>
      <c r="W32" t="str">
        <f>IFERROR(IF($T32=0,"",COUNTIFS($T$3:$T$202,1,$V$3:$V$202,"&lt;"&amp;$V32)+COUNTIFS($T$3:$T32,1,$V$3:$V32,$V32)),"")</f>
        <v/>
      </c>
      <c r="X32" t="str">
        <f t="shared" si="8"/>
        <v/>
      </c>
    </row>
    <row r="33" spans="1:24">
      <c r="A33" s="5">
        <f t="shared" si="0"/>
        <v>31</v>
      </c>
      <c r="B33" s="13" t="str">
        <f t="shared" ca="1" si="1"/>
        <v/>
      </c>
      <c r="C33" s="16" t="str">
        <f t="shared" ca="1" si="2"/>
        <v/>
      </c>
      <c r="D33" s="19" t="str">
        <f t="shared" ca="1" si="3"/>
        <v/>
      </c>
      <c r="E33" s="19" t="str">
        <f ca="1">IFERROR(IF($H33="","",INDEX(LENH_GOC!$H$4:$H$203,MATCH(INDEX($K$3:$K$202,MATCH($H33,$W$3:$W$202,0)),LENH_GOC!$A$4:$A$203,0))),"")</f>
        <v/>
      </c>
      <c r="F33" s="19" t="str">
        <f t="shared" ca="1" si="4"/>
        <v/>
      </c>
      <c r="G33" s="6" t="str">
        <f t="shared" ca="1" si="5"/>
        <v/>
      </c>
      <c r="H33" t="str">
        <f ca="1">IFERROR(IF(ROW()-2&lt;=CAI_DAT!$B$10,ROW()-2,""),"")</f>
        <v/>
      </c>
      <c r="J33" t="str">
        <f>IF(LENH_GOC!A34="","",34)</f>
        <v/>
      </c>
      <c r="K33" t="str">
        <f>IF(LENH_GOC!A34="","",LENH_GOC!A34)</f>
        <v/>
      </c>
      <c r="L33" t="str">
        <f>IF($K33="","",IFERROR(TRIM(LENH_GOC!C34),""))</f>
        <v/>
      </c>
      <c r="M33" t="str">
        <f>IF($K33="","",IFERROR(UPPER(TRIM(LENH_GOC!Y34)),""))</f>
        <v/>
      </c>
      <c r="N33" s="43" t="str">
        <f>IFERROR(IF($K33="","",IF(LENH_GOC!G34="","",IF(ISNUMBER(LENH_GOC!G34),LENH_GOC!G34,DATE(VALUE(MID(LENH_GOC!G34,7,4)),VALUE(MID(LENH_GOC!G34,4,2)),VALUE(LEFT(LENH_GOC!G34,2)))+TIME(VALUE(MID(LENH_GOC!G34,12,2)),VALUE(MID(LENH_GOC!G34,15,2)),VALUE(MID(LENH_GOC!G34,18,2)))))), "")</f>
        <v/>
      </c>
      <c r="O33" t="str">
        <f>IF($K33="","",IF(LENH_GOC!E34="","",LENH_GOC!E34))</f>
        <v/>
      </c>
      <c r="P33" t="str">
        <f>IF($K33="","",IF(LENH_GOC!F34="","",LENH_GOC!F34))</f>
        <v/>
      </c>
      <c r="Q33" t="str">
        <f>IFERROR(IF($K33="","",IF(LENH_GOC!P34="","",IFERROR(VALUE(LENH_GOC!P34),IF(OR(LENH_GOC!P34=TRUE,UPPER(TRIM(LENH_GOC!P34))="TRUE"),1,0)))),"")</f>
        <v/>
      </c>
      <c r="R33" t="str">
        <f>IF($K33="","",IF(LENH_GOC!Q34="","",LENH_GOC!Q34))</f>
        <v/>
      </c>
      <c r="S33" s="43" t="str">
        <f>IF($K33="","",IF(LENH_GOC!R34="","",LENH_GOC!R34))</f>
        <v/>
      </c>
      <c r="T33">
        <f>IFERROR(IF($K33="",0,IF(AND(ISNUMBER($N33),INT($N33)=CAI_DAT!$B$4,LEFT(UPPER(TRIM($L33)),2)=LEFT(UPPER(TRIM(CAI_DAT!$B$5)),2),$Q33=1,OR(AND($M33="SO",ISNUMBER($P33),$P33&gt;0),AND($M33="MO",ISNUMBER($O33),$O33&gt;0))),1,0)),0)</f>
        <v>0</v>
      </c>
      <c r="U33" t="str">
        <f t="shared" si="6"/>
        <v/>
      </c>
      <c r="V33" t="str">
        <f t="shared" si="7"/>
        <v/>
      </c>
      <c r="W33" t="str">
        <f>IFERROR(IF($T33=0,"",COUNTIFS($T$3:$T$202,1,$V$3:$V$202,"&lt;"&amp;$V33)+COUNTIFS($T$3:$T33,1,$V$3:$V33,$V33)),"")</f>
        <v/>
      </c>
      <c r="X33" t="str">
        <f t="shared" si="8"/>
        <v/>
      </c>
    </row>
    <row r="34" spans="1:24">
      <c r="A34" s="5">
        <f t="shared" si="0"/>
        <v>32</v>
      </c>
      <c r="B34" s="13" t="str">
        <f t="shared" ca="1" si="1"/>
        <v/>
      </c>
      <c r="C34" s="16" t="str">
        <f t="shared" ca="1" si="2"/>
        <v/>
      </c>
      <c r="D34" s="19" t="str">
        <f t="shared" ca="1" si="3"/>
        <v/>
      </c>
      <c r="E34" s="19" t="str">
        <f ca="1">IFERROR(IF($H34="","",INDEX(LENH_GOC!$H$4:$H$203,MATCH(INDEX($K$3:$K$202,MATCH($H34,$W$3:$W$202,0)),LENH_GOC!$A$4:$A$203,0))),"")</f>
        <v/>
      </c>
      <c r="F34" s="19" t="str">
        <f t="shared" ca="1" si="4"/>
        <v/>
      </c>
      <c r="G34" s="6" t="str">
        <f t="shared" ca="1" si="5"/>
        <v/>
      </c>
      <c r="H34" t="str">
        <f ca="1">IFERROR(IF(ROW()-2&lt;=CAI_DAT!$B$10,ROW()-2,""),"")</f>
        <v/>
      </c>
      <c r="J34" t="str">
        <f>IF(LENH_GOC!A35="","",35)</f>
        <v/>
      </c>
      <c r="K34" t="str">
        <f>IF(LENH_GOC!A35="","",LENH_GOC!A35)</f>
        <v/>
      </c>
      <c r="L34" t="str">
        <f>IF($K34="","",IFERROR(TRIM(LENH_GOC!C35),""))</f>
        <v/>
      </c>
      <c r="M34" t="str">
        <f>IF($K34="","",IFERROR(UPPER(TRIM(LENH_GOC!Y35)),""))</f>
        <v/>
      </c>
      <c r="N34" s="43" t="str">
        <f>IFERROR(IF($K34="","",IF(LENH_GOC!G35="","",IF(ISNUMBER(LENH_GOC!G35),LENH_GOC!G35,DATE(VALUE(MID(LENH_GOC!G35,7,4)),VALUE(MID(LENH_GOC!G35,4,2)),VALUE(LEFT(LENH_GOC!G35,2)))+TIME(VALUE(MID(LENH_GOC!G35,12,2)),VALUE(MID(LENH_GOC!G35,15,2)),VALUE(MID(LENH_GOC!G35,18,2)))))), "")</f>
        <v/>
      </c>
      <c r="O34" t="str">
        <f>IF($K34="","",IF(LENH_GOC!E35="","",LENH_GOC!E35))</f>
        <v/>
      </c>
      <c r="P34" t="str">
        <f>IF($K34="","",IF(LENH_GOC!F35="","",LENH_GOC!F35))</f>
        <v/>
      </c>
      <c r="Q34" t="str">
        <f>IFERROR(IF($K34="","",IF(LENH_GOC!P35="","",IFERROR(VALUE(LENH_GOC!P35),IF(OR(LENH_GOC!P35=TRUE,UPPER(TRIM(LENH_GOC!P35))="TRUE"),1,0)))),"")</f>
        <v/>
      </c>
      <c r="R34" t="str">
        <f>IF($K34="","",IF(LENH_GOC!Q35="","",LENH_GOC!Q35))</f>
        <v/>
      </c>
      <c r="S34" s="43" t="str">
        <f>IF($K34="","",IF(LENH_GOC!R35="","",LENH_GOC!R35))</f>
        <v/>
      </c>
      <c r="T34">
        <f>IFERROR(IF($K34="",0,IF(AND(ISNUMBER($N34),INT($N34)=CAI_DAT!$B$4,LEFT(UPPER(TRIM($L34)),2)=LEFT(UPPER(TRIM(CAI_DAT!$B$5)),2),$Q34=1,OR(AND($M34="SO",ISNUMBER($P34),$P34&gt;0),AND($M34="MO",ISNUMBER($O34),$O34&gt;0))),1,0)),0)</f>
        <v>0</v>
      </c>
      <c r="U34" t="str">
        <f t="shared" si="6"/>
        <v/>
      </c>
      <c r="V34" t="str">
        <f t="shared" si="7"/>
        <v/>
      </c>
      <c r="W34" t="str">
        <f>IFERROR(IF($T34=0,"",COUNTIFS($T$3:$T$202,1,$V$3:$V$202,"&lt;"&amp;$V34)+COUNTIFS($T$3:$T34,1,$V$3:$V34,$V34)),"")</f>
        <v/>
      </c>
      <c r="X34" t="str">
        <f t="shared" si="8"/>
        <v/>
      </c>
    </row>
    <row r="35" spans="1:24">
      <c r="A35" s="5">
        <f t="shared" ref="A35:A62" si="9">ROW()-2</f>
        <v>33</v>
      </c>
      <c r="B35" s="13" t="str">
        <f t="shared" ref="B35:B62" ca="1" si="10">IFERROR(IF($H35="","",INDEX($L$3:$L$202,MATCH($H35,$W$3:$W$202,0))),"")</f>
        <v/>
      </c>
      <c r="C35" s="16" t="str">
        <f t="shared" ref="C35:C62" ca="1" si="11">IFERROR(IF($H35="","",INDEX($N$3:$N$202,MATCH($H35,$W$3:$W$202,0))),"")</f>
        <v/>
      </c>
      <c r="D35" s="19" t="str">
        <f t="shared" ref="D35:D62" ca="1" si="12">IFERROR(IF($H35="","",INDEX($U$3:$U$202,MATCH($H35,$W$3:$W$202,0))),"")</f>
        <v/>
      </c>
      <c r="E35" s="19" t="str">
        <f ca="1">IFERROR(IF($H35="","",INDEX(LENH_GOC!$H$4:$H$203,MATCH(INDEX($K$3:$K$202,MATCH($H35,$W$3:$W$202,0)),LENH_GOC!$A$4:$A$203,0))),"")</f>
        <v/>
      </c>
      <c r="F35" s="19" t="str">
        <f t="shared" ref="F35:F62" ca="1" si="13">IFERROR(IF($H35="","",INDEX($P$3:$P$202,MATCH($H35,$W$3:$W$202,0))),"")</f>
        <v/>
      </c>
      <c r="G35" s="6" t="str">
        <f t="shared" ref="G35:G62" ca="1" si="14">IFERROR(IF($H35="","",INDEX($X$3:$X$202,MATCH($H35,$W$3:$W$202,0))),"")</f>
        <v/>
      </c>
      <c r="H35" t="str">
        <f ca="1">IFERROR(IF(ROW()-2&lt;=CAI_DAT!$B$10,ROW()-2,""),"")</f>
        <v/>
      </c>
      <c r="J35" t="str">
        <f>IF(LENH_GOC!A36="","",36)</f>
        <v/>
      </c>
      <c r="K35" t="str">
        <f>IF(LENH_GOC!A36="","",LENH_GOC!A36)</f>
        <v/>
      </c>
      <c r="L35" t="str">
        <f>IF($K35="","",IFERROR(TRIM(LENH_GOC!C36),""))</f>
        <v/>
      </c>
      <c r="M35" t="str">
        <f>IF($K35="","",IFERROR(UPPER(TRIM(LENH_GOC!Y36)),""))</f>
        <v/>
      </c>
      <c r="N35" s="43" t="str">
        <f>IFERROR(IF($K35="","",IF(LENH_GOC!G36="","",IF(ISNUMBER(LENH_GOC!G36),LENH_GOC!G36,DATE(VALUE(MID(LENH_GOC!G36,7,4)),VALUE(MID(LENH_GOC!G36,4,2)),VALUE(LEFT(LENH_GOC!G36,2)))+TIME(VALUE(MID(LENH_GOC!G36,12,2)),VALUE(MID(LENH_GOC!G36,15,2)),VALUE(MID(LENH_GOC!G36,18,2)))))), "")</f>
        <v/>
      </c>
      <c r="O35" t="str">
        <f>IF($K35="","",IF(LENH_GOC!E36="","",LENH_GOC!E36))</f>
        <v/>
      </c>
      <c r="P35" t="str">
        <f>IF($K35="","",IF(LENH_GOC!F36="","",LENH_GOC!F36))</f>
        <v/>
      </c>
      <c r="Q35" t="str">
        <f>IFERROR(IF($K35="","",IF(LENH_GOC!P36="","",IFERROR(VALUE(LENH_GOC!P36),IF(OR(LENH_GOC!P36=TRUE,UPPER(TRIM(LENH_GOC!P36))="TRUE"),1,0)))),"")</f>
        <v/>
      </c>
      <c r="R35" t="str">
        <f>IF($K35="","",IF(LENH_GOC!Q36="","",LENH_GOC!Q36))</f>
        <v/>
      </c>
      <c r="S35" s="43" t="str">
        <f>IF($K35="","",IF(LENH_GOC!R36="","",LENH_GOC!R36))</f>
        <v/>
      </c>
      <c r="T35">
        <f>IFERROR(IF($K35="",0,IF(AND(ISNUMBER($N35),INT($N35)=CAI_DAT!$B$4,LEFT(UPPER(TRIM($L35)),2)=LEFT(UPPER(TRIM(CAI_DAT!$B$5)),2),$Q35=1,OR(AND($M35="SO",ISNUMBER($P35),$P35&gt;0),AND($M35="MO",ISNUMBER($O35),$O35&gt;0))),1,0)),0)</f>
        <v>0</v>
      </c>
      <c r="U35" t="str">
        <f t="shared" ref="U35:U66" si="15">IFERROR(IF($T35=0,"",IF($M35="SO",$P35,IF(AND($M35="MO",OR($R35=TRUE,$R35="TRUE"),ISNUMBER($P35),$P35&gt;0),$P35,$O35))),"")</f>
        <v/>
      </c>
      <c r="V35" t="str">
        <f t="shared" ref="V35:V66" si="16">IFERROR(IF($T35=0,"",MOD($N35,1)*86400),"")</f>
        <v/>
      </c>
      <c r="W35" t="str">
        <f>IFERROR(IF($T35=0,"",COUNTIFS($T$3:$T$202,1,$V$3:$V$202,"&lt;"&amp;$V35)+COUNTIFS($T$3:$T35,1,$V$3:$V35,$V35)),"")</f>
        <v/>
      </c>
      <c r="X35" t="str">
        <f t="shared" ref="X35:X66" si="17">IFERROR(IF($T35=0,"",IF($M35="SO","SO: dùng CS hoàn thành",IF(AND($M35="MO",OR($R35=TRUE,$R35="TRUE"),ISNUMBER($P35),$P35&gt;0),"MO dừng sớm: dùng CS hoàn thành","MO: dùng CS ra lệnh"))),"")</f>
        <v/>
      </c>
    </row>
    <row r="36" spans="1:24">
      <c r="A36" s="5">
        <f t="shared" si="9"/>
        <v>34</v>
      </c>
      <c r="B36" s="13" t="str">
        <f t="shared" ca="1" si="10"/>
        <v/>
      </c>
      <c r="C36" s="16" t="str">
        <f t="shared" ca="1" si="11"/>
        <v/>
      </c>
      <c r="D36" s="19" t="str">
        <f t="shared" ca="1" si="12"/>
        <v/>
      </c>
      <c r="E36" s="19" t="str">
        <f ca="1">IFERROR(IF($H36="","",INDEX(LENH_GOC!$H$4:$H$203,MATCH(INDEX($K$3:$K$202,MATCH($H36,$W$3:$W$202,0)),LENH_GOC!$A$4:$A$203,0))),"")</f>
        <v/>
      </c>
      <c r="F36" s="19" t="str">
        <f t="shared" ca="1" si="13"/>
        <v/>
      </c>
      <c r="G36" s="6" t="str">
        <f t="shared" ca="1" si="14"/>
        <v/>
      </c>
      <c r="H36" t="str">
        <f ca="1">IFERROR(IF(ROW()-2&lt;=CAI_DAT!$B$10,ROW()-2,""),"")</f>
        <v/>
      </c>
      <c r="J36" t="str">
        <f>IF(LENH_GOC!A37="","",37)</f>
        <v/>
      </c>
      <c r="K36" t="str">
        <f>IF(LENH_GOC!A37="","",LENH_GOC!A37)</f>
        <v/>
      </c>
      <c r="L36" t="str">
        <f>IF($K36="","",IFERROR(TRIM(LENH_GOC!C37),""))</f>
        <v/>
      </c>
      <c r="M36" t="str">
        <f>IF($K36="","",IFERROR(UPPER(TRIM(LENH_GOC!Y37)),""))</f>
        <v/>
      </c>
      <c r="N36" s="43" t="str">
        <f>IFERROR(IF($K36="","",IF(LENH_GOC!G37="","",IF(ISNUMBER(LENH_GOC!G37),LENH_GOC!G37,DATE(VALUE(MID(LENH_GOC!G37,7,4)),VALUE(MID(LENH_GOC!G37,4,2)),VALUE(LEFT(LENH_GOC!G37,2)))+TIME(VALUE(MID(LENH_GOC!G37,12,2)),VALUE(MID(LENH_GOC!G37,15,2)),VALUE(MID(LENH_GOC!G37,18,2)))))), "")</f>
        <v/>
      </c>
      <c r="O36" t="str">
        <f>IF($K36="","",IF(LENH_GOC!E37="","",LENH_GOC!E37))</f>
        <v/>
      </c>
      <c r="P36" t="str">
        <f>IF($K36="","",IF(LENH_GOC!F37="","",LENH_GOC!F37))</f>
        <v/>
      </c>
      <c r="Q36" t="str">
        <f>IFERROR(IF($K36="","",IF(LENH_GOC!P37="","",IFERROR(VALUE(LENH_GOC!P37),IF(OR(LENH_GOC!P37=TRUE,UPPER(TRIM(LENH_GOC!P37))="TRUE"),1,0)))),"")</f>
        <v/>
      </c>
      <c r="R36" t="str">
        <f>IF($K36="","",IF(LENH_GOC!Q37="","",LENH_GOC!Q37))</f>
        <v/>
      </c>
      <c r="S36" s="43" t="str">
        <f>IF($K36="","",IF(LENH_GOC!R37="","",LENH_GOC!R37))</f>
        <v/>
      </c>
      <c r="T36">
        <f>IFERROR(IF($K36="",0,IF(AND(ISNUMBER($N36),INT($N36)=CAI_DAT!$B$4,LEFT(UPPER(TRIM($L36)),2)=LEFT(UPPER(TRIM(CAI_DAT!$B$5)),2),$Q36=1,OR(AND($M36="SO",ISNUMBER($P36),$P36&gt;0),AND($M36="MO",ISNUMBER($O36),$O36&gt;0))),1,0)),0)</f>
        <v>0</v>
      </c>
      <c r="U36" t="str">
        <f t="shared" si="15"/>
        <v/>
      </c>
      <c r="V36" t="str">
        <f t="shared" si="16"/>
        <v/>
      </c>
      <c r="W36" t="str">
        <f>IFERROR(IF($T36=0,"",COUNTIFS($T$3:$T$202,1,$V$3:$V$202,"&lt;"&amp;$V36)+COUNTIFS($T$3:$T36,1,$V$3:$V36,$V36)),"")</f>
        <v/>
      </c>
      <c r="X36" t="str">
        <f t="shared" si="17"/>
        <v/>
      </c>
    </row>
    <row r="37" spans="1:24">
      <c r="A37" s="5">
        <f t="shared" si="9"/>
        <v>35</v>
      </c>
      <c r="B37" s="13" t="str">
        <f t="shared" ca="1" si="10"/>
        <v/>
      </c>
      <c r="C37" s="16" t="str">
        <f t="shared" ca="1" si="11"/>
        <v/>
      </c>
      <c r="D37" s="19" t="str">
        <f t="shared" ca="1" si="12"/>
        <v/>
      </c>
      <c r="E37" s="19" t="str">
        <f ca="1">IFERROR(IF($H37="","",INDEX(LENH_GOC!$H$4:$H$203,MATCH(INDEX($K$3:$K$202,MATCH($H37,$W$3:$W$202,0)),LENH_GOC!$A$4:$A$203,0))),"")</f>
        <v/>
      </c>
      <c r="F37" s="19" t="str">
        <f t="shared" ca="1" si="13"/>
        <v/>
      </c>
      <c r="G37" s="6" t="str">
        <f t="shared" ca="1" si="14"/>
        <v/>
      </c>
      <c r="H37" t="str">
        <f ca="1">IFERROR(IF(ROW()-2&lt;=CAI_DAT!$B$10,ROW()-2,""),"")</f>
        <v/>
      </c>
      <c r="J37" t="str">
        <f>IF(LENH_GOC!A38="","",38)</f>
        <v/>
      </c>
      <c r="K37" t="str">
        <f>IF(LENH_GOC!A38="","",LENH_GOC!A38)</f>
        <v/>
      </c>
      <c r="L37" t="str">
        <f>IF($K37="","",IFERROR(TRIM(LENH_GOC!C38),""))</f>
        <v/>
      </c>
      <c r="M37" t="str">
        <f>IF($K37="","",IFERROR(UPPER(TRIM(LENH_GOC!Y38)),""))</f>
        <v/>
      </c>
      <c r="N37" s="43" t="str">
        <f>IFERROR(IF($K37="","",IF(LENH_GOC!G38="","",IF(ISNUMBER(LENH_GOC!G38),LENH_GOC!G38,DATE(VALUE(MID(LENH_GOC!G38,7,4)),VALUE(MID(LENH_GOC!G38,4,2)),VALUE(LEFT(LENH_GOC!G38,2)))+TIME(VALUE(MID(LENH_GOC!G38,12,2)),VALUE(MID(LENH_GOC!G38,15,2)),VALUE(MID(LENH_GOC!G38,18,2)))))), "")</f>
        <v/>
      </c>
      <c r="O37" t="str">
        <f>IF($K37="","",IF(LENH_GOC!E38="","",LENH_GOC!E38))</f>
        <v/>
      </c>
      <c r="P37" t="str">
        <f>IF($K37="","",IF(LENH_GOC!F38="","",LENH_GOC!F38))</f>
        <v/>
      </c>
      <c r="Q37" t="str">
        <f>IFERROR(IF($K37="","",IF(LENH_GOC!P38="","",IFERROR(VALUE(LENH_GOC!P38),IF(OR(LENH_GOC!P38=TRUE,UPPER(TRIM(LENH_GOC!P38))="TRUE"),1,0)))),"")</f>
        <v/>
      </c>
      <c r="R37" t="str">
        <f>IF($K37="","",IF(LENH_GOC!Q38="","",LENH_GOC!Q38))</f>
        <v/>
      </c>
      <c r="S37" s="43" t="str">
        <f>IF($K37="","",IF(LENH_GOC!R38="","",LENH_GOC!R38))</f>
        <v/>
      </c>
      <c r="T37">
        <f>IFERROR(IF($K37="",0,IF(AND(ISNUMBER($N37),INT($N37)=CAI_DAT!$B$4,LEFT(UPPER(TRIM($L37)),2)=LEFT(UPPER(TRIM(CAI_DAT!$B$5)),2),$Q37=1,OR(AND($M37="SO",ISNUMBER($P37),$P37&gt;0),AND($M37="MO",ISNUMBER($O37),$O37&gt;0))),1,0)),0)</f>
        <v>0</v>
      </c>
      <c r="U37" t="str">
        <f t="shared" si="15"/>
        <v/>
      </c>
      <c r="V37" t="str">
        <f t="shared" si="16"/>
        <v/>
      </c>
      <c r="W37" t="str">
        <f>IFERROR(IF($T37=0,"",COUNTIFS($T$3:$T$202,1,$V$3:$V$202,"&lt;"&amp;$V37)+COUNTIFS($T$3:$T37,1,$V$3:$V37,$V37)),"")</f>
        <v/>
      </c>
      <c r="X37" t="str">
        <f t="shared" si="17"/>
        <v/>
      </c>
    </row>
    <row r="38" spans="1:24">
      <c r="A38" s="5">
        <f t="shared" si="9"/>
        <v>36</v>
      </c>
      <c r="B38" s="13" t="str">
        <f t="shared" ca="1" si="10"/>
        <v/>
      </c>
      <c r="C38" s="16" t="str">
        <f t="shared" ca="1" si="11"/>
        <v/>
      </c>
      <c r="D38" s="19" t="str">
        <f t="shared" ca="1" si="12"/>
        <v/>
      </c>
      <c r="E38" s="19" t="str">
        <f ca="1">IFERROR(IF($H38="","",INDEX(LENH_GOC!$H$4:$H$203,MATCH(INDEX($K$3:$K$202,MATCH($H38,$W$3:$W$202,0)),LENH_GOC!$A$4:$A$203,0))),"")</f>
        <v/>
      </c>
      <c r="F38" s="19" t="str">
        <f t="shared" ca="1" si="13"/>
        <v/>
      </c>
      <c r="G38" s="6" t="str">
        <f t="shared" ca="1" si="14"/>
        <v/>
      </c>
      <c r="H38" t="str">
        <f ca="1">IFERROR(IF(ROW()-2&lt;=CAI_DAT!$B$10,ROW()-2,""),"")</f>
        <v/>
      </c>
      <c r="J38" t="str">
        <f>IF(LENH_GOC!A39="","",39)</f>
        <v/>
      </c>
      <c r="K38" t="str">
        <f>IF(LENH_GOC!A39="","",LENH_GOC!A39)</f>
        <v/>
      </c>
      <c r="L38" t="str">
        <f>IF($K38="","",IFERROR(TRIM(LENH_GOC!C39),""))</f>
        <v/>
      </c>
      <c r="M38" t="str">
        <f>IF($K38="","",IFERROR(UPPER(TRIM(LENH_GOC!Y39)),""))</f>
        <v/>
      </c>
      <c r="N38" s="43" t="str">
        <f>IFERROR(IF($K38="","",IF(LENH_GOC!G39="","",IF(ISNUMBER(LENH_GOC!G39),LENH_GOC!G39,DATE(VALUE(MID(LENH_GOC!G39,7,4)),VALUE(MID(LENH_GOC!G39,4,2)),VALUE(LEFT(LENH_GOC!G39,2)))+TIME(VALUE(MID(LENH_GOC!G39,12,2)),VALUE(MID(LENH_GOC!G39,15,2)),VALUE(MID(LENH_GOC!G39,18,2)))))), "")</f>
        <v/>
      </c>
      <c r="O38" t="str">
        <f>IF($K38="","",IF(LENH_GOC!E39="","",LENH_GOC!E39))</f>
        <v/>
      </c>
      <c r="P38" t="str">
        <f>IF($K38="","",IF(LENH_GOC!F39="","",LENH_GOC!F39))</f>
        <v/>
      </c>
      <c r="Q38" t="str">
        <f>IFERROR(IF($K38="","",IF(LENH_GOC!P39="","",IFERROR(VALUE(LENH_GOC!P39),IF(OR(LENH_GOC!P39=TRUE,UPPER(TRIM(LENH_GOC!P39))="TRUE"),1,0)))),"")</f>
        <v/>
      </c>
      <c r="R38" t="str">
        <f>IF($K38="","",IF(LENH_GOC!Q39="","",LENH_GOC!Q39))</f>
        <v/>
      </c>
      <c r="S38" s="43" t="str">
        <f>IF($K38="","",IF(LENH_GOC!R39="","",LENH_GOC!R39))</f>
        <v/>
      </c>
      <c r="T38">
        <f>IFERROR(IF($K38="",0,IF(AND(ISNUMBER($N38),INT($N38)=CAI_DAT!$B$4,LEFT(UPPER(TRIM($L38)),2)=LEFT(UPPER(TRIM(CAI_DAT!$B$5)),2),$Q38=1,OR(AND($M38="SO",ISNUMBER($P38),$P38&gt;0),AND($M38="MO",ISNUMBER($O38),$O38&gt;0))),1,0)),0)</f>
        <v>0</v>
      </c>
      <c r="U38" t="str">
        <f t="shared" si="15"/>
        <v/>
      </c>
      <c r="V38" t="str">
        <f t="shared" si="16"/>
        <v/>
      </c>
      <c r="W38" t="str">
        <f>IFERROR(IF($T38=0,"",COUNTIFS($T$3:$T$202,1,$V$3:$V$202,"&lt;"&amp;$V38)+COUNTIFS($T$3:$T38,1,$V$3:$V38,$V38)),"")</f>
        <v/>
      </c>
      <c r="X38" t="str">
        <f t="shared" si="17"/>
        <v/>
      </c>
    </row>
    <row r="39" spans="1:24">
      <c r="A39" s="5">
        <f t="shared" si="9"/>
        <v>37</v>
      </c>
      <c r="B39" s="13" t="str">
        <f t="shared" ca="1" si="10"/>
        <v/>
      </c>
      <c r="C39" s="16" t="str">
        <f t="shared" ca="1" si="11"/>
        <v/>
      </c>
      <c r="D39" s="19" t="str">
        <f t="shared" ca="1" si="12"/>
        <v/>
      </c>
      <c r="E39" s="19" t="str">
        <f ca="1">IFERROR(IF($H39="","",INDEX(LENH_GOC!$H$4:$H$203,MATCH(INDEX($K$3:$K$202,MATCH($H39,$W$3:$W$202,0)),LENH_GOC!$A$4:$A$203,0))),"")</f>
        <v/>
      </c>
      <c r="F39" s="19" t="str">
        <f t="shared" ca="1" si="13"/>
        <v/>
      </c>
      <c r="G39" s="6" t="str">
        <f t="shared" ca="1" si="14"/>
        <v/>
      </c>
      <c r="H39" t="str">
        <f ca="1">IFERROR(IF(ROW()-2&lt;=CAI_DAT!$B$10,ROW()-2,""),"")</f>
        <v/>
      </c>
      <c r="J39" t="str">
        <f>IF(LENH_GOC!A40="","",40)</f>
        <v/>
      </c>
      <c r="K39" t="str">
        <f>IF(LENH_GOC!A40="","",LENH_GOC!A40)</f>
        <v/>
      </c>
      <c r="L39" t="str">
        <f>IF($K39="","",IFERROR(TRIM(LENH_GOC!C40),""))</f>
        <v/>
      </c>
      <c r="M39" t="str">
        <f>IF($K39="","",IFERROR(UPPER(TRIM(LENH_GOC!Y40)),""))</f>
        <v/>
      </c>
      <c r="N39" s="43" t="str">
        <f>IFERROR(IF($K39="","",IF(LENH_GOC!G40="","",IF(ISNUMBER(LENH_GOC!G40),LENH_GOC!G40,DATE(VALUE(MID(LENH_GOC!G40,7,4)),VALUE(MID(LENH_GOC!G40,4,2)),VALUE(LEFT(LENH_GOC!G40,2)))+TIME(VALUE(MID(LENH_GOC!G40,12,2)),VALUE(MID(LENH_GOC!G40,15,2)),VALUE(MID(LENH_GOC!G40,18,2)))))), "")</f>
        <v/>
      </c>
      <c r="O39" t="str">
        <f>IF($K39="","",IF(LENH_GOC!E40="","",LENH_GOC!E40))</f>
        <v/>
      </c>
      <c r="P39" t="str">
        <f>IF($K39="","",IF(LENH_GOC!F40="","",LENH_GOC!F40))</f>
        <v/>
      </c>
      <c r="Q39" t="str">
        <f>IFERROR(IF($K39="","",IF(LENH_GOC!P40="","",IFERROR(VALUE(LENH_GOC!P40),IF(OR(LENH_GOC!P40=TRUE,UPPER(TRIM(LENH_GOC!P40))="TRUE"),1,0)))),"")</f>
        <v/>
      </c>
      <c r="R39" t="str">
        <f>IF($K39="","",IF(LENH_GOC!Q40="","",LENH_GOC!Q40))</f>
        <v/>
      </c>
      <c r="S39" s="43" t="str">
        <f>IF($K39="","",IF(LENH_GOC!R40="","",LENH_GOC!R40))</f>
        <v/>
      </c>
      <c r="T39">
        <f>IFERROR(IF($K39="",0,IF(AND(ISNUMBER($N39),INT($N39)=CAI_DAT!$B$4,LEFT(UPPER(TRIM($L39)),2)=LEFT(UPPER(TRIM(CAI_DAT!$B$5)),2),$Q39=1,OR(AND($M39="SO",ISNUMBER($P39),$P39&gt;0),AND($M39="MO",ISNUMBER($O39),$O39&gt;0))),1,0)),0)</f>
        <v>0</v>
      </c>
      <c r="U39" t="str">
        <f t="shared" si="15"/>
        <v/>
      </c>
      <c r="V39" t="str">
        <f t="shared" si="16"/>
        <v/>
      </c>
      <c r="W39" t="str">
        <f>IFERROR(IF($T39=0,"",COUNTIFS($T$3:$T$202,1,$V$3:$V$202,"&lt;"&amp;$V39)+COUNTIFS($T$3:$T39,1,$V$3:$V39,$V39)),"")</f>
        <v/>
      </c>
      <c r="X39" t="str">
        <f t="shared" si="17"/>
        <v/>
      </c>
    </row>
    <row r="40" spans="1:24">
      <c r="A40" s="5">
        <f t="shared" si="9"/>
        <v>38</v>
      </c>
      <c r="B40" s="13" t="str">
        <f t="shared" ca="1" si="10"/>
        <v/>
      </c>
      <c r="C40" s="16" t="str">
        <f t="shared" ca="1" si="11"/>
        <v/>
      </c>
      <c r="D40" s="19" t="str">
        <f t="shared" ca="1" si="12"/>
        <v/>
      </c>
      <c r="E40" s="19" t="str">
        <f ca="1">IFERROR(IF($H40="","",INDEX(LENH_GOC!$H$4:$H$203,MATCH(INDEX($K$3:$K$202,MATCH($H40,$W$3:$W$202,0)),LENH_GOC!$A$4:$A$203,0))),"")</f>
        <v/>
      </c>
      <c r="F40" s="19" t="str">
        <f t="shared" ca="1" si="13"/>
        <v/>
      </c>
      <c r="G40" s="6" t="str">
        <f t="shared" ca="1" si="14"/>
        <v/>
      </c>
      <c r="H40" t="str">
        <f ca="1">IFERROR(IF(ROW()-2&lt;=CAI_DAT!$B$10,ROW()-2,""),"")</f>
        <v/>
      </c>
      <c r="J40" t="str">
        <f>IF(LENH_GOC!A41="","",41)</f>
        <v/>
      </c>
      <c r="K40" t="str">
        <f>IF(LENH_GOC!A41="","",LENH_GOC!A41)</f>
        <v/>
      </c>
      <c r="L40" t="str">
        <f>IF($K40="","",IFERROR(TRIM(LENH_GOC!C41),""))</f>
        <v/>
      </c>
      <c r="M40" t="str">
        <f>IF($K40="","",IFERROR(UPPER(TRIM(LENH_GOC!Y41)),""))</f>
        <v/>
      </c>
      <c r="N40" s="43" t="str">
        <f>IFERROR(IF($K40="","",IF(LENH_GOC!G41="","",IF(ISNUMBER(LENH_GOC!G41),LENH_GOC!G41,DATE(VALUE(MID(LENH_GOC!G41,7,4)),VALUE(MID(LENH_GOC!G41,4,2)),VALUE(LEFT(LENH_GOC!G41,2)))+TIME(VALUE(MID(LENH_GOC!G41,12,2)),VALUE(MID(LENH_GOC!G41,15,2)),VALUE(MID(LENH_GOC!G41,18,2)))))), "")</f>
        <v/>
      </c>
      <c r="O40" t="str">
        <f>IF($K40="","",IF(LENH_GOC!E41="","",LENH_GOC!E41))</f>
        <v/>
      </c>
      <c r="P40" t="str">
        <f>IF($K40="","",IF(LENH_GOC!F41="","",LENH_GOC!F41))</f>
        <v/>
      </c>
      <c r="Q40" t="str">
        <f>IFERROR(IF($K40="","",IF(LENH_GOC!P41="","",IFERROR(VALUE(LENH_GOC!P41),IF(OR(LENH_GOC!P41=TRUE,UPPER(TRIM(LENH_GOC!P41))="TRUE"),1,0)))),"")</f>
        <v/>
      </c>
      <c r="R40" t="str">
        <f>IF($K40="","",IF(LENH_GOC!Q41="","",LENH_GOC!Q41))</f>
        <v/>
      </c>
      <c r="S40" s="43" t="str">
        <f>IF($K40="","",IF(LENH_GOC!R41="","",LENH_GOC!R41))</f>
        <v/>
      </c>
      <c r="T40">
        <f>IFERROR(IF($K40="",0,IF(AND(ISNUMBER($N40),INT($N40)=CAI_DAT!$B$4,LEFT(UPPER(TRIM($L40)),2)=LEFT(UPPER(TRIM(CAI_DAT!$B$5)),2),$Q40=1,OR(AND($M40="SO",ISNUMBER($P40),$P40&gt;0),AND($M40="MO",ISNUMBER($O40),$O40&gt;0))),1,0)),0)</f>
        <v>0</v>
      </c>
      <c r="U40" t="str">
        <f t="shared" si="15"/>
        <v/>
      </c>
      <c r="V40" t="str">
        <f t="shared" si="16"/>
        <v/>
      </c>
      <c r="W40" t="str">
        <f>IFERROR(IF($T40=0,"",COUNTIFS($T$3:$T$202,1,$V$3:$V$202,"&lt;"&amp;$V40)+COUNTIFS($T$3:$T40,1,$V$3:$V40,$V40)),"")</f>
        <v/>
      </c>
      <c r="X40" t="str">
        <f t="shared" si="17"/>
        <v/>
      </c>
    </row>
    <row r="41" spans="1:24">
      <c r="A41" s="5">
        <f t="shared" si="9"/>
        <v>39</v>
      </c>
      <c r="B41" s="13" t="str">
        <f t="shared" ca="1" si="10"/>
        <v/>
      </c>
      <c r="C41" s="16" t="str">
        <f t="shared" ca="1" si="11"/>
        <v/>
      </c>
      <c r="D41" s="19" t="str">
        <f t="shared" ca="1" si="12"/>
        <v/>
      </c>
      <c r="E41" s="19" t="str">
        <f ca="1">IFERROR(IF($H41="","",INDEX(LENH_GOC!$H$4:$H$203,MATCH(INDEX($K$3:$K$202,MATCH($H41,$W$3:$W$202,0)),LENH_GOC!$A$4:$A$203,0))),"")</f>
        <v/>
      </c>
      <c r="F41" s="19" t="str">
        <f t="shared" ca="1" si="13"/>
        <v/>
      </c>
      <c r="G41" s="6" t="str">
        <f t="shared" ca="1" si="14"/>
        <v/>
      </c>
      <c r="H41" t="str">
        <f ca="1">IFERROR(IF(ROW()-2&lt;=CAI_DAT!$B$10,ROW()-2,""),"")</f>
        <v/>
      </c>
      <c r="J41" t="str">
        <f>IF(LENH_GOC!A42="","",42)</f>
        <v/>
      </c>
      <c r="K41" t="str">
        <f>IF(LENH_GOC!A42="","",LENH_GOC!A42)</f>
        <v/>
      </c>
      <c r="L41" t="str">
        <f>IF($K41="","",IFERROR(TRIM(LENH_GOC!C42),""))</f>
        <v/>
      </c>
      <c r="M41" t="str">
        <f>IF($K41="","",IFERROR(UPPER(TRIM(LENH_GOC!Y42)),""))</f>
        <v/>
      </c>
      <c r="N41" s="43" t="str">
        <f>IFERROR(IF($K41="","",IF(LENH_GOC!G42="","",IF(ISNUMBER(LENH_GOC!G42),LENH_GOC!G42,DATE(VALUE(MID(LENH_GOC!G42,7,4)),VALUE(MID(LENH_GOC!G42,4,2)),VALUE(LEFT(LENH_GOC!G42,2)))+TIME(VALUE(MID(LENH_GOC!G42,12,2)),VALUE(MID(LENH_GOC!G42,15,2)),VALUE(MID(LENH_GOC!G42,18,2)))))), "")</f>
        <v/>
      </c>
      <c r="O41" t="str">
        <f>IF($K41="","",IF(LENH_GOC!E42="","",LENH_GOC!E42))</f>
        <v/>
      </c>
      <c r="P41" t="str">
        <f>IF($K41="","",IF(LENH_GOC!F42="","",LENH_GOC!F42))</f>
        <v/>
      </c>
      <c r="Q41" t="str">
        <f>IFERROR(IF($K41="","",IF(LENH_GOC!P42="","",IFERROR(VALUE(LENH_GOC!P42),IF(OR(LENH_GOC!P42=TRUE,UPPER(TRIM(LENH_GOC!P42))="TRUE"),1,0)))),"")</f>
        <v/>
      </c>
      <c r="R41" t="str">
        <f>IF($K41="","",IF(LENH_GOC!Q42="","",LENH_GOC!Q42))</f>
        <v/>
      </c>
      <c r="S41" s="43" t="str">
        <f>IF($K41="","",IF(LENH_GOC!R42="","",LENH_GOC!R42))</f>
        <v/>
      </c>
      <c r="T41">
        <f>IFERROR(IF($K41="",0,IF(AND(ISNUMBER($N41),INT($N41)=CAI_DAT!$B$4,LEFT(UPPER(TRIM($L41)),2)=LEFT(UPPER(TRIM(CAI_DAT!$B$5)),2),$Q41=1,OR(AND($M41="SO",ISNUMBER($P41),$P41&gt;0),AND($M41="MO",ISNUMBER($O41),$O41&gt;0))),1,0)),0)</f>
        <v>0</v>
      </c>
      <c r="U41" t="str">
        <f t="shared" si="15"/>
        <v/>
      </c>
      <c r="V41" t="str">
        <f t="shared" si="16"/>
        <v/>
      </c>
      <c r="W41" t="str">
        <f>IFERROR(IF($T41=0,"",COUNTIFS($T$3:$T$202,1,$V$3:$V$202,"&lt;"&amp;$V41)+COUNTIFS($T$3:$T41,1,$V$3:$V41,$V41)),"")</f>
        <v/>
      </c>
      <c r="X41" t="str">
        <f t="shared" si="17"/>
        <v/>
      </c>
    </row>
    <row r="42" spans="1:24">
      <c r="A42" s="5">
        <f t="shared" si="9"/>
        <v>40</v>
      </c>
      <c r="B42" s="13" t="str">
        <f t="shared" ca="1" si="10"/>
        <v/>
      </c>
      <c r="C42" s="16" t="str">
        <f t="shared" ca="1" si="11"/>
        <v/>
      </c>
      <c r="D42" s="19" t="str">
        <f t="shared" ca="1" si="12"/>
        <v/>
      </c>
      <c r="E42" s="19" t="str">
        <f ca="1">IFERROR(IF($H42="","",INDEX(LENH_GOC!$H$4:$H$203,MATCH(INDEX($K$3:$K$202,MATCH($H42,$W$3:$W$202,0)),LENH_GOC!$A$4:$A$203,0))),"")</f>
        <v/>
      </c>
      <c r="F42" s="19" t="str">
        <f t="shared" ca="1" si="13"/>
        <v/>
      </c>
      <c r="G42" s="6" t="str">
        <f t="shared" ca="1" si="14"/>
        <v/>
      </c>
      <c r="H42" t="str">
        <f ca="1">IFERROR(IF(ROW()-2&lt;=CAI_DAT!$B$10,ROW()-2,""),"")</f>
        <v/>
      </c>
      <c r="J42" t="str">
        <f>IF(LENH_GOC!A43="","",43)</f>
        <v/>
      </c>
      <c r="K42" t="str">
        <f>IF(LENH_GOC!A43="","",LENH_GOC!A43)</f>
        <v/>
      </c>
      <c r="L42" t="str">
        <f>IF($K42="","",IFERROR(TRIM(LENH_GOC!C43),""))</f>
        <v/>
      </c>
      <c r="M42" t="str">
        <f>IF($K42="","",IFERROR(UPPER(TRIM(LENH_GOC!Y43)),""))</f>
        <v/>
      </c>
      <c r="N42" s="43" t="str">
        <f>IFERROR(IF($K42="","",IF(LENH_GOC!G43="","",IF(ISNUMBER(LENH_GOC!G43),LENH_GOC!G43,DATE(VALUE(MID(LENH_GOC!G43,7,4)),VALUE(MID(LENH_GOC!G43,4,2)),VALUE(LEFT(LENH_GOC!G43,2)))+TIME(VALUE(MID(LENH_GOC!G43,12,2)),VALUE(MID(LENH_GOC!G43,15,2)),VALUE(MID(LENH_GOC!G43,18,2)))))), "")</f>
        <v/>
      </c>
      <c r="O42" t="str">
        <f>IF($K42="","",IF(LENH_GOC!E43="","",LENH_GOC!E43))</f>
        <v/>
      </c>
      <c r="P42" t="str">
        <f>IF($K42="","",IF(LENH_GOC!F43="","",LENH_GOC!F43))</f>
        <v/>
      </c>
      <c r="Q42" t="str">
        <f>IFERROR(IF($K42="","",IF(LENH_GOC!P43="","",IFERROR(VALUE(LENH_GOC!P43),IF(OR(LENH_GOC!P43=TRUE,UPPER(TRIM(LENH_GOC!P43))="TRUE"),1,0)))),"")</f>
        <v/>
      </c>
      <c r="R42" t="str">
        <f>IF($K42="","",IF(LENH_GOC!Q43="","",LENH_GOC!Q43))</f>
        <v/>
      </c>
      <c r="S42" s="43" t="str">
        <f>IF($K42="","",IF(LENH_GOC!R43="","",LENH_GOC!R43))</f>
        <v/>
      </c>
      <c r="T42">
        <f>IFERROR(IF($K42="",0,IF(AND(ISNUMBER($N42),INT($N42)=CAI_DAT!$B$4,LEFT(UPPER(TRIM($L42)),2)=LEFT(UPPER(TRIM(CAI_DAT!$B$5)),2),$Q42=1,OR(AND($M42="SO",ISNUMBER($P42),$P42&gt;0),AND($M42="MO",ISNUMBER($O42),$O42&gt;0))),1,0)),0)</f>
        <v>0</v>
      </c>
      <c r="U42" t="str">
        <f t="shared" si="15"/>
        <v/>
      </c>
      <c r="V42" t="str">
        <f t="shared" si="16"/>
        <v/>
      </c>
      <c r="W42" t="str">
        <f>IFERROR(IF($T42=0,"",COUNTIFS($T$3:$T$202,1,$V$3:$V$202,"&lt;"&amp;$V42)+COUNTIFS($T$3:$T42,1,$V$3:$V42,$V42)),"")</f>
        <v/>
      </c>
      <c r="X42" t="str">
        <f t="shared" si="17"/>
        <v/>
      </c>
    </row>
    <row r="43" spans="1:24">
      <c r="A43" s="5">
        <f t="shared" si="9"/>
        <v>41</v>
      </c>
      <c r="B43" s="13" t="str">
        <f t="shared" ca="1" si="10"/>
        <v/>
      </c>
      <c r="C43" s="16" t="str">
        <f t="shared" ca="1" si="11"/>
        <v/>
      </c>
      <c r="D43" s="19" t="str">
        <f t="shared" ca="1" si="12"/>
        <v/>
      </c>
      <c r="E43" s="19" t="str">
        <f ca="1">IFERROR(IF($H43="","",INDEX(LENH_GOC!$H$4:$H$203,MATCH(INDEX($K$3:$K$202,MATCH($H43,$W$3:$W$202,0)),LENH_GOC!$A$4:$A$203,0))),"")</f>
        <v/>
      </c>
      <c r="F43" s="19" t="str">
        <f t="shared" ca="1" si="13"/>
        <v/>
      </c>
      <c r="G43" s="6" t="str">
        <f t="shared" ca="1" si="14"/>
        <v/>
      </c>
      <c r="H43" t="str">
        <f ca="1">IFERROR(IF(ROW()-2&lt;=CAI_DAT!$B$10,ROW()-2,""),"")</f>
        <v/>
      </c>
      <c r="J43" t="str">
        <f>IF(LENH_GOC!A44="","",44)</f>
        <v/>
      </c>
      <c r="K43" t="str">
        <f>IF(LENH_GOC!A44="","",LENH_GOC!A44)</f>
        <v/>
      </c>
      <c r="L43" t="str">
        <f>IF($K43="","",IFERROR(TRIM(LENH_GOC!C44),""))</f>
        <v/>
      </c>
      <c r="M43" t="str">
        <f>IF($K43="","",IFERROR(UPPER(TRIM(LENH_GOC!Y44)),""))</f>
        <v/>
      </c>
      <c r="N43" s="43" t="str">
        <f>IFERROR(IF($K43="","",IF(LENH_GOC!G44="","",IF(ISNUMBER(LENH_GOC!G44),LENH_GOC!G44,DATE(VALUE(MID(LENH_GOC!G44,7,4)),VALUE(MID(LENH_GOC!G44,4,2)),VALUE(LEFT(LENH_GOC!G44,2)))+TIME(VALUE(MID(LENH_GOC!G44,12,2)),VALUE(MID(LENH_GOC!G44,15,2)),VALUE(MID(LENH_GOC!G44,18,2)))))), "")</f>
        <v/>
      </c>
      <c r="O43" t="str">
        <f>IF($K43="","",IF(LENH_GOC!E44="","",LENH_GOC!E44))</f>
        <v/>
      </c>
      <c r="P43" t="str">
        <f>IF($K43="","",IF(LENH_GOC!F44="","",LENH_GOC!F44))</f>
        <v/>
      </c>
      <c r="Q43" t="str">
        <f>IFERROR(IF($K43="","",IF(LENH_GOC!P44="","",IFERROR(VALUE(LENH_GOC!P44),IF(OR(LENH_GOC!P44=TRUE,UPPER(TRIM(LENH_GOC!P44))="TRUE"),1,0)))),"")</f>
        <v/>
      </c>
      <c r="R43" t="str">
        <f>IF($K43="","",IF(LENH_GOC!Q44="","",LENH_GOC!Q44))</f>
        <v/>
      </c>
      <c r="S43" s="43" t="str">
        <f>IF($K43="","",IF(LENH_GOC!R44="","",LENH_GOC!R44))</f>
        <v/>
      </c>
      <c r="T43">
        <f>IFERROR(IF($K43="",0,IF(AND(ISNUMBER($N43),INT($N43)=CAI_DAT!$B$4,LEFT(UPPER(TRIM($L43)),2)=LEFT(UPPER(TRIM(CAI_DAT!$B$5)),2),$Q43=1,OR(AND($M43="SO",ISNUMBER($P43),$P43&gt;0),AND($M43="MO",ISNUMBER($O43),$O43&gt;0))),1,0)),0)</f>
        <v>0</v>
      </c>
      <c r="U43" t="str">
        <f t="shared" si="15"/>
        <v/>
      </c>
      <c r="V43" t="str">
        <f t="shared" si="16"/>
        <v/>
      </c>
      <c r="W43" t="str">
        <f>IFERROR(IF($T43=0,"",COUNTIFS($T$3:$T$202,1,$V$3:$V$202,"&lt;"&amp;$V43)+COUNTIFS($T$3:$T43,1,$V$3:$V43,$V43)),"")</f>
        <v/>
      </c>
      <c r="X43" t="str">
        <f t="shared" si="17"/>
        <v/>
      </c>
    </row>
    <row r="44" spans="1:24">
      <c r="A44" s="5">
        <f t="shared" si="9"/>
        <v>42</v>
      </c>
      <c r="B44" s="13" t="str">
        <f t="shared" ca="1" si="10"/>
        <v/>
      </c>
      <c r="C44" s="16" t="str">
        <f t="shared" ca="1" si="11"/>
        <v/>
      </c>
      <c r="D44" s="19" t="str">
        <f t="shared" ca="1" si="12"/>
        <v/>
      </c>
      <c r="E44" s="19" t="str">
        <f ca="1">IFERROR(IF($H44="","",INDEX(LENH_GOC!$H$4:$H$203,MATCH(INDEX($K$3:$K$202,MATCH($H44,$W$3:$W$202,0)),LENH_GOC!$A$4:$A$203,0))),"")</f>
        <v/>
      </c>
      <c r="F44" s="19" t="str">
        <f t="shared" ca="1" si="13"/>
        <v/>
      </c>
      <c r="G44" s="6" t="str">
        <f t="shared" ca="1" si="14"/>
        <v/>
      </c>
      <c r="H44" t="str">
        <f ca="1">IFERROR(IF(ROW()-2&lt;=CAI_DAT!$B$10,ROW()-2,""),"")</f>
        <v/>
      </c>
      <c r="J44" t="str">
        <f>IF(LENH_GOC!A45="","",45)</f>
        <v/>
      </c>
      <c r="K44" t="str">
        <f>IF(LENH_GOC!A45="","",LENH_GOC!A45)</f>
        <v/>
      </c>
      <c r="L44" t="str">
        <f>IF($K44="","",IFERROR(TRIM(LENH_GOC!C45),""))</f>
        <v/>
      </c>
      <c r="M44" t="str">
        <f>IF($K44="","",IFERROR(UPPER(TRIM(LENH_GOC!Y45)),""))</f>
        <v/>
      </c>
      <c r="N44" s="43" t="str">
        <f>IFERROR(IF($K44="","",IF(LENH_GOC!G45="","",IF(ISNUMBER(LENH_GOC!G45),LENH_GOC!G45,DATE(VALUE(MID(LENH_GOC!G45,7,4)),VALUE(MID(LENH_GOC!G45,4,2)),VALUE(LEFT(LENH_GOC!G45,2)))+TIME(VALUE(MID(LENH_GOC!G45,12,2)),VALUE(MID(LENH_GOC!G45,15,2)),VALUE(MID(LENH_GOC!G45,18,2)))))), "")</f>
        <v/>
      </c>
      <c r="O44" t="str">
        <f>IF($K44="","",IF(LENH_GOC!E45="","",LENH_GOC!E45))</f>
        <v/>
      </c>
      <c r="P44" t="str">
        <f>IF($K44="","",IF(LENH_GOC!F45="","",LENH_GOC!F45))</f>
        <v/>
      </c>
      <c r="Q44" t="str">
        <f>IFERROR(IF($K44="","",IF(LENH_GOC!P45="","",IFERROR(VALUE(LENH_GOC!P45),IF(OR(LENH_GOC!P45=TRUE,UPPER(TRIM(LENH_GOC!P45))="TRUE"),1,0)))),"")</f>
        <v/>
      </c>
      <c r="R44" t="str">
        <f>IF($K44="","",IF(LENH_GOC!Q45="","",LENH_GOC!Q45))</f>
        <v/>
      </c>
      <c r="S44" s="43" t="str">
        <f>IF($K44="","",IF(LENH_GOC!R45="","",LENH_GOC!R45))</f>
        <v/>
      </c>
      <c r="T44">
        <f>IFERROR(IF($K44="",0,IF(AND(ISNUMBER($N44),INT($N44)=CAI_DAT!$B$4,LEFT(UPPER(TRIM($L44)),2)=LEFT(UPPER(TRIM(CAI_DAT!$B$5)),2),$Q44=1,OR(AND($M44="SO",ISNUMBER($P44),$P44&gt;0),AND($M44="MO",ISNUMBER($O44),$O44&gt;0))),1,0)),0)</f>
        <v>0</v>
      </c>
      <c r="U44" t="str">
        <f t="shared" si="15"/>
        <v/>
      </c>
      <c r="V44" t="str">
        <f t="shared" si="16"/>
        <v/>
      </c>
      <c r="W44" t="str">
        <f>IFERROR(IF($T44=0,"",COUNTIFS($T$3:$T$202,1,$V$3:$V$202,"&lt;"&amp;$V44)+COUNTIFS($T$3:$T44,1,$V$3:$V44,$V44)),"")</f>
        <v/>
      </c>
      <c r="X44" t="str">
        <f t="shared" si="17"/>
        <v/>
      </c>
    </row>
    <row r="45" spans="1:24">
      <c r="A45" s="5">
        <f t="shared" si="9"/>
        <v>43</v>
      </c>
      <c r="B45" s="13" t="str">
        <f t="shared" ca="1" si="10"/>
        <v/>
      </c>
      <c r="C45" s="16" t="str">
        <f t="shared" ca="1" si="11"/>
        <v/>
      </c>
      <c r="D45" s="19" t="str">
        <f t="shared" ca="1" si="12"/>
        <v/>
      </c>
      <c r="E45" s="19" t="str">
        <f ca="1">IFERROR(IF($H45="","",INDEX(LENH_GOC!$H$4:$H$203,MATCH(INDEX($K$3:$K$202,MATCH($H45,$W$3:$W$202,0)),LENH_GOC!$A$4:$A$203,0))),"")</f>
        <v/>
      </c>
      <c r="F45" s="19" t="str">
        <f t="shared" ca="1" si="13"/>
        <v/>
      </c>
      <c r="G45" s="6" t="str">
        <f t="shared" ca="1" si="14"/>
        <v/>
      </c>
      <c r="H45" t="str">
        <f ca="1">IFERROR(IF(ROW()-2&lt;=CAI_DAT!$B$10,ROW()-2,""),"")</f>
        <v/>
      </c>
      <c r="J45" t="str">
        <f>IF(LENH_GOC!A46="","",46)</f>
        <v/>
      </c>
      <c r="K45" t="str">
        <f>IF(LENH_GOC!A46="","",LENH_GOC!A46)</f>
        <v/>
      </c>
      <c r="L45" t="str">
        <f>IF($K45="","",IFERROR(TRIM(LENH_GOC!C46),""))</f>
        <v/>
      </c>
      <c r="M45" t="str">
        <f>IF($K45="","",IFERROR(UPPER(TRIM(LENH_GOC!Y46)),""))</f>
        <v/>
      </c>
      <c r="N45" s="43" t="str">
        <f>IFERROR(IF($K45="","",IF(LENH_GOC!G46="","",IF(ISNUMBER(LENH_GOC!G46),LENH_GOC!G46,DATE(VALUE(MID(LENH_GOC!G46,7,4)),VALUE(MID(LENH_GOC!G46,4,2)),VALUE(LEFT(LENH_GOC!G46,2)))+TIME(VALUE(MID(LENH_GOC!G46,12,2)),VALUE(MID(LENH_GOC!G46,15,2)),VALUE(MID(LENH_GOC!G46,18,2)))))), "")</f>
        <v/>
      </c>
      <c r="O45" t="str">
        <f>IF($K45="","",IF(LENH_GOC!E46="","",LENH_GOC!E46))</f>
        <v/>
      </c>
      <c r="P45" t="str">
        <f>IF($K45="","",IF(LENH_GOC!F46="","",LENH_GOC!F46))</f>
        <v/>
      </c>
      <c r="Q45" t="str">
        <f>IFERROR(IF($K45="","",IF(LENH_GOC!P46="","",IFERROR(VALUE(LENH_GOC!P46),IF(OR(LENH_GOC!P46=TRUE,UPPER(TRIM(LENH_GOC!P46))="TRUE"),1,0)))),"")</f>
        <v/>
      </c>
      <c r="R45" t="str">
        <f>IF($K45="","",IF(LENH_GOC!Q46="","",LENH_GOC!Q46))</f>
        <v/>
      </c>
      <c r="S45" s="43" t="str">
        <f>IF($K45="","",IF(LENH_GOC!R46="","",LENH_GOC!R46))</f>
        <v/>
      </c>
      <c r="T45">
        <f>IFERROR(IF($K45="",0,IF(AND(ISNUMBER($N45),INT($N45)=CAI_DAT!$B$4,LEFT(UPPER(TRIM($L45)),2)=LEFT(UPPER(TRIM(CAI_DAT!$B$5)),2),$Q45=1,OR(AND($M45="SO",ISNUMBER($P45),$P45&gt;0),AND($M45="MO",ISNUMBER($O45),$O45&gt;0))),1,0)),0)</f>
        <v>0</v>
      </c>
      <c r="U45" t="str">
        <f t="shared" si="15"/>
        <v/>
      </c>
      <c r="V45" t="str">
        <f t="shared" si="16"/>
        <v/>
      </c>
      <c r="W45" t="str">
        <f>IFERROR(IF($T45=0,"",COUNTIFS($T$3:$T$202,1,$V$3:$V$202,"&lt;"&amp;$V45)+COUNTIFS($T$3:$T45,1,$V$3:$V45,$V45)),"")</f>
        <v/>
      </c>
      <c r="X45" t="str">
        <f t="shared" si="17"/>
        <v/>
      </c>
    </row>
    <row r="46" spans="1:24">
      <c r="A46" s="5">
        <f t="shared" si="9"/>
        <v>44</v>
      </c>
      <c r="B46" s="13" t="str">
        <f t="shared" ca="1" si="10"/>
        <v/>
      </c>
      <c r="C46" s="16" t="str">
        <f t="shared" ca="1" si="11"/>
        <v/>
      </c>
      <c r="D46" s="19" t="str">
        <f t="shared" ca="1" si="12"/>
        <v/>
      </c>
      <c r="E46" s="19" t="str">
        <f ca="1">IFERROR(IF($H46="","",INDEX(LENH_GOC!$H$4:$H$203,MATCH(INDEX($K$3:$K$202,MATCH($H46,$W$3:$W$202,0)),LENH_GOC!$A$4:$A$203,0))),"")</f>
        <v/>
      </c>
      <c r="F46" s="19" t="str">
        <f t="shared" ca="1" si="13"/>
        <v/>
      </c>
      <c r="G46" s="6" t="str">
        <f t="shared" ca="1" si="14"/>
        <v/>
      </c>
      <c r="H46" t="str">
        <f ca="1">IFERROR(IF(ROW()-2&lt;=CAI_DAT!$B$10,ROW()-2,""),"")</f>
        <v/>
      </c>
      <c r="J46" t="str">
        <f>IF(LENH_GOC!A47="","",47)</f>
        <v/>
      </c>
      <c r="K46" t="str">
        <f>IF(LENH_GOC!A47="","",LENH_GOC!A47)</f>
        <v/>
      </c>
      <c r="L46" t="str">
        <f>IF($K46="","",IFERROR(TRIM(LENH_GOC!C47),""))</f>
        <v/>
      </c>
      <c r="M46" t="str">
        <f>IF($K46="","",IFERROR(UPPER(TRIM(LENH_GOC!Y47)),""))</f>
        <v/>
      </c>
      <c r="N46" s="43" t="str">
        <f>IFERROR(IF($K46="","",IF(LENH_GOC!G47="","",IF(ISNUMBER(LENH_GOC!G47),LENH_GOC!G47,DATE(VALUE(MID(LENH_GOC!G47,7,4)),VALUE(MID(LENH_GOC!G47,4,2)),VALUE(LEFT(LENH_GOC!G47,2)))+TIME(VALUE(MID(LENH_GOC!G47,12,2)),VALUE(MID(LENH_GOC!G47,15,2)),VALUE(MID(LENH_GOC!G47,18,2)))))), "")</f>
        <v/>
      </c>
      <c r="O46" t="str">
        <f>IF($K46="","",IF(LENH_GOC!E47="","",LENH_GOC!E47))</f>
        <v/>
      </c>
      <c r="P46" t="str">
        <f>IF($K46="","",IF(LENH_GOC!F47="","",LENH_GOC!F47))</f>
        <v/>
      </c>
      <c r="Q46" t="str">
        <f>IFERROR(IF($K46="","",IF(LENH_GOC!P47="","",IFERROR(VALUE(LENH_GOC!P47),IF(OR(LENH_GOC!P47=TRUE,UPPER(TRIM(LENH_GOC!P47))="TRUE"),1,0)))),"")</f>
        <v/>
      </c>
      <c r="R46" t="str">
        <f>IF($K46="","",IF(LENH_GOC!Q47="","",LENH_GOC!Q47))</f>
        <v/>
      </c>
      <c r="S46" s="43" t="str">
        <f>IF($K46="","",IF(LENH_GOC!R47="","",LENH_GOC!R47))</f>
        <v/>
      </c>
      <c r="T46">
        <f>IFERROR(IF($K46="",0,IF(AND(ISNUMBER($N46),INT($N46)=CAI_DAT!$B$4,LEFT(UPPER(TRIM($L46)),2)=LEFT(UPPER(TRIM(CAI_DAT!$B$5)),2),$Q46=1,OR(AND($M46="SO",ISNUMBER($P46),$P46&gt;0),AND($M46="MO",ISNUMBER($O46),$O46&gt;0))),1,0)),0)</f>
        <v>0</v>
      </c>
      <c r="U46" t="str">
        <f t="shared" si="15"/>
        <v/>
      </c>
      <c r="V46" t="str">
        <f t="shared" si="16"/>
        <v/>
      </c>
      <c r="W46" t="str">
        <f>IFERROR(IF($T46=0,"",COUNTIFS($T$3:$T$202,1,$V$3:$V$202,"&lt;"&amp;$V46)+COUNTIFS($T$3:$T46,1,$V$3:$V46,$V46)),"")</f>
        <v/>
      </c>
      <c r="X46" t="str">
        <f t="shared" si="17"/>
        <v/>
      </c>
    </row>
    <row r="47" spans="1:24">
      <c r="A47" s="5">
        <f t="shared" si="9"/>
        <v>45</v>
      </c>
      <c r="B47" s="13" t="str">
        <f t="shared" ca="1" si="10"/>
        <v/>
      </c>
      <c r="C47" s="16" t="str">
        <f t="shared" ca="1" si="11"/>
        <v/>
      </c>
      <c r="D47" s="19" t="str">
        <f t="shared" ca="1" si="12"/>
        <v/>
      </c>
      <c r="E47" s="19" t="str">
        <f ca="1">IFERROR(IF($H47="","",INDEX(LENH_GOC!$H$4:$H$203,MATCH(INDEX($K$3:$K$202,MATCH($H47,$W$3:$W$202,0)),LENH_GOC!$A$4:$A$203,0))),"")</f>
        <v/>
      </c>
      <c r="F47" s="19" t="str">
        <f t="shared" ca="1" si="13"/>
        <v/>
      </c>
      <c r="G47" s="6" t="str">
        <f t="shared" ca="1" si="14"/>
        <v/>
      </c>
      <c r="H47" t="str">
        <f ca="1">IFERROR(IF(ROW()-2&lt;=CAI_DAT!$B$10,ROW()-2,""),"")</f>
        <v/>
      </c>
      <c r="J47" t="str">
        <f>IF(LENH_GOC!A48="","",48)</f>
        <v/>
      </c>
      <c r="K47" t="str">
        <f>IF(LENH_GOC!A48="","",LENH_GOC!A48)</f>
        <v/>
      </c>
      <c r="L47" t="str">
        <f>IF($K47="","",IFERROR(TRIM(LENH_GOC!C48),""))</f>
        <v/>
      </c>
      <c r="M47" t="str">
        <f>IF($K47="","",IFERROR(UPPER(TRIM(LENH_GOC!Y48)),""))</f>
        <v/>
      </c>
      <c r="N47" s="43" t="str">
        <f>IFERROR(IF($K47="","",IF(LENH_GOC!G48="","",IF(ISNUMBER(LENH_GOC!G48),LENH_GOC!G48,DATE(VALUE(MID(LENH_GOC!G48,7,4)),VALUE(MID(LENH_GOC!G48,4,2)),VALUE(LEFT(LENH_GOC!G48,2)))+TIME(VALUE(MID(LENH_GOC!G48,12,2)),VALUE(MID(LENH_GOC!G48,15,2)),VALUE(MID(LENH_GOC!G48,18,2)))))), "")</f>
        <v/>
      </c>
      <c r="O47" t="str">
        <f>IF($K47="","",IF(LENH_GOC!E48="","",LENH_GOC!E48))</f>
        <v/>
      </c>
      <c r="P47" t="str">
        <f>IF($K47="","",IF(LENH_GOC!F48="","",LENH_GOC!F48))</f>
        <v/>
      </c>
      <c r="Q47" t="str">
        <f>IFERROR(IF($K47="","",IF(LENH_GOC!P48="","",IFERROR(VALUE(LENH_GOC!P48),IF(OR(LENH_GOC!P48=TRUE,UPPER(TRIM(LENH_GOC!P48))="TRUE"),1,0)))),"")</f>
        <v/>
      </c>
      <c r="R47" t="str">
        <f>IF($K47="","",IF(LENH_GOC!Q48="","",LENH_GOC!Q48))</f>
        <v/>
      </c>
      <c r="S47" s="43" t="str">
        <f>IF($K47="","",IF(LENH_GOC!R48="","",LENH_GOC!R48))</f>
        <v/>
      </c>
      <c r="T47">
        <f>IFERROR(IF($K47="",0,IF(AND(ISNUMBER($N47),INT($N47)=CAI_DAT!$B$4,LEFT(UPPER(TRIM($L47)),2)=LEFT(UPPER(TRIM(CAI_DAT!$B$5)),2),$Q47=1,OR(AND($M47="SO",ISNUMBER($P47),$P47&gt;0),AND($M47="MO",ISNUMBER($O47),$O47&gt;0))),1,0)),0)</f>
        <v>0</v>
      </c>
      <c r="U47" t="str">
        <f t="shared" si="15"/>
        <v/>
      </c>
      <c r="V47" t="str">
        <f t="shared" si="16"/>
        <v/>
      </c>
      <c r="W47" t="str">
        <f>IFERROR(IF($T47=0,"",COUNTIFS($T$3:$T$202,1,$V$3:$V$202,"&lt;"&amp;$V47)+COUNTIFS($T$3:$T47,1,$V$3:$V47,$V47)),"")</f>
        <v/>
      </c>
      <c r="X47" t="str">
        <f t="shared" si="17"/>
        <v/>
      </c>
    </row>
    <row r="48" spans="1:24">
      <c r="A48" s="5">
        <f t="shared" si="9"/>
        <v>46</v>
      </c>
      <c r="B48" s="13" t="str">
        <f t="shared" ca="1" si="10"/>
        <v/>
      </c>
      <c r="C48" s="16" t="str">
        <f t="shared" ca="1" si="11"/>
        <v/>
      </c>
      <c r="D48" s="19" t="str">
        <f t="shared" ca="1" si="12"/>
        <v/>
      </c>
      <c r="E48" s="19" t="str">
        <f ca="1">IFERROR(IF($H48="","",INDEX(LENH_GOC!$H$4:$H$203,MATCH(INDEX($K$3:$K$202,MATCH($H48,$W$3:$W$202,0)),LENH_GOC!$A$4:$A$203,0))),"")</f>
        <v/>
      </c>
      <c r="F48" s="19" t="str">
        <f t="shared" ca="1" si="13"/>
        <v/>
      </c>
      <c r="G48" s="6" t="str">
        <f t="shared" ca="1" si="14"/>
        <v/>
      </c>
      <c r="H48" t="str">
        <f ca="1">IFERROR(IF(ROW()-2&lt;=CAI_DAT!$B$10,ROW()-2,""),"")</f>
        <v/>
      </c>
      <c r="J48" t="str">
        <f>IF(LENH_GOC!A49="","",49)</f>
        <v/>
      </c>
      <c r="K48" t="str">
        <f>IF(LENH_GOC!A49="","",LENH_GOC!A49)</f>
        <v/>
      </c>
      <c r="L48" t="str">
        <f>IF($K48="","",IFERROR(TRIM(LENH_GOC!C49),""))</f>
        <v/>
      </c>
      <c r="M48" t="str">
        <f>IF($K48="","",IFERROR(UPPER(TRIM(LENH_GOC!Y49)),""))</f>
        <v/>
      </c>
      <c r="N48" s="43" t="str">
        <f>IFERROR(IF($K48="","",IF(LENH_GOC!G49="","",IF(ISNUMBER(LENH_GOC!G49),LENH_GOC!G49,DATE(VALUE(MID(LENH_GOC!G49,7,4)),VALUE(MID(LENH_GOC!G49,4,2)),VALUE(LEFT(LENH_GOC!G49,2)))+TIME(VALUE(MID(LENH_GOC!G49,12,2)),VALUE(MID(LENH_GOC!G49,15,2)),VALUE(MID(LENH_GOC!G49,18,2)))))), "")</f>
        <v/>
      </c>
      <c r="O48" t="str">
        <f>IF($K48="","",IF(LENH_GOC!E49="","",LENH_GOC!E49))</f>
        <v/>
      </c>
      <c r="P48" t="str">
        <f>IF($K48="","",IF(LENH_GOC!F49="","",LENH_GOC!F49))</f>
        <v/>
      </c>
      <c r="Q48" t="str">
        <f>IFERROR(IF($K48="","",IF(LENH_GOC!P49="","",IFERROR(VALUE(LENH_GOC!P49),IF(OR(LENH_GOC!P49=TRUE,UPPER(TRIM(LENH_GOC!P49))="TRUE"),1,0)))),"")</f>
        <v/>
      </c>
      <c r="R48" t="str">
        <f>IF($K48="","",IF(LENH_GOC!Q49="","",LENH_GOC!Q49))</f>
        <v/>
      </c>
      <c r="S48" s="43" t="str">
        <f>IF($K48="","",IF(LENH_GOC!R49="","",LENH_GOC!R49))</f>
        <v/>
      </c>
      <c r="T48">
        <f>IFERROR(IF($K48="",0,IF(AND(ISNUMBER($N48),INT($N48)=CAI_DAT!$B$4,LEFT(UPPER(TRIM($L48)),2)=LEFT(UPPER(TRIM(CAI_DAT!$B$5)),2),$Q48=1,OR(AND($M48="SO",ISNUMBER($P48),$P48&gt;0),AND($M48="MO",ISNUMBER($O48),$O48&gt;0))),1,0)),0)</f>
        <v>0</v>
      </c>
      <c r="U48" t="str">
        <f t="shared" si="15"/>
        <v/>
      </c>
      <c r="V48" t="str">
        <f t="shared" si="16"/>
        <v/>
      </c>
      <c r="W48" t="str">
        <f>IFERROR(IF($T48=0,"",COUNTIFS($T$3:$T$202,1,$V$3:$V$202,"&lt;"&amp;$V48)+COUNTIFS($T$3:$T48,1,$V$3:$V48,$V48)),"")</f>
        <v/>
      </c>
      <c r="X48" t="str">
        <f t="shared" si="17"/>
        <v/>
      </c>
    </row>
    <row r="49" spans="1:24">
      <c r="A49" s="5">
        <f t="shared" si="9"/>
        <v>47</v>
      </c>
      <c r="B49" s="13" t="str">
        <f t="shared" ca="1" si="10"/>
        <v/>
      </c>
      <c r="C49" s="16" t="str">
        <f t="shared" ca="1" si="11"/>
        <v/>
      </c>
      <c r="D49" s="19" t="str">
        <f t="shared" ca="1" si="12"/>
        <v/>
      </c>
      <c r="E49" s="19" t="str">
        <f ca="1">IFERROR(IF($H49="","",INDEX(LENH_GOC!$H$4:$H$203,MATCH(INDEX($K$3:$K$202,MATCH($H49,$W$3:$W$202,0)),LENH_GOC!$A$4:$A$203,0))),"")</f>
        <v/>
      </c>
      <c r="F49" s="19" t="str">
        <f t="shared" ca="1" si="13"/>
        <v/>
      </c>
      <c r="G49" s="6" t="str">
        <f t="shared" ca="1" si="14"/>
        <v/>
      </c>
      <c r="H49" t="str">
        <f ca="1">IFERROR(IF(ROW()-2&lt;=CAI_DAT!$B$10,ROW()-2,""),"")</f>
        <v/>
      </c>
      <c r="J49" t="str">
        <f>IF(LENH_GOC!A50="","",50)</f>
        <v/>
      </c>
      <c r="K49" t="str">
        <f>IF(LENH_GOC!A50="","",LENH_GOC!A50)</f>
        <v/>
      </c>
      <c r="L49" t="str">
        <f>IF($K49="","",IFERROR(TRIM(LENH_GOC!C50),""))</f>
        <v/>
      </c>
      <c r="M49" t="str">
        <f>IF($K49="","",IFERROR(UPPER(TRIM(LENH_GOC!Y50)),""))</f>
        <v/>
      </c>
      <c r="N49" s="43" t="str">
        <f>IFERROR(IF($K49="","",IF(LENH_GOC!G50="","",IF(ISNUMBER(LENH_GOC!G50),LENH_GOC!G50,DATE(VALUE(MID(LENH_GOC!G50,7,4)),VALUE(MID(LENH_GOC!G50,4,2)),VALUE(LEFT(LENH_GOC!G50,2)))+TIME(VALUE(MID(LENH_GOC!G50,12,2)),VALUE(MID(LENH_GOC!G50,15,2)),VALUE(MID(LENH_GOC!G50,18,2)))))), "")</f>
        <v/>
      </c>
      <c r="O49" t="str">
        <f>IF($K49="","",IF(LENH_GOC!E50="","",LENH_GOC!E50))</f>
        <v/>
      </c>
      <c r="P49" t="str">
        <f>IF($K49="","",IF(LENH_GOC!F50="","",LENH_GOC!F50))</f>
        <v/>
      </c>
      <c r="Q49" t="str">
        <f>IFERROR(IF($K49="","",IF(LENH_GOC!P50="","",IFERROR(VALUE(LENH_GOC!P50),IF(OR(LENH_GOC!P50=TRUE,UPPER(TRIM(LENH_GOC!P50))="TRUE"),1,0)))),"")</f>
        <v/>
      </c>
      <c r="R49" t="str">
        <f>IF($K49="","",IF(LENH_GOC!Q50="","",LENH_GOC!Q50))</f>
        <v/>
      </c>
      <c r="S49" s="43" t="str">
        <f>IF($K49="","",IF(LENH_GOC!R50="","",LENH_GOC!R50))</f>
        <v/>
      </c>
      <c r="T49">
        <f>IFERROR(IF($K49="",0,IF(AND(ISNUMBER($N49),INT($N49)=CAI_DAT!$B$4,LEFT(UPPER(TRIM($L49)),2)=LEFT(UPPER(TRIM(CAI_DAT!$B$5)),2),$Q49=1,OR(AND($M49="SO",ISNUMBER($P49),$P49&gt;0),AND($M49="MO",ISNUMBER($O49),$O49&gt;0))),1,0)),0)</f>
        <v>0</v>
      </c>
      <c r="U49" t="str">
        <f t="shared" si="15"/>
        <v/>
      </c>
      <c r="V49" t="str">
        <f t="shared" si="16"/>
        <v/>
      </c>
      <c r="W49" t="str">
        <f>IFERROR(IF($T49=0,"",COUNTIFS($T$3:$T$202,1,$V$3:$V$202,"&lt;"&amp;$V49)+COUNTIFS($T$3:$T49,1,$V$3:$V49,$V49)),"")</f>
        <v/>
      </c>
      <c r="X49" t="str">
        <f t="shared" si="17"/>
        <v/>
      </c>
    </row>
    <row r="50" spans="1:24">
      <c r="A50" s="5">
        <f t="shared" si="9"/>
        <v>48</v>
      </c>
      <c r="B50" s="13" t="str">
        <f t="shared" ca="1" si="10"/>
        <v/>
      </c>
      <c r="C50" s="16" t="str">
        <f t="shared" ca="1" si="11"/>
        <v/>
      </c>
      <c r="D50" s="19" t="str">
        <f t="shared" ca="1" si="12"/>
        <v/>
      </c>
      <c r="E50" s="19" t="str">
        <f ca="1">IFERROR(IF($H50="","",INDEX(LENH_GOC!$H$4:$H$203,MATCH(INDEX($K$3:$K$202,MATCH($H50,$W$3:$W$202,0)),LENH_GOC!$A$4:$A$203,0))),"")</f>
        <v/>
      </c>
      <c r="F50" s="19" t="str">
        <f t="shared" ca="1" si="13"/>
        <v/>
      </c>
      <c r="G50" s="6" t="str">
        <f t="shared" ca="1" si="14"/>
        <v/>
      </c>
      <c r="H50" t="str">
        <f ca="1">IFERROR(IF(ROW()-2&lt;=CAI_DAT!$B$10,ROW()-2,""),"")</f>
        <v/>
      </c>
      <c r="J50" t="str">
        <f>IF(LENH_GOC!A51="","",51)</f>
        <v/>
      </c>
      <c r="K50" t="str">
        <f>IF(LENH_GOC!A51="","",LENH_GOC!A51)</f>
        <v/>
      </c>
      <c r="L50" t="str">
        <f>IF($K50="","",IFERROR(TRIM(LENH_GOC!C51),""))</f>
        <v/>
      </c>
      <c r="M50" t="str">
        <f>IF($K50="","",IFERROR(UPPER(TRIM(LENH_GOC!Y51)),""))</f>
        <v/>
      </c>
      <c r="N50" s="43" t="str">
        <f>IFERROR(IF($K50="","",IF(LENH_GOC!G51="","",IF(ISNUMBER(LENH_GOC!G51),LENH_GOC!G51,DATE(VALUE(MID(LENH_GOC!G51,7,4)),VALUE(MID(LENH_GOC!G51,4,2)),VALUE(LEFT(LENH_GOC!G51,2)))+TIME(VALUE(MID(LENH_GOC!G51,12,2)),VALUE(MID(LENH_GOC!G51,15,2)),VALUE(MID(LENH_GOC!G51,18,2)))))), "")</f>
        <v/>
      </c>
      <c r="O50" t="str">
        <f>IF($K50="","",IF(LENH_GOC!E51="","",LENH_GOC!E51))</f>
        <v/>
      </c>
      <c r="P50" t="str">
        <f>IF($K50="","",IF(LENH_GOC!F51="","",LENH_GOC!F51))</f>
        <v/>
      </c>
      <c r="Q50" t="str">
        <f>IFERROR(IF($K50="","",IF(LENH_GOC!P51="","",IFERROR(VALUE(LENH_GOC!P51),IF(OR(LENH_GOC!P51=TRUE,UPPER(TRIM(LENH_GOC!P51))="TRUE"),1,0)))),"")</f>
        <v/>
      </c>
      <c r="R50" t="str">
        <f>IF($K50="","",IF(LENH_GOC!Q51="","",LENH_GOC!Q51))</f>
        <v/>
      </c>
      <c r="S50" s="43" t="str">
        <f>IF($K50="","",IF(LENH_GOC!R51="","",LENH_GOC!R51))</f>
        <v/>
      </c>
      <c r="T50">
        <f>IFERROR(IF($K50="",0,IF(AND(ISNUMBER($N50),INT($N50)=CAI_DAT!$B$4,LEFT(UPPER(TRIM($L50)),2)=LEFT(UPPER(TRIM(CAI_DAT!$B$5)),2),$Q50=1,OR(AND($M50="SO",ISNUMBER($P50),$P50&gt;0),AND($M50="MO",ISNUMBER($O50),$O50&gt;0))),1,0)),0)</f>
        <v>0</v>
      </c>
      <c r="U50" t="str">
        <f t="shared" si="15"/>
        <v/>
      </c>
      <c r="V50" t="str">
        <f t="shared" si="16"/>
        <v/>
      </c>
      <c r="W50" t="str">
        <f>IFERROR(IF($T50=0,"",COUNTIFS($T$3:$T$202,1,$V$3:$V$202,"&lt;"&amp;$V50)+COUNTIFS($T$3:$T50,1,$V$3:$V50,$V50)),"")</f>
        <v/>
      </c>
      <c r="X50" t="str">
        <f t="shared" si="17"/>
        <v/>
      </c>
    </row>
    <row r="51" spans="1:24">
      <c r="A51" s="5">
        <f t="shared" si="9"/>
        <v>49</v>
      </c>
      <c r="B51" s="13" t="str">
        <f t="shared" ca="1" si="10"/>
        <v/>
      </c>
      <c r="C51" s="16" t="str">
        <f t="shared" ca="1" si="11"/>
        <v/>
      </c>
      <c r="D51" s="19" t="str">
        <f t="shared" ca="1" si="12"/>
        <v/>
      </c>
      <c r="E51" s="19" t="str">
        <f ca="1">IFERROR(IF($H51="","",INDEX(LENH_GOC!$H$4:$H$203,MATCH(INDEX($K$3:$K$202,MATCH($H51,$W$3:$W$202,0)),LENH_GOC!$A$4:$A$203,0))),"")</f>
        <v/>
      </c>
      <c r="F51" s="19" t="str">
        <f t="shared" ca="1" si="13"/>
        <v/>
      </c>
      <c r="G51" s="6" t="str">
        <f t="shared" ca="1" si="14"/>
        <v/>
      </c>
      <c r="H51" t="str">
        <f ca="1">IFERROR(IF(ROW()-2&lt;=CAI_DAT!$B$10,ROW()-2,""),"")</f>
        <v/>
      </c>
      <c r="J51" t="str">
        <f>IF(LENH_GOC!A52="","",52)</f>
        <v/>
      </c>
      <c r="K51" t="str">
        <f>IF(LENH_GOC!A52="","",LENH_GOC!A52)</f>
        <v/>
      </c>
      <c r="L51" t="str">
        <f>IF($K51="","",IFERROR(TRIM(LENH_GOC!C52),""))</f>
        <v/>
      </c>
      <c r="M51" t="str">
        <f>IF($K51="","",IFERROR(UPPER(TRIM(LENH_GOC!Y52)),""))</f>
        <v/>
      </c>
      <c r="N51" s="43" t="str">
        <f>IFERROR(IF($K51="","",IF(LENH_GOC!G52="","",IF(ISNUMBER(LENH_GOC!G52),LENH_GOC!G52,DATE(VALUE(MID(LENH_GOC!G52,7,4)),VALUE(MID(LENH_GOC!G52,4,2)),VALUE(LEFT(LENH_GOC!G52,2)))+TIME(VALUE(MID(LENH_GOC!G52,12,2)),VALUE(MID(LENH_GOC!G52,15,2)),VALUE(MID(LENH_GOC!G52,18,2)))))), "")</f>
        <v/>
      </c>
      <c r="O51" t="str">
        <f>IF($K51="","",IF(LENH_GOC!E52="","",LENH_GOC!E52))</f>
        <v/>
      </c>
      <c r="P51" t="str">
        <f>IF($K51="","",IF(LENH_GOC!F52="","",LENH_GOC!F52))</f>
        <v/>
      </c>
      <c r="Q51" t="str">
        <f>IFERROR(IF($K51="","",IF(LENH_GOC!P52="","",IFERROR(VALUE(LENH_GOC!P52),IF(OR(LENH_GOC!P52=TRUE,UPPER(TRIM(LENH_GOC!P52))="TRUE"),1,0)))),"")</f>
        <v/>
      </c>
      <c r="R51" t="str">
        <f>IF($K51="","",IF(LENH_GOC!Q52="","",LENH_GOC!Q52))</f>
        <v/>
      </c>
      <c r="S51" s="43" t="str">
        <f>IF($K51="","",IF(LENH_GOC!R52="","",LENH_GOC!R52))</f>
        <v/>
      </c>
      <c r="T51">
        <f>IFERROR(IF($K51="",0,IF(AND(ISNUMBER($N51),INT($N51)=CAI_DAT!$B$4,LEFT(UPPER(TRIM($L51)),2)=LEFT(UPPER(TRIM(CAI_DAT!$B$5)),2),$Q51=1,OR(AND($M51="SO",ISNUMBER($P51),$P51&gt;0),AND($M51="MO",ISNUMBER($O51),$O51&gt;0))),1,0)),0)</f>
        <v>0</v>
      </c>
      <c r="U51" t="str">
        <f t="shared" si="15"/>
        <v/>
      </c>
      <c r="V51" t="str">
        <f t="shared" si="16"/>
        <v/>
      </c>
      <c r="W51" t="str">
        <f>IFERROR(IF($T51=0,"",COUNTIFS($T$3:$T$202,1,$V$3:$V$202,"&lt;"&amp;$V51)+COUNTIFS($T$3:$T51,1,$V$3:$V51,$V51)),"")</f>
        <v/>
      </c>
      <c r="X51" t="str">
        <f t="shared" si="17"/>
        <v/>
      </c>
    </row>
    <row r="52" spans="1:24">
      <c r="A52" s="5">
        <f t="shared" si="9"/>
        <v>50</v>
      </c>
      <c r="B52" s="13" t="str">
        <f t="shared" ca="1" si="10"/>
        <v/>
      </c>
      <c r="C52" s="16" t="str">
        <f t="shared" ca="1" si="11"/>
        <v/>
      </c>
      <c r="D52" s="19" t="str">
        <f t="shared" ca="1" si="12"/>
        <v/>
      </c>
      <c r="E52" s="19" t="str">
        <f ca="1">IFERROR(IF($H52="","",INDEX(LENH_GOC!$H$4:$H$203,MATCH(INDEX($K$3:$K$202,MATCH($H52,$W$3:$W$202,0)),LENH_GOC!$A$4:$A$203,0))),"")</f>
        <v/>
      </c>
      <c r="F52" s="19" t="str">
        <f t="shared" ca="1" si="13"/>
        <v/>
      </c>
      <c r="G52" s="6" t="str">
        <f t="shared" ca="1" si="14"/>
        <v/>
      </c>
      <c r="H52" t="str">
        <f ca="1">IFERROR(IF(ROW()-2&lt;=CAI_DAT!$B$10,ROW()-2,""),"")</f>
        <v/>
      </c>
      <c r="J52" t="str">
        <f>IF(LENH_GOC!A53="","",53)</f>
        <v/>
      </c>
      <c r="K52" t="str">
        <f>IF(LENH_GOC!A53="","",LENH_GOC!A53)</f>
        <v/>
      </c>
      <c r="L52" t="str">
        <f>IF($K52="","",IFERROR(TRIM(LENH_GOC!C53),""))</f>
        <v/>
      </c>
      <c r="M52" t="str">
        <f>IF($K52="","",IFERROR(UPPER(TRIM(LENH_GOC!Y53)),""))</f>
        <v/>
      </c>
      <c r="N52" s="43" t="str">
        <f>IFERROR(IF($K52="","",IF(LENH_GOC!G53="","",IF(ISNUMBER(LENH_GOC!G53),LENH_GOC!G53,DATE(VALUE(MID(LENH_GOC!G53,7,4)),VALUE(MID(LENH_GOC!G53,4,2)),VALUE(LEFT(LENH_GOC!G53,2)))+TIME(VALUE(MID(LENH_GOC!G53,12,2)),VALUE(MID(LENH_GOC!G53,15,2)),VALUE(MID(LENH_GOC!G53,18,2)))))), "")</f>
        <v/>
      </c>
      <c r="O52" t="str">
        <f>IF($K52="","",IF(LENH_GOC!E53="","",LENH_GOC!E53))</f>
        <v/>
      </c>
      <c r="P52" t="str">
        <f>IF($K52="","",IF(LENH_GOC!F53="","",LENH_GOC!F53))</f>
        <v/>
      </c>
      <c r="Q52" t="str">
        <f>IFERROR(IF($K52="","",IF(LENH_GOC!P53="","",IFERROR(VALUE(LENH_GOC!P53),IF(OR(LENH_GOC!P53=TRUE,UPPER(TRIM(LENH_GOC!P53))="TRUE"),1,0)))),"")</f>
        <v/>
      </c>
      <c r="R52" t="str">
        <f>IF($K52="","",IF(LENH_GOC!Q53="","",LENH_GOC!Q53))</f>
        <v/>
      </c>
      <c r="S52" s="43" t="str">
        <f>IF($K52="","",IF(LENH_GOC!R53="","",LENH_GOC!R53))</f>
        <v/>
      </c>
      <c r="T52">
        <f>IFERROR(IF($K52="",0,IF(AND(ISNUMBER($N52),INT($N52)=CAI_DAT!$B$4,LEFT(UPPER(TRIM($L52)),2)=LEFT(UPPER(TRIM(CAI_DAT!$B$5)),2),$Q52=1,OR(AND($M52="SO",ISNUMBER($P52),$P52&gt;0),AND($M52="MO",ISNUMBER($O52),$O52&gt;0))),1,0)),0)</f>
        <v>0</v>
      </c>
      <c r="U52" t="str">
        <f t="shared" si="15"/>
        <v/>
      </c>
      <c r="V52" t="str">
        <f t="shared" si="16"/>
        <v/>
      </c>
      <c r="W52" t="str">
        <f>IFERROR(IF($T52=0,"",COUNTIFS($T$3:$T$202,1,$V$3:$V$202,"&lt;"&amp;$V52)+COUNTIFS($T$3:$T52,1,$V$3:$V52,$V52)),"")</f>
        <v/>
      </c>
      <c r="X52" t="str">
        <f t="shared" si="17"/>
        <v/>
      </c>
    </row>
    <row r="53" spans="1:24">
      <c r="A53" s="5">
        <f t="shared" si="9"/>
        <v>51</v>
      </c>
      <c r="B53" s="13" t="str">
        <f t="shared" ca="1" si="10"/>
        <v/>
      </c>
      <c r="C53" s="16" t="str">
        <f t="shared" ca="1" si="11"/>
        <v/>
      </c>
      <c r="D53" s="19" t="str">
        <f t="shared" ca="1" si="12"/>
        <v/>
      </c>
      <c r="E53" s="19" t="str">
        <f ca="1">IFERROR(IF($H53="","",INDEX(LENH_GOC!$H$4:$H$203,MATCH(INDEX($K$3:$K$202,MATCH($H53,$W$3:$W$202,0)),LENH_GOC!$A$4:$A$203,0))),"")</f>
        <v/>
      </c>
      <c r="F53" s="19" t="str">
        <f t="shared" ca="1" si="13"/>
        <v/>
      </c>
      <c r="G53" s="6" t="str">
        <f t="shared" ca="1" si="14"/>
        <v/>
      </c>
      <c r="H53" t="str">
        <f ca="1">IFERROR(IF(ROW()-2&lt;=CAI_DAT!$B$10,ROW()-2,""),"")</f>
        <v/>
      </c>
      <c r="J53" t="str">
        <f>IF(LENH_GOC!A54="","",54)</f>
        <v/>
      </c>
      <c r="K53" t="str">
        <f>IF(LENH_GOC!A54="","",LENH_GOC!A54)</f>
        <v/>
      </c>
      <c r="L53" t="str">
        <f>IF($K53="","",IFERROR(TRIM(LENH_GOC!C54),""))</f>
        <v/>
      </c>
      <c r="M53" t="str">
        <f>IF($K53="","",IFERROR(UPPER(TRIM(LENH_GOC!Y54)),""))</f>
        <v/>
      </c>
      <c r="N53" s="43" t="str">
        <f>IFERROR(IF($K53="","",IF(LENH_GOC!G54="","",IF(ISNUMBER(LENH_GOC!G54),LENH_GOC!G54,DATE(VALUE(MID(LENH_GOC!G54,7,4)),VALUE(MID(LENH_GOC!G54,4,2)),VALUE(LEFT(LENH_GOC!G54,2)))+TIME(VALUE(MID(LENH_GOC!G54,12,2)),VALUE(MID(LENH_GOC!G54,15,2)),VALUE(MID(LENH_GOC!G54,18,2)))))), "")</f>
        <v/>
      </c>
      <c r="O53" t="str">
        <f>IF($K53="","",IF(LENH_GOC!E54="","",LENH_GOC!E54))</f>
        <v/>
      </c>
      <c r="P53" t="str">
        <f>IF($K53="","",IF(LENH_GOC!F54="","",LENH_GOC!F54))</f>
        <v/>
      </c>
      <c r="Q53" t="str">
        <f>IFERROR(IF($K53="","",IF(LENH_GOC!P54="","",IFERROR(VALUE(LENH_GOC!P54),IF(OR(LENH_GOC!P54=TRUE,UPPER(TRIM(LENH_GOC!P54))="TRUE"),1,0)))),"")</f>
        <v/>
      </c>
      <c r="R53" t="str">
        <f>IF($K53="","",IF(LENH_GOC!Q54="","",LENH_GOC!Q54))</f>
        <v/>
      </c>
      <c r="S53" s="43" t="str">
        <f>IF($K53="","",IF(LENH_GOC!R54="","",LENH_GOC!R54))</f>
        <v/>
      </c>
      <c r="T53">
        <f>IFERROR(IF($K53="",0,IF(AND(ISNUMBER($N53),INT($N53)=CAI_DAT!$B$4,LEFT(UPPER(TRIM($L53)),2)=LEFT(UPPER(TRIM(CAI_DAT!$B$5)),2),$Q53=1,OR(AND($M53="SO",ISNUMBER($P53),$P53&gt;0),AND($M53="MO",ISNUMBER($O53),$O53&gt;0))),1,0)),0)</f>
        <v>0</v>
      </c>
      <c r="U53" t="str">
        <f t="shared" si="15"/>
        <v/>
      </c>
      <c r="V53" t="str">
        <f t="shared" si="16"/>
        <v/>
      </c>
      <c r="W53" t="str">
        <f>IFERROR(IF($T53=0,"",COUNTIFS($T$3:$T$202,1,$V$3:$V$202,"&lt;"&amp;$V53)+COUNTIFS($T$3:$T53,1,$V$3:$V53,$V53)),"")</f>
        <v/>
      </c>
      <c r="X53" t="str">
        <f t="shared" si="17"/>
        <v/>
      </c>
    </row>
    <row r="54" spans="1:24">
      <c r="A54" s="5">
        <f t="shared" si="9"/>
        <v>52</v>
      </c>
      <c r="B54" s="13" t="str">
        <f t="shared" ca="1" si="10"/>
        <v/>
      </c>
      <c r="C54" s="16" t="str">
        <f t="shared" ca="1" si="11"/>
        <v/>
      </c>
      <c r="D54" s="19" t="str">
        <f t="shared" ca="1" si="12"/>
        <v/>
      </c>
      <c r="E54" s="19" t="str">
        <f ca="1">IFERROR(IF($H54="","",INDEX(LENH_GOC!$H$4:$H$203,MATCH(INDEX($K$3:$K$202,MATCH($H54,$W$3:$W$202,0)),LENH_GOC!$A$4:$A$203,0))),"")</f>
        <v/>
      </c>
      <c r="F54" s="19" t="str">
        <f t="shared" ca="1" si="13"/>
        <v/>
      </c>
      <c r="G54" s="6" t="str">
        <f t="shared" ca="1" si="14"/>
        <v/>
      </c>
      <c r="H54" t="str">
        <f ca="1">IFERROR(IF(ROW()-2&lt;=CAI_DAT!$B$10,ROW()-2,""),"")</f>
        <v/>
      </c>
      <c r="J54" t="str">
        <f>IF(LENH_GOC!A55="","",55)</f>
        <v/>
      </c>
      <c r="K54" t="str">
        <f>IF(LENH_GOC!A55="","",LENH_GOC!A55)</f>
        <v/>
      </c>
      <c r="L54" t="str">
        <f>IF($K54="","",IFERROR(TRIM(LENH_GOC!C55),""))</f>
        <v/>
      </c>
      <c r="M54" t="str">
        <f>IF($K54="","",IFERROR(UPPER(TRIM(LENH_GOC!Y55)),""))</f>
        <v/>
      </c>
      <c r="N54" s="43" t="str">
        <f>IFERROR(IF($K54="","",IF(LENH_GOC!G55="","",IF(ISNUMBER(LENH_GOC!G55),LENH_GOC!G55,DATE(VALUE(MID(LENH_GOC!G55,7,4)),VALUE(MID(LENH_GOC!G55,4,2)),VALUE(LEFT(LENH_GOC!G55,2)))+TIME(VALUE(MID(LENH_GOC!G55,12,2)),VALUE(MID(LENH_GOC!G55,15,2)),VALUE(MID(LENH_GOC!G55,18,2)))))), "")</f>
        <v/>
      </c>
      <c r="O54" t="str">
        <f>IF($K54="","",IF(LENH_GOC!E55="","",LENH_GOC!E55))</f>
        <v/>
      </c>
      <c r="P54" t="str">
        <f>IF($K54="","",IF(LENH_GOC!F55="","",LENH_GOC!F55))</f>
        <v/>
      </c>
      <c r="Q54" t="str">
        <f>IFERROR(IF($K54="","",IF(LENH_GOC!P55="","",IFERROR(VALUE(LENH_GOC!P55),IF(OR(LENH_GOC!P55=TRUE,UPPER(TRIM(LENH_GOC!P55))="TRUE"),1,0)))),"")</f>
        <v/>
      </c>
      <c r="R54" t="str">
        <f>IF($K54="","",IF(LENH_GOC!Q55="","",LENH_GOC!Q55))</f>
        <v/>
      </c>
      <c r="S54" s="43" t="str">
        <f>IF($K54="","",IF(LENH_GOC!R55="","",LENH_GOC!R55))</f>
        <v/>
      </c>
      <c r="T54">
        <f>IFERROR(IF($K54="",0,IF(AND(ISNUMBER($N54),INT($N54)=CAI_DAT!$B$4,LEFT(UPPER(TRIM($L54)),2)=LEFT(UPPER(TRIM(CAI_DAT!$B$5)),2),$Q54=1,OR(AND($M54="SO",ISNUMBER($P54),$P54&gt;0),AND($M54="MO",ISNUMBER($O54),$O54&gt;0))),1,0)),0)</f>
        <v>0</v>
      </c>
      <c r="U54" t="str">
        <f t="shared" si="15"/>
        <v/>
      </c>
      <c r="V54" t="str">
        <f t="shared" si="16"/>
        <v/>
      </c>
      <c r="W54" t="str">
        <f>IFERROR(IF($T54=0,"",COUNTIFS($T$3:$T$202,1,$V$3:$V$202,"&lt;"&amp;$V54)+COUNTIFS($T$3:$T54,1,$V$3:$V54,$V54)),"")</f>
        <v/>
      </c>
      <c r="X54" t="str">
        <f t="shared" si="17"/>
        <v/>
      </c>
    </row>
    <row r="55" spans="1:24">
      <c r="A55" s="5">
        <f t="shared" si="9"/>
        <v>53</v>
      </c>
      <c r="B55" s="13" t="str">
        <f t="shared" ca="1" si="10"/>
        <v/>
      </c>
      <c r="C55" s="16" t="str">
        <f t="shared" ca="1" si="11"/>
        <v/>
      </c>
      <c r="D55" s="19" t="str">
        <f t="shared" ca="1" si="12"/>
        <v/>
      </c>
      <c r="E55" s="19" t="str">
        <f ca="1">IFERROR(IF($H55="","",INDEX(LENH_GOC!$H$4:$H$203,MATCH(INDEX($K$3:$K$202,MATCH($H55,$W$3:$W$202,0)),LENH_GOC!$A$4:$A$203,0))),"")</f>
        <v/>
      </c>
      <c r="F55" s="19" t="str">
        <f t="shared" ca="1" si="13"/>
        <v/>
      </c>
      <c r="G55" s="6" t="str">
        <f t="shared" ca="1" si="14"/>
        <v/>
      </c>
      <c r="H55" t="str">
        <f ca="1">IFERROR(IF(ROW()-2&lt;=CAI_DAT!$B$10,ROW()-2,""),"")</f>
        <v/>
      </c>
      <c r="J55" t="str">
        <f>IF(LENH_GOC!A56="","",56)</f>
        <v/>
      </c>
      <c r="K55" t="str">
        <f>IF(LENH_GOC!A56="","",LENH_GOC!A56)</f>
        <v/>
      </c>
      <c r="L55" t="str">
        <f>IF($K55="","",IFERROR(TRIM(LENH_GOC!C56),""))</f>
        <v/>
      </c>
      <c r="M55" t="str">
        <f>IF($K55="","",IFERROR(UPPER(TRIM(LENH_GOC!Y56)),""))</f>
        <v/>
      </c>
      <c r="N55" s="43" t="str">
        <f>IFERROR(IF($K55="","",IF(LENH_GOC!G56="","",IF(ISNUMBER(LENH_GOC!G56),LENH_GOC!G56,DATE(VALUE(MID(LENH_GOC!G56,7,4)),VALUE(MID(LENH_GOC!G56,4,2)),VALUE(LEFT(LENH_GOC!G56,2)))+TIME(VALUE(MID(LENH_GOC!G56,12,2)),VALUE(MID(LENH_GOC!G56,15,2)),VALUE(MID(LENH_GOC!G56,18,2)))))), "")</f>
        <v/>
      </c>
      <c r="O55" t="str">
        <f>IF($K55="","",IF(LENH_GOC!E56="","",LENH_GOC!E56))</f>
        <v/>
      </c>
      <c r="P55" t="str">
        <f>IF($K55="","",IF(LENH_GOC!F56="","",LENH_GOC!F56))</f>
        <v/>
      </c>
      <c r="Q55" t="str">
        <f>IFERROR(IF($K55="","",IF(LENH_GOC!P56="","",IFERROR(VALUE(LENH_GOC!P56),IF(OR(LENH_GOC!P56=TRUE,UPPER(TRIM(LENH_GOC!P56))="TRUE"),1,0)))),"")</f>
        <v/>
      </c>
      <c r="R55" t="str">
        <f>IF($K55="","",IF(LENH_GOC!Q56="","",LENH_GOC!Q56))</f>
        <v/>
      </c>
      <c r="S55" s="43" t="str">
        <f>IF($K55="","",IF(LENH_GOC!R56="","",LENH_GOC!R56))</f>
        <v/>
      </c>
      <c r="T55">
        <f>IFERROR(IF($K55="",0,IF(AND(ISNUMBER($N55),INT($N55)=CAI_DAT!$B$4,LEFT(UPPER(TRIM($L55)),2)=LEFT(UPPER(TRIM(CAI_DAT!$B$5)),2),$Q55=1,OR(AND($M55="SO",ISNUMBER($P55),$P55&gt;0),AND($M55="MO",ISNUMBER($O55),$O55&gt;0))),1,0)),0)</f>
        <v>0</v>
      </c>
      <c r="U55" t="str">
        <f t="shared" si="15"/>
        <v/>
      </c>
      <c r="V55" t="str">
        <f t="shared" si="16"/>
        <v/>
      </c>
      <c r="W55" t="str">
        <f>IFERROR(IF($T55=0,"",COUNTIFS($T$3:$T$202,1,$V$3:$V$202,"&lt;"&amp;$V55)+COUNTIFS($T$3:$T55,1,$V$3:$V55,$V55)),"")</f>
        <v/>
      </c>
      <c r="X55" t="str">
        <f t="shared" si="17"/>
        <v/>
      </c>
    </row>
    <row r="56" spans="1:24">
      <c r="A56" s="5">
        <f t="shared" si="9"/>
        <v>54</v>
      </c>
      <c r="B56" s="13" t="str">
        <f t="shared" ca="1" si="10"/>
        <v/>
      </c>
      <c r="C56" s="16" t="str">
        <f t="shared" ca="1" si="11"/>
        <v/>
      </c>
      <c r="D56" s="19" t="str">
        <f t="shared" ca="1" si="12"/>
        <v/>
      </c>
      <c r="E56" s="19" t="str">
        <f ca="1">IFERROR(IF($H56="","",INDEX(LENH_GOC!$H$4:$H$203,MATCH(INDEX($K$3:$K$202,MATCH($H56,$W$3:$W$202,0)),LENH_GOC!$A$4:$A$203,0))),"")</f>
        <v/>
      </c>
      <c r="F56" s="19" t="str">
        <f t="shared" ca="1" si="13"/>
        <v/>
      </c>
      <c r="G56" s="6" t="str">
        <f t="shared" ca="1" si="14"/>
        <v/>
      </c>
      <c r="H56" t="str">
        <f ca="1">IFERROR(IF(ROW()-2&lt;=CAI_DAT!$B$10,ROW()-2,""),"")</f>
        <v/>
      </c>
      <c r="J56" t="str">
        <f>IF(LENH_GOC!A57="","",57)</f>
        <v/>
      </c>
      <c r="K56" t="str">
        <f>IF(LENH_GOC!A57="","",LENH_GOC!A57)</f>
        <v/>
      </c>
      <c r="L56" t="str">
        <f>IF($K56="","",IFERROR(TRIM(LENH_GOC!C57),""))</f>
        <v/>
      </c>
      <c r="M56" t="str">
        <f>IF($K56="","",IFERROR(UPPER(TRIM(LENH_GOC!Y57)),""))</f>
        <v/>
      </c>
      <c r="N56" s="43" t="str">
        <f>IFERROR(IF($K56="","",IF(LENH_GOC!G57="","",IF(ISNUMBER(LENH_GOC!G57),LENH_GOC!G57,DATE(VALUE(MID(LENH_GOC!G57,7,4)),VALUE(MID(LENH_GOC!G57,4,2)),VALUE(LEFT(LENH_GOC!G57,2)))+TIME(VALUE(MID(LENH_GOC!G57,12,2)),VALUE(MID(LENH_GOC!G57,15,2)),VALUE(MID(LENH_GOC!G57,18,2)))))), "")</f>
        <v/>
      </c>
      <c r="O56" t="str">
        <f>IF($K56="","",IF(LENH_GOC!E57="","",LENH_GOC!E57))</f>
        <v/>
      </c>
      <c r="P56" t="str">
        <f>IF($K56="","",IF(LENH_GOC!F57="","",LENH_GOC!F57))</f>
        <v/>
      </c>
      <c r="Q56" t="str">
        <f>IFERROR(IF($K56="","",IF(LENH_GOC!P57="","",IFERROR(VALUE(LENH_GOC!P57),IF(OR(LENH_GOC!P57=TRUE,UPPER(TRIM(LENH_GOC!P57))="TRUE"),1,0)))),"")</f>
        <v/>
      </c>
      <c r="R56" t="str">
        <f>IF($K56="","",IF(LENH_GOC!Q57="","",LENH_GOC!Q57))</f>
        <v/>
      </c>
      <c r="S56" s="43" t="str">
        <f>IF($K56="","",IF(LENH_GOC!R57="","",LENH_GOC!R57))</f>
        <v/>
      </c>
      <c r="T56">
        <f>IFERROR(IF($K56="",0,IF(AND(ISNUMBER($N56),INT($N56)=CAI_DAT!$B$4,LEFT(UPPER(TRIM($L56)),2)=LEFT(UPPER(TRIM(CAI_DAT!$B$5)),2),$Q56=1,OR(AND($M56="SO",ISNUMBER($P56),$P56&gt;0),AND($M56="MO",ISNUMBER($O56),$O56&gt;0))),1,0)),0)</f>
        <v>0</v>
      </c>
      <c r="U56" t="str">
        <f t="shared" si="15"/>
        <v/>
      </c>
      <c r="V56" t="str">
        <f t="shared" si="16"/>
        <v/>
      </c>
      <c r="W56" t="str">
        <f>IFERROR(IF($T56=0,"",COUNTIFS($T$3:$T$202,1,$V$3:$V$202,"&lt;"&amp;$V56)+COUNTIFS($T$3:$T56,1,$V$3:$V56,$V56)),"")</f>
        <v/>
      </c>
      <c r="X56" t="str">
        <f t="shared" si="17"/>
        <v/>
      </c>
    </row>
    <row r="57" spans="1:24">
      <c r="A57" s="5">
        <f t="shared" si="9"/>
        <v>55</v>
      </c>
      <c r="B57" s="13" t="str">
        <f t="shared" ca="1" si="10"/>
        <v/>
      </c>
      <c r="C57" s="16" t="str">
        <f t="shared" ca="1" si="11"/>
        <v/>
      </c>
      <c r="D57" s="19" t="str">
        <f t="shared" ca="1" si="12"/>
        <v/>
      </c>
      <c r="E57" s="19" t="str">
        <f ca="1">IFERROR(IF($H57="","",INDEX(LENH_GOC!$H$4:$H$203,MATCH(INDEX($K$3:$K$202,MATCH($H57,$W$3:$W$202,0)),LENH_GOC!$A$4:$A$203,0))),"")</f>
        <v/>
      </c>
      <c r="F57" s="19" t="str">
        <f t="shared" ca="1" si="13"/>
        <v/>
      </c>
      <c r="G57" s="6" t="str">
        <f t="shared" ca="1" si="14"/>
        <v/>
      </c>
      <c r="H57" t="str">
        <f ca="1">IFERROR(IF(ROW()-2&lt;=CAI_DAT!$B$10,ROW()-2,""),"")</f>
        <v/>
      </c>
      <c r="J57" t="str">
        <f>IF(LENH_GOC!A58="","",58)</f>
        <v/>
      </c>
      <c r="K57" t="str">
        <f>IF(LENH_GOC!A58="","",LENH_GOC!A58)</f>
        <v/>
      </c>
      <c r="L57" t="str">
        <f>IF($K57="","",IFERROR(TRIM(LENH_GOC!C58),""))</f>
        <v/>
      </c>
      <c r="M57" t="str">
        <f>IF($K57="","",IFERROR(UPPER(TRIM(LENH_GOC!Y58)),""))</f>
        <v/>
      </c>
      <c r="N57" s="43" t="str">
        <f>IFERROR(IF($K57="","",IF(LENH_GOC!G58="","",IF(ISNUMBER(LENH_GOC!G58),LENH_GOC!G58,DATE(VALUE(MID(LENH_GOC!G58,7,4)),VALUE(MID(LENH_GOC!G58,4,2)),VALUE(LEFT(LENH_GOC!G58,2)))+TIME(VALUE(MID(LENH_GOC!G58,12,2)),VALUE(MID(LENH_GOC!G58,15,2)),VALUE(MID(LENH_GOC!G58,18,2)))))), "")</f>
        <v/>
      </c>
      <c r="O57" t="str">
        <f>IF($K57="","",IF(LENH_GOC!E58="","",LENH_GOC!E58))</f>
        <v/>
      </c>
      <c r="P57" t="str">
        <f>IF($K57="","",IF(LENH_GOC!F58="","",LENH_GOC!F58))</f>
        <v/>
      </c>
      <c r="Q57" t="str">
        <f>IFERROR(IF($K57="","",IF(LENH_GOC!P58="","",IFERROR(VALUE(LENH_GOC!P58),IF(OR(LENH_GOC!P58=TRUE,UPPER(TRIM(LENH_GOC!P58))="TRUE"),1,0)))),"")</f>
        <v/>
      </c>
      <c r="R57" t="str">
        <f>IF($K57="","",IF(LENH_GOC!Q58="","",LENH_GOC!Q58))</f>
        <v/>
      </c>
      <c r="S57" s="43" t="str">
        <f>IF($K57="","",IF(LENH_GOC!R58="","",LENH_GOC!R58))</f>
        <v/>
      </c>
      <c r="T57">
        <f>IFERROR(IF($K57="",0,IF(AND(ISNUMBER($N57),INT($N57)=CAI_DAT!$B$4,LEFT(UPPER(TRIM($L57)),2)=LEFT(UPPER(TRIM(CAI_DAT!$B$5)),2),$Q57=1,OR(AND($M57="SO",ISNUMBER($P57),$P57&gt;0),AND($M57="MO",ISNUMBER($O57),$O57&gt;0))),1,0)),0)</f>
        <v>0</v>
      </c>
      <c r="U57" t="str">
        <f t="shared" si="15"/>
        <v/>
      </c>
      <c r="V57" t="str">
        <f t="shared" si="16"/>
        <v/>
      </c>
      <c r="W57" t="str">
        <f>IFERROR(IF($T57=0,"",COUNTIFS($T$3:$T$202,1,$V$3:$V$202,"&lt;"&amp;$V57)+COUNTIFS($T$3:$T57,1,$V$3:$V57,$V57)),"")</f>
        <v/>
      </c>
      <c r="X57" t="str">
        <f t="shared" si="17"/>
        <v/>
      </c>
    </row>
    <row r="58" spans="1:24">
      <c r="A58" s="5">
        <f t="shared" si="9"/>
        <v>56</v>
      </c>
      <c r="B58" s="13" t="str">
        <f t="shared" ca="1" si="10"/>
        <v/>
      </c>
      <c r="C58" s="16" t="str">
        <f t="shared" ca="1" si="11"/>
        <v/>
      </c>
      <c r="D58" s="19" t="str">
        <f t="shared" ca="1" si="12"/>
        <v/>
      </c>
      <c r="E58" s="19" t="str">
        <f ca="1">IFERROR(IF($H58="","",INDEX(LENH_GOC!$H$4:$H$203,MATCH(INDEX($K$3:$K$202,MATCH($H58,$W$3:$W$202,0)),LENH_GOC!$A$4:$A$203,0))),"")</f>
        <v/>
      </c>
      <c r="F58" s="19" t="str">
        <f t="shared" ca="1" si="13"/>
        <v/>
      </c>
      <c r="G58" s="6" t="str">
        <f t="shared" ca="1" si="14"/>
        <v/>
      </c>
      <c r="H58" t="str">
        <f ca="1">IFERROR(IF(ROW()-2&lt;=CAI_DAT!$B$10,ROW()-2,""),"")</f>
        <v/>
      </c>
      <c r="J58" t="str">
        <f>IF(LENH_GOC!A59="","",59)</f>
        <v/>
      </c>
      <c r="K58" t="str">
        <f>IF(LENH_GOC!A59="","",LENH_GOC!A59)</f>
        <v/>
      </c>
      <c r="L58" t="str">
        <f>IF($K58="","",IFERROR(TRIM(LENH_GOC!C59),""))</f>
        <v/>
      </c>
      <c r="M58" t="str">
        <f>IF($K58="","",IFERROR(UPPER(TRIM(LENH_GOC!Y59)),""))</f>
        <v/>
      </c>
      <c r="N58" s="43" t="str">
        <f>IFERROR(IF($K58="","",IF(LENH_GOC!G59="","",IF(ISNUMBER(LENH_GOC!G59),LENH_GOC!G59,DATE(VALUE(MID(LENH_GOC!G59,7,4)),VALUE(MID(LENH_GOC!G59,4,2)),VALUE(LEFT(LENH_GOC!G59,2)))+TIME(VALUE(MID(LENH_GOC!G59,12,2)),VALUE(MID(LENH_GOC!G59,15,2)),VALUE(MID(LENH_GOC!G59,18,2)))))), "")</f>
        <v/>
      </c>
      <c r="O58" t="str">
        <f>IF($K58="","",IF(LENH_GOC!E59="","",LENH_GOC!E59))</f>
        <v/>
      </c>
      <c r="P58" t="str">
        <f>IF($K58="","",IF(LENH_GOC!F59="","",LENH_GOC!F59))</f>
        <v/>
      </c>
      <c r="Q58" t="str">
        <f>IFERROR(IF($K58="","",IF(LENH_GOC!P59="","",IFERROR(VALUE(LENH_GOC!P59),IF(OR(LENH_GOC!P59=TRUE,UPPER(TRIM(LENH_GOC!P59))="TRUE"),1,0)))),"")</f>
        <v/>
      </c>
      <c r="R58" t="str">
        <f>IF($K58="","",IF(LENH_GOC!Q59="","",LENH_GOC!Q59))</f>
        <v/>
      </c>
      <c r="S58" s="43" t="str">
        <f>IF($K58="","",IF(LENH_GOC!R59="","",LENH_GOC!R59))</f>
        <v/>
      </c>
      <c r="T58">
        <f>IFERROR(IF($K58="",0,IF(AND(ISNUMBER($N58),INT($N58)=CAI_DAT!$B$4,LEFT(UPPER(TRIM($L58)),2)=LEFT(UPPER(TRIM(CAI_DAT!$B$5)),2),$Q58=1,OR(AND($M58="SO",ISNUMBER($P58),$P58&gt;0),AND($M58="MO",ISNUMBER($O58),$O58&gt;0))),1,0)),0)</f>
        <v>0</v>
      </c>
      <c r="U58" t="str">
        <f t="shared" si="15"/>
        <v/>
      </c>
      <c r="V58" t="str">
        <f t="shared" si="16"/>
        <v/>
      </c>
      <c r="W58" t="str">
        <f>IFERROR(IF($T58=0,"",COUNTIFS($T$3:$T$202,1,$V$3:$V$202,"&lt;"&amp;$V58)+COUNTIFS($T$3:$T58,1,$V$3:$V58,$V58)),"")</f>
        <v/>
      </c>
      <c r="X58" t="str">
        <f t="shared" si="17"/>
        <v/>
      </c>
    </row>
    <row r="59" spans="1:24">
      <c r="A59" s="5">
        <f t="shared" si="9"/>
        <v>57</v>
      </c>
      <c r="B59" s="13" t="str">
        <f t="shared" ca="1" si="10"/>
        <v/>
      </c>
      <c r="C59" s="16" t="str">
        <f t="shared" ca="1" si="11"/>
        <v/>
      </c>
      <c r="D59" s="19" t="str">
        <f t="shared" ca="1" si="12"/>
        <v/>
      </c>
      <c r="E59" s="19" t="str">
        <f ca="1">IFERROR(IF($H59="","",INDEX(LENH_GOC!$H$4:$H$203,MATCH(INDEX($K$3:$K$202,MATCH($H59,$W$3:$W$202,0)),LENH_GOC!$A$4:$A$203,0))),"")</f>
        <v/>
      </c>
      <c r="F59" s="19" t="str">
        <f t="shared" ca="1" si="13"/>
        <v/>
      </c>
      <c r="G59" s="6" t="str">
        <f t="shared" ca="1" si="14"/>
        <v/>
      </c>
      <c r="H59" t="str">
        <f ca="1">IFERROR(IF(ROW()-2&lt;=CAI_DAT!$B$10,ROW()-2,""),"")</f>
        <v/>
      </c>
      <c r="J59" t="str">
        <f>IF(LENH_GOC!A60="","",60)</f>
        <v/>
      </c>
      <c r="K59" t="str">
        <f>IF(LENH_GOC!A60="","",LENH_GOC!A60)</f>
        <v/>
      </c>
      <c r="L59" t="str">
        <f>IF($K59="","",IFERROR(TRIM(LENH_GOC!C60),""))</f>
        <v/>
      </c>
      <c r="M59" t="str">
        <f>IF($K59="","",IFERROR(UPPER(TRIM(LENH_GOC!Y60)),""))</f>
        <v/>
      </c>
      <c r="N59" s="43" t="str">
        <f>IFERROR(IF($K59="","",IF(LENH_GOC!G60="","",IF(ISNUMBER(LENH_GOC!G60),LENH_GOC!G60,DATE(VALUE(MID(LENH_GOC!G60,7,4)),VALUE(MID(LENH_GOC!G60,4,2)),VALUE(LEFT(LENH_GOC!G60,2)))+TIME(VALUE(MID(LENH_GOC!G60,12,2)),VALUE(MID(LENH_GOC!G60,15,2)),VALUE(MID(LENH_GOC!G60,18,2)))))), "")</f>
        <v/>
      </c>
      <c r="O59" t="str">
        <f>IF($K59="","",IF(LENH_GOC!E60="","",LENH_GOC!E60))</f>
        <v/>
      </c>
      <c r="P59" t="str">
        <f>IF($K59="","",IF(LENH_GOC!F60="","",LENH_GOC!F60))</f>
        <v/>
      </c>
      <c r="Q59" t="str">
        <f>IFERROR(IF($K59="","",IF(LENH_GOC!P60="","",IFERROR(VALUE(LENH_GOC!P60),IF(OR(LENH_GOC!P60=TRUE,UPPER(TRIM(LENH_GOC!P60))="TRUE"),1,0)))),"")</f>
        <v/>
      </c>
      <c r="R59" t="str">
        <f>IF($K59="","",IF(LENH_GOC!Q60="","",LENH_GOC!Q60))</f>
        <v/>
      </c>
      <c r="S59" s="43" t="str">
        <f>IF($K59="","",IF(LENH_GOC!R60="","",LENH_GOC!R60))</f>
        <v/>
      </c>
      <c r="T59">
        <f>IFERROR(IF($K59="",0,IF(AND(ISNUMBER($N59),INT($N59)=CAI_DAT!$B$4,LEFT(UPPER(TRIM($L59)),2)=LEFT(UPPER(TRIM(CAI_DAT!$B$5)),2),$Q59=1,OR(AND($M59="SO",ISNUMBER($P59),$P59&gt;0),AND($M59="MO",ISNUMBER($O59),$O59&gt;0))),1,0)),0)</f>
        <v>0</v>
      </c>
      <c r="U59" t="str">
        <f t="shared" si="15"/>
        <v/>
      </c>
      <c r="V59" t="str">
        <f t="shared" si="16"/>
        <v/>
      </c>
      <c r="W59" t="str">
        <f>IFERROR(IF($T59=0,"",COUNTIFS($T$3:$T$202,1,$V$3:$V$202,"&lt;"&amp;$V59)+COUNTIFS($T$3:$T59,1,$V$3:$V59,$V59)),"")</f>
        <v/>
      </c>
      <c r="X59" t="str">
        <f t="shared" si="17"/>
        <v/>
      </c>
    </row>
    <row r="60" spans="1:24">
      <c r="A60" s="5">
        <f t="shared" si="9"/>
        <v>58</v>
      </c>
      <c r="B60" s="13" t="str">
        <f t="shared" ca="1" si="10"/>
        <v/>
      </c>
      <c r="C60" s="16" t="str">
        <f t="shared" ca="1" si="11"/>
        <v/>
      </c>
      <c r="D60" s="19" t="str">
        <f t="shared" ca="1" si="12"/>
        <v/>
      </c>
      <c r="E60" s="19" t="str">
        <f ca="1">IFERROR(IF($H60="","",INDEX(LENH_GOC!$H$4:$H$203,MATCH(INDEX($K$3:$K$202,MATCH($H60,$W$3:$W$202,0)),LENH_GOC!$A$4:$A$203,0))),"")</f>
        <v/>
      </c>
      <c r="F60" s="19" t="str">
        <f t="shared" ca="1" si="13"/>
        <v/>
      </c>
      <c r="G60" s="6" t="str">
        <f t="shared" ca="1" si="14"/>
        <v/>
      </c>
      <c r="H60" t="str">
        <f ca="1">IFERROR(IF(ROW()-2&lt;=CAI_DAT!$B$10,ROW()-2,""),"")</f>
        <v/>
      </c>
      <c r="J60" t="str">
        <f>IF(LENH_GOC!A61="","",61)</f>
        <v/>
      </c>
      <c r="K60" t="str">
        <f>IF(LENH_GOC!A61="","",LENH_GOC!A61)</f>
        <v/>
      </c>
      <c r="L60" t="str">
        <f>IF($K60="","",IFERROR(TRIM(LENH_GOC!C61),""))</f>
        <v/>
      </c>
      <c r="M60" t="str">
        <f>IF($K60="","",IFERROR(UPPER(TRIM(LENH_GOC!Y61)),""))</f>
        <v/>
      </c>
      <c r="N60" s="43" t="str">
        <f>IFERROR(IF($K60="","",IF(LENH_GOC!G61="","",IF(ISNUMBER(LENH_GOC!G61),LENH_GOC!G61,DATE(VALUE(MID(LENH_GOC!G61,7,4)),VALUE(MID(LENH_GOC!G61,4,2)),VALUE(LEFT(LENH_GOC!G61,2)))+TIME(VALUE(MID(LENH_GOC!G61,12,2)),VALUE(MID(LENH_GOC!G61,15,2)),VALUE(MID(LENH_GOC!G61,18,2)))))), "")</f>
        <v/>
      </c>
      <c r="O60" t="str">
        <f>IF($K60="","",IF(LENH_GOC!E61="","",LENH_GOC!E61))</f>
        <v/>
      </c>
      <c r="P60" t="str">
        <f>IF($K60="","",IF(LENH_GOC!F61="","",LENH_GOC!F61))</f>
        <v/>
      </c>
      <c r="Q60" t="str">
        <f>IFERROR(IF($K60="","",IF(LENH_GOC!P61="","",IFERROR(VALUE(LENH_GOC!P61),IF(OR(LENH_GOC!P61=TRUE,UPPER(TRIM(LENH_GOC!P61))="TRUE"),1,0)))),"")</f>
        <v/>
      </c>
      <c r="R60" t="str">
        <f>IF($K60="","",IF(LENH_GOC!Q61="","",LENH_GOC!Q61))</f>
        <v/>
      </c>
      <c r="S60" s="43" t="str">
        <f>IF($K60="","",IF(LENH_GOC!R61="","",LENH_GOC!R61))</f>
        <v/>
      </c>
      <c r="T60">
        <f>IFERROR(IF($K60="",0,IF(AND(ISNUMBER($N60),INT($N60)=CAI_DAT!$B$4,LEFT(UPPER(TRIM($L60)),2)=LEFT(UPPER(TRIM(CAI_DAT!$B$5)),2),$Q60=1,OR(AND($M60="SO",ISNUMBER($P60),$P60&gt;0),AND($M60="MO",ISNUMBER($O60),$O60&gt;0))),1,0)),0)</f>
        <v>0</v>
      </c>
      <c r="U60" t="str">
        <f t="shared" si="15"/>
        <v/>
      </c>
      <c r="V60" t="str">
        <f t="shared" si="16"/>
        <v/>
      </c>
      <c r="W60" t="str">
        <f>IFERROR(IF($T60=0,"",COUNTIFS($T$3:$T$202,1,$V$3:$V$202,"&lt;"&amp;$V60)+COUNTIFS($T$3:$T60,1,$V$3:$V60,$V60)),"")</f>
        <v/>
      </c>
      <c r="X60" t="str">
        <f t="shared" si="17"/>
        <v/>
      </c>
    </row>
    <row r="61" spans="1:24">
      <c r="A61" s="5">
        <f t="shared" si="9"/>
        <v>59</v>
      </c>
      <c r="B61" s="13" t="str">
        <f t="shared" ca="1" si="10"/>
        <v/>
      </c>
      <c r="C61" s="16" t="str">
        <f t="shared" ca="1" si="11"/>
        <v/>
      </c>
      <c r="D61" s="19" t="str">
        <f t="shared" ca="1" si="12"/>
        <v/>
      </c>
      <c r="E61" s="19" t="str">
        <f ca="1">IFERROR(IF($H61="","",INDEX(LENH_GOC!$H$4:$H$203,MATCH(INDEX($K$3:$K$202,MATCH($H61,$W$3:$W$202,0)),LENH_GOC!$A$4:$A$203,0))),"")</f>
        <v/>
      </c>
      <c r="F61" s="19" t="str">
        <f t="shared" ca="1" si="13"/>
        <v/>
      </c>
      <c r="G61" s="6" t="str">
        <f t="shared" ca="1" si="14"/>
        <v/>
      </c>
      <c r="H61" t="str">
        <f ca="1">IFERROR(IF(ROW()-2&lt;=CAI_DAT!$B$10,ROW()-2,""),"")</f>
        <v/>
      </c>
      <c r="J61" t="str">
        <f>IF(LENH_GOC!A62="","",62)</f>
        <v/>
      </c>
      <c r="K61" t="str">
        <f>IF(LENH_GOC!A62="","",LENH_GOC!A62)</f>
        <v/>
      </c>
      <c r="L61" t="str">
        <f>IF($K61="","",IFERROR(TRIM(LENH_GOC!C62),""))</f>
        <v/>
      </c>
      <c r="M61" t="str">
        <f>IF($K61="","",IFERROR(UPPER(TRIM(LENH_GOC!Y62)),""))</f>
        <v/>
      </c>
      <c r="N61" s="43" t="str">
        <f>IFERROR(IF($K61="","",IF(LENH_GOC!G62="","",IF(ISNUMBER(LENH_GOC!G62),LENH_GOC!G62,DATE(VALUE(MID(LENH_GOC!G62,7,4)),VALUE(MID(LENH_GOC!G62,4,2)),VALUE(LEFT(LENH_GOC!G62,2)))+TIME(VALUE(MID(LENH_GOC!G62,12,2)),VALUE(MID(LENH_GOC!G62,15,2)),VALUE(MID(LENH_GOC!G62,18,2)))))), "")</f>
        <v/>
      </c>
      <c r="O61" t="str">
        <f>IF($K61="","",IF(LENH_GOC!E62="","",LENH_GOC!E62))</f>
        <v/>
      </c>
      <c r="P61" t="str">
        <f>IF($K61="","",IF(LENH_GOC!F62="","",LENH_GOC!F62))</f>
        <v/>
      </c>
      <c r="Q61" t="str">
        <f>IFERROR(IF($K61="","",IF(LENH_GOC!P62="","",IFERROR(VALUE(LENH_GOC!P62),IF(OR(LENH_GOC!P62=TRUE,UPPER(TRIM(LENH_GOC!P62))="TRUE"),1,0)))),"")</f>
        <v/>
      </c>
      <c r="R61" t="str">
        <f>IF($K61="","",IF(LENH_GOC!Q62="","",LENH_GOC!Q62))</f>
        <v/>
      </c>
      <c r="S61" s="43" t="str">
        <f>IF($K61="","",IF(LENH_GOC!R62="","",LENH_GOC!R62))</f>
        <v/>
      </c>
      <c r="T61">
        <f>IFERROR(IF($K61="",0,IF(AND(ISNUMBER($N61),INT($N61)=CAI_DAT!$B$4,LEFT(UPPER(TRIM($L61)),2)=LEFT(UPPER(TRIM(CAI_DAT!$B$5)),2),$Q61=1,OR(AND($M61="SO",ISNUMBER($P61),$P61&gt;0),AND($M61="MO",ISNUMBER($O61),$O61&gt;0))),1,0)),0)</f>
        <v>0</v>
      </c>
      <c r="U61" t="str">
        <f t="shared" si="15"/>
        <v/>
      </c>
      <c r="V61" t="str">
        <f t="shared" si="16"/>
        <v/>
      </c>
      <c r="W61" t="str">
        <f>IFERROR(IF($T61=0,"",COUNTIFS($T$3:$T$202,1,$V$3:$V$202,"&lt;"&amp;$V61)+COUNTIFS($T$3:$T61,1,$V$3:$V61,$V61)),"")</f>
        <v/>
      </c>
      <c r="X61" t="str">
        <f t="shared" si="17"/>
        <v/>
      </c>
    </row>
    <row r="62" spans="1:24">
      <c r="A62" s="5">
        <f t="shared" si="9"/>
        <v>60</v>
      </c>
      <c r="B62" s="13" t="str">
        <f t="shared" ca="1" si="10"/>
        <v/>
      </c>
      <c r="C62" s="16" t="str">
        <f t="shared" ca="1" si="11"/>
        <v/>
      </c>
      <c r="D62" s="19" t="str">
        <f t="shared" ca="1" si="12"/>
        <v/>
      </c>
      <c r="E62" s="19" t="str">
        <f ca="1">IFERROR(IF($H62="","",INDEX(LENH_GOC!$H$4:$H$203,MATCH(INDEX($K$3:$K$202,MATCH($H62,$W$3:$W$202,0)),LENH_GOC!$A$4:$A$203,0))),"")</f>
        <v/>
      </c>
      <c r="F62" s="19" t="str">
        <f t="shared" ca="1" si="13"/>
        <v/>
      </c>
      <c r="G62" s="6" t="str">
        <f t="shared" ca="1" si="14"/>
        <v/>
      </c>
      <c r="H62" t="str">
        <f ca="1">IFERROR(IF(ROW()-2&lt;=CAI_DAT!$B$10,ROW()-2,""),"")</f>
        <v/>
      </c>
      <c r="J62" t="str">
        <f>IF(LENH_GOC!A63="","",63)</f>
        <v/>
      </c>
      <c r="K62" t="str">
        <f>IF(LENH_GOC!A63="","",LENH_GOC!A63)</f>
        <v/>
      </c>
      <c r="L62" t="str">
        <f>IF($K62="","",IFERROR(TRIM(LENH_GOC!C63),""))</f>
        <v/>
      </c>
      <c r="M62" t="str">
        <f>IF($K62="","",IFERROR(UPPER(TRIM(LENH_GOC!Y63)),""))</f>
        <v/>
      </c>
      <c r="N62" s="43" t="str">
        <f>IFERROR(IF($K62="","",IF(LENH_GOC!G63="","",IF(ISNUMBER(LENH_GOC!G63),LENH_GOC!G63,DATE(VALUE(MID(LENH_GOC!G63,7,4)),VALUE(MID(LENH_GOC!G63,4,2)),VALUE(LEFT(LENH_GOC!G63,2)))+TIME(VALUE(MID(LENH_GOC!G63,12,2)),VALUE(MID(LENH_GOC!G63,15,2)),VALUE(MID(LENH_GOC!G63,18,2)))))), "")</f>
        <v/>
      </c>
      <c r="O62" t="str">
        <f>IF($K62="","",IF(LENH_GOC!E63="","",LENH_GOC!E63))</f>
        <v/>
      </c>
      <c r="P62" t="str">
        <f>IF($K62="","",IF(LENH_GOC!F63="","",LENH_GOC!F63))</f>
        <v/>
      </c>
      <c r="Q62" t="str">
        <f>IFERROR(IF($K62="","",IF(LENH_GOC!P63="","",IFERROR(VALUE(LENH_GOC!P63),IF(OR(LENH_GOC!P63=TRUE,UPPER(TRIM(LENH_GOC!P63))="TRUE"),1,0)))),"")</f>
        <v/>
      </c>
      <c r="R62" t="str">
        <f>IF($K62="","",IF(LENH_GOC!Q63="","",LENH_GOC!Q63))</f>
        <v/>
      </c>
      <c r="S62" s="43" t="str">
        <f>IF($K62="","",IF(LENH_GOC!R63="","",LENH_GOC!R63))</f>
        <v/>
      </c>
      <c r="T62">
        <f>IFERROR(IF($K62="",0,IF(AND(ISNUMBER($N62),INT($N62)=CAI_DAT!$B$4,LEFT(UPPER(TRIM($L62)),2)=LEFT(UPPER(TRIM(CAI_DAT!$B$5)),2),$Q62=1,OR(AND($M62="SO",ISNUMBER($P62),$P62&gt;0),AND($M62="MO",ISNUMBER($O62),$O62&gt;0))),1,0)),0)</f>
        <v>0</v>
      </c>
      <c r="U62" t="str">
        <f t="shared" si="15"/>
        <v/>
      </c>
      <c r="V62" t="str">
        <f t="shared" si="16"/>
        <v/>
      </c>
      <c r="W62" t="str">
        <f>IFERROR(IF($T62=0,"",COUNTIFS($T$3:$T$202,1,$V$3:$V$202,"&lt;"&amp;$V62)+COUNTIFS($T$3:$T62,1,$V$3:$V62,$V62)),"")</f>
        <v/>
      </c>
      <c r="X62" t="str">
        <f t="shared" si="17"/>
        <v/>
      </c>
    </row>
    <row r="63" spans="1:24">
      <c r="A63" s="5"/>
      <c r="B63" s="13"/>
      <c r="C63" s="16"/>
      <c r="D63" s="19"/>
      <c r="E63" s="19"/>
      <c r="F63" s="19"/>
      <c r="G63" s="6"/>
      <c r="J63" t="str">
        <f>IF(LENH_GOC!A64="","",64)</f>
        <v/>
      </c>
      <c r="K63" t="str">
        <f>IF(LENH_GOC!A64="","",LENH_GOC!A64)</f>
        <v/>
      </c>
      <c r="L63" t="str">
        <f>IF($K63="","",IFERROR(TRIM(LENH_GOC!C64),""))</f>
        <v/>
      </c>
      <c r="M63" t="str">
        <f>IF($K63="","",IFERROR(UPPER(TRIM(LENH_GOC!Y64)),""))</f>
        <v/>
      </c>
      <c r="N63" s="43" t="str">
        <f>IFERROR(IF($K63="","",IF(LENH_GOC!G64="","",IF(ISNUMBER(LENH_GOC!G64),LENH_GOC!G64,DATE(VALUE(MID(LENH_GOC!G64,7,4)),VALUE(MID(LENH_GOC!G64,4,2)),VALUE(LEFT(LENH_GOC!G64,2)))+TIME(VALUE(MID(LENH_GOC!G64,12,2)),VALUE(MID(LENH_GOC!G64,15,2)),VALUE(MID(LENH_GOC!G64,18,2)))))), "")</f>
        <v/>
      </c>
      <c r="O63" t="str">
        <f>IF($K63="","",IF(LENH_GOC!E64="","",LENH_GOC!E64))</f>
        <v/>
      </c>
      <c r="P63" t="str">
        <f>IF($K63="","",IF(LENH_GOC!F64="","",LENH_GOC!F64))</f>
        <v/>
      </c>
      <c r="Q63" t="str">
        <f>IFERROR(IF($K63="","",IF(LENH_GOC!P64="","",IFERROR(VALUE(LENH_GOC!P64),IF(OR(LENH_GOC!P64=TRUE,UPPER(TRIM(LENH_GOC!P64))="TRUE"),1,0)))),"")</f>
        <v/>
      </c>
      <c r="R63" t="str">
        <f>IF($K63="","",IF(LENH_GOC!Q64="","",LENH_GOC!Q64))</f>
        <v/>
      </c>
      <c r="S63" s="43" t="str">
        <f>IF($K63="","",IF(LENH_GOC!R64="","",LENH_GOC!R64))</f>
        <v/>
      </c>
      <c r="T63">
        <f>IFERROR(IF($K63="",0,IF(AND(ISNUMBER($N63),INT($N63)=CAI_DAT!$B$4,LEFT(UPPER(TRIM($L63)),2)=LEFT(UPPER(TRIM(CAI_DAT!$B$5)),2),$Q63=1,OR(AND($M63="SO",ISNUMBER($P63),$P63&gt;0),AND($M63="MO",ISNUMBER($O63),$O63&gt;0))),1,0)),0)</f>
        <v>0</v>
      </c>
      <c r="U63" t="str">
        <f t="shared" si="15"/>
        <v/>
      </c>
      <c r="V63" t="str">
        <f t="shared" si="16"/>
        <v/>
      </c>
      <c r="W63" t="str">
        <f>IFERROR(IF($T63=0,"",COUNTIFS($T$3:$T$202,1,$V$3:$V$202,"&lt;"&amp;$V63)+COUNTIFS($T$3:$T63,1,$V$3:$V63,$V63)),"")</f>
        <v/>
      </c>
      <c r="X63" t="str">
        <f t="shared" si="17"/>
        <v/>
      </c>
    </row>
    <row r="64" spans="1:24">
      <c r="A64" s="5"/>
      <c r="B64" s="13"/>
      <c r="C64" s="16"/>
      <c r="D64" s="19"/>
      <c r="E64" s="19"/>
      <c r="F64" s="19"/>
      <c r="G64" s="6"/>
      <c r="J64" t="str">
        <f>IF(LENH_GOC!A65="","",65)</f>
        <v/>
      </c>
      <c r="K64" t="str">
        <f>IF(LENH_GOC!A65="","",LENH_GOC!A65)</f>
        <v/>
      </c>
      <c r="L64" t="str">
        <f>IF($K64="","",IFERROR(TRIM(LENH_GOC!C65),""))</f>
        <v/>
      </c>
      <c r="M64" t="str">
        <f>IF($K64="","",IFERROR(UPPER(TRIM(LENH_GOC!Y65)),""))</f>
        <v/>
      </c>
      <c r="N64" s="43" t="str">
        <f>IFERROR(IF($K64="","",IF(LENH_GOC!G65="","",IF(ISNUMBER(LENH_GOC!G65),LENH_GOC!G65,DATE(VALUE(MID(LENH_GOC!G65,7,4)),VALUE(MID(LENH_GOC!G65,4,2)),VALUE(LEFT(LENH_GOC!G65,2)))+TIME(VALUE(MID(LENH_GOC!G65,12,2)),VALUE(MID(LENH_GOC!G65,15,2)),VALUE(MID(LENH_GOC!G65,18,2)))))), "")</f>
        <v/>
      </c>
      <c r="O64" t="str">
        <f>IF($K64="","",IF(LENH_GOC!E65="","",LENH_GOC!E65))</f>
        <v/>
      </c>
      <c r="P64" t="str">
        <f>IF($K64="","",IF(LENH_GOC!F65="","",LENH_GOC!F65))</f>
        <v/>
      </c>
      <c r="Q64" t="str">
        <f>IFERROR(IF($K64="","",IF(LENH_GOC!P65="","",IFERROR(VALUE(LENH_GOC!P65),IF(OR(LENH_GOC!P65=TRUE,UPPER(TRIM(LENH_GOC!P65))="TRUE"),1,0)))),"")</f>
        <v/>
      </c>
      <c r="R64" t="str">
        <f>IF($K64="","",IF(LENH_GOC!Q65="","",LENH_GOC!Q65))</f>
        <v/>
      </c>
      <c r="S64" s="43" t="str">
        <f>IF($K64="","",IF(LENH_GOC!R65="","",LENH_GOC!R65))</f>
        <v/>
      </c>
      <c r="T64">
        <f>IFERROR(IF($K64="",0,IF(AND(ISNUMBER($N64),INT($N64)=CAI_DAT!$B$4,LEFT(UPPER(TRIM($L64)),2)=LEFT(UPPER(TRIM(CAI_DAT!$B$5)),2),$Q64=1,OR(AND($M64="SO",ISNUMBER($P64),$P64&gt;0),AND($M64="MO",ISNUMBER($O64),$O64&gt;0))),1,0)),0)</f>
        <v>0</v>
      </c>
      <c r="U64" t="str">
        <f t="shared" si="15"/>
        <v/>
      </c>
      <c r="V64" t="str">
        <f t="shared" si="16"/>
        <v/>
      </c>
      <c r="W64" t="str">
        <f>IFERROR(IF($T64=0,"",COUNTIFS($T$3:$T$202,1,$V$3:$V$202,"&lt;"&amp;$V64)+COUNTIFS($T$3:$T64,1,$V$3:$V64,$V64)),"")</f>
        <v/>
      </c>
      <c r="X64" t="str">
        <f t="shared" si="17"/>
        <v/>
      </c>
    </row>
    <row r="65" spans="1:24">
      <c r="A65" s="5"/>
      <c r="B65" s="13"/>
      <c r="C65" s="16"/>
      <c r="D65" s="19"/>
      <c r="E65" s="19"/>
      <c r="F65" s="19"/>
      <c r="G65" s="6"/>
      <c r="J65" t="str">
        <f>IF(LENH_GOC!A66="","",66)</f>
        <v/>
      </c>
      <c r="K65" t="str">
        <f>IF(LENH_GOC!A66="","",LENH_GOC!A66)</f>
        <v/>
      </c>
      <c r="L65" t="str">
        <f>IF($K65="","",IFERROR(TRIM(LENH_GOC!C66),""))</f>
        <v/>
      </c>
      <c r="M65" t="str">
        <f>IF($K65="","",IFERROR(UPPER(TRIM(LENH_GOC!Y66)),""))</f>
        <v/>
      </c>
      <c r="N65" s="43" t="str">
        <f>IFERROR(IF($K65="","",IF(LENH_GOC!G66="","",IF(ISNUMBER(LENH_GOC!G66),LENH_GOC!G66,DATE(VALUE(MID(LENH_GOC!G66,7,4)),VALUE(MID(LENH_GOC!G66,4,2)),VALUE(LEFT(LENH_GOC!G66,2)))+TIME(VALUE(MID(LENH_GOC!G66,12,2)),VALUE(MID(LENH_GOC!G66,15,2)),VALUE(MID(LENH_GOC!G66,18,2)))))), "")</f>
        <v/>
      </c>
      <c r="O65" t="str">
        <f>IF($K65="","",IF(LENH_GOC!E66="","",LENH_GOC!E66))</f>
        <v/>
      </c>
      <c r="P65" t="str">
        <f>IF($K65="","",IF(LENH_GOC!F66="","",LENH_GOC!F66))</f>
        <v/>
      </c>
      <c r="Q65" t="str">
        <f>IFERROR(IF($K65="","",IF(LENH_GOC!P66="","",IFERROR(VALUE(LENH_GOC!P66),IF(OR(LENH_GOC!P66=TRUE,UPPER(TRIM(LENH_GOC!P66))="TRUE"),1,0)))),"")</f>
        <v/>
      </c>
      <c r="R65" t="str">
        <f>IF($K65="","",IF(LENH_GOC!Q66="","",LENH_GOC!Q66))</f>
        <v/>
      </c>
      <c r="S65" s="43" t="str">
        <f>IF($K65="","",IF(LENH_GOC!R66="","",LENH_GOC!R66))</f>
        <v/>
      </c>
      <c r="T65">
        <f>IFERROR(IF($K65="",0,IF(AND(ISNUMBER($N65),INT($N65)=CAI_DAT!$B$4,LEFT(UPPER(TRIM($L65)),2)=LEFT(UPPER(TRIM(CAI_DAT!$B$5)),2),$Q65=1,OR(AND($M65="SO",ISNUMBER($P65),$P65&gt;0),AND($M65="MO",ISNUMBER($O65),$O65&gt;0))),1,0)),0)</f>
        <v>0</v>
      </c>
      <c r="U65" t="str">
        <f t="shared" si="15"/>
        <v/>
      </c>
      <c r="V65" t="str">
        <f t="shared" si="16"/>
        <v/>
      </c>
      <c r="W65" t="str">
        <f>IFERROR(IF($T65=0,"",COUNTIFS($T$3:$T$202,1,$V$3:$V$202,"&lt;"&amp;$V65)+COUNTIFS($T$3:$T65,1,$V$3:$V65,$V65)),"")</f>
        <v/>
      </c>
      <c r="X65" t="str">
        <f t="shared" si="17"/>
        <v/>
      </c>
    </row>
    <row r="66" spans="1:24">
      <c r="A66" s="5"/>
      <c r="B66" s="13"/>
      <c r="C66" s="16"/>
      <c r="D66" s="19"/>
      <c r="E66" s="19"/>
      <c r="F66" s="19"/>
      <c r="G66" s="6"/>
      <c r="J66" t="str">
        <f>IF(LENH_GOC!A67="","",67)</f>
        <v/>
      </c>
      <c r="K66" t="str">
        <f>IF(LENH_GOC!A67="","",LENH_GOC!A67)</f>
        <v/>
      </c>
      <c r="L66" t="str">
        <f>IF($K66="","",IFERROR(TRIM(LENH_GOC!C67),""))</f>
        <v/>
      </c>
      <c r="M66" t="str">
        <f>IF($K66="","",IFERROR(UPPER(TRIM(LENH_GOC!Y67)),""))</f>
        <v/>
      </c>
      <c r="N66" s="43" t="str">
        <f>IFERROR(IF($K66="","",IF(LENH_GOC!G67="","",IF(ISNUMBER(LENH_GOC!G67),LENH_GOC!G67,DATE(VALUE(MID(LENH_GOC!G67,7,4)),VALUE(MID(LENH_GOC!G67,4,2)),VALUE(LEFT(LENH_GOC!G67,2)))+TIME(VALUE(MID(LENH_GOC!G67,12,2)),VALUE(MID(LENH_GOC!G67,15,2)),VALUE(MID(LENH_GOC!G67,18,2)))))), "")</f>
        <v/>
      </c>
      <c r="O66" t="str">
        <f>IF($K66="","",IF(LENH_GOC!E67="","",LENH_GOC!E67))</f>
        <v/>
      </c>
      <c r="P66" t="str">
        <f>IF($K66="","",IF(LENH_GOC!F67="","",LENH_GOC!F67))</f>
        <v/>
      </c>
      <c r="Q66" t="str">
        <f>IFERROR(IF($K66="","",IF(LENH_GOC!P67="","",IFERROR(VALUE(LENH_GOC!P67),IF(OR(LENH_GOC!P67=TRUE,UPPER(TRIM(LENH_GOC!P67))="TRUE"),1,0)))),"")</f>
        <v/>
      </c>
      <c r="R66" t="str">
        <f>IF($K66="","",IF(LENH_GOC!Q67="","",LENH_GOC!Q67))</f>
        <v/>
      </c>
      <c r="S66" s="43" t="str">
        <f>IF($K66="","",IF(LENH_GOC!R67="","",LENH_GOC!R67))</f>
        <v/>
      </c>
      <c r="T66">
        <f>IFERROR(IF($K66="",0,IF(AND(ISNUMBER($N66),INT($N66)=CAI_DAT!$B$4,LEFT(UPPER(TRIM($L66)),2)=LEFT(UPPER(TRIM(CAI_DAT!$B$5)),2),$Q66=1,OR(AND($M66="SO",ISNUMBER($P66),$P66&gt;0),AND($M66="MO",ISNUMBER($O66),$O66&gt;0))),1,0)),0)</f>
        <v>0</v>
      </c>
      <c r="U66" t="str">
        <f t="shared" si="15"/>
        <v/>
      </c>
      <c r="V66" t="str">
        <f t="shared" si="16"/>
        <v/>
      </c>
      <c r="W66" t="str">
        <f>IFERROR(IF($T66=0,"",COUNTIFS($T$3:$T$202,1,$V$3:$V$202,"&lt;"&amp;$V66)+COUNTIFS($T$3:$T66,1,$V$3:$V66,$V66)),"")</f>
        <v/>
      </c>
      <c r="X66" t="str">
        <f t="shared" si="17"/>
        <v/>
      </c>
    </row>
    <row r="67" spans="1:24">
      <c r="A67" s="5"/>
      <c r="B67" s="13"/>
      <c r="C67" s="16"/>
      <c r="D67" s="19"/>
      <c r="E67" s="19"/>
      <c r="F67" s="19"/>
      <c r="G67" s="6"/>
      <c r="J67" t="str">
        <f>IF(LENH_GOC!A68="","",68)</f>
        <v/>
      </c>
      <c r="K67" t="str">
        <f>IF(LENH_GOC!A68="","",LENH_GOC!A68)</f>
        <v/>
      </c>
      <c r="L67" t="str">
        <f>IF($K67="","",IFERROR(TRIM(LENH_GOC!C68),""))</f>
        <v/>
      </c>
      <c r="M67" t="str">
        <f>IF($K67="","",IFERROR(UPPER(TRIM(LENH_GOC!Y68)),""))</f>
        <v/>
      </c>
      <c r="N67" s="43" t="str">
        <f>IFERROR(IF($K67="","",IF(LENH_GOC!G68="","",IF(ISNUMBER(LENH_GOC!G68),LENH_GOC!G68,DATE(VALUE(MID(LENH_GOC!G68,7,4)),VALUE(MID(LENH_GOC!G68,4,2)),VALUE(LEFT(LENH_GOC!G68,2)))+TIME(VALUE(MID(LENH_GOC!G68,12,2)),VALUE(MID(LENH_GOC!G68,15,2)),VALUE(MID(LENH_GOC!G68,18,2)))))), "")</f>
        <v/>
      </c>
      <c r="O67" t="str">
        <f>IF($K67="","",IF(LENH_GOC!E68="","",LENH_GOC!E68))</f>
        <v/>
      </c>
      <c r="P67" t="str">
        <f>IF($K67="","",IF(LENH_GOC!F68="","",LENH_GOC!F68))</f>
        <v/>
      </c>
      <c r="Q67" t="str">
        <f>IFERROR(IF($K67="","",IF(LENH_GOC!P68="","",IFERROR(VALUE(LENH_GOC!P68),IF(OR(LENH_GOC!P68=TRUE,UPPER(TRIM(LENH_GOC!P68))="TRUE"),1,0)))),"")</f>
        <v/>
      </c>
      <c r="R67" t="str">
        <f>IF($K67="","",IF(LENH_GOC!Q68="","",LENH_GOC!Q68))</f>
        <v/>
      </c>
      <c r="S67" s="43" t="str">
        <f>IF($K67="","",IF(LENH_GOC!R68="","",LENH_GOC!R68))</f>
        <v/>
      </c>
      <c r="T67">
        <f>IFERROR(IF($K67="",0,IF(AND(ISNUMBER($N67),INT($N67)=CAI_DAT!$B$4,LEFT(UPPER(TRIM($L67)),2)=LEFT(UPPER(TRIM(CAI_DAT!$B$5)),2),$Q67=1,OR(AND($M67="SO",ISNUMBER($P67),$P67&gt;0),AND($M67="MO",ISNUMBER($O67),$O67&gt;0))),1,0)),0)</f>
        <v>0</v>
      </c>
      <c r="U67" t="str">
        <f t="shared" ref="U67:U98" si="18">IFERROR(IF($T67=0,"",IF($M67="SO",$P67,IF(AND($M67="MO",OR($R67=TRUE,$R67="TRUE"),ISNUMBER($P67),$P67&gt;0),$P67,$O67))),"")</f>
        <v/>
      </c>
      <c r="V67" t="str">
        <f t="shared" ref="V67:V98" si="19">IFERROR(IF($T67=0,"",MOD($N67,1)*86400),"")</f>
        <v/>
      </c>
      <c r="W67" t="str">
        <f>IFERROR(IF($T67=0,"",COUNTIFS($T$3:$T$202,1,$V$3:$V$202,"&lt;"&amp;$V67)+COUNTIFS($T$3:$T67,1,$V$3:$V67,$V67)),"")</f>
        <v/>
      </c>
      <c r="X67" t="str">
        <f t="shared" ref="X67:X98" si="20">IFERROR(IF($T67=0,"",IF($M67="SO","SO: dùng CS hoàn thành",IF(AND($M67="MO",OR($R67=TRUE,$R67="TRUE"),ISNUMBER($P67),$P67&gt;0),"MO dừng sớm: dùng CS hoàn thành","MO: dùng CS ra lệnh"))),"")</f>
        <v/>
      </c>
    </row>
    <row r="68" spans="1:24">
      <c r="A68" s="5"/>
      <c r="B68" s="13"/>
      <c r="C68" s="16"/>
      <c r="D68" s="19"/>
      <c r="E68" s="19"/>
      <c r="F68" s="19"/>
      <c r="G68" s="6"/>
      <c r="J68" t="str">
        <f>IF(LENH_GOC!A69="","",69)</f>
        <v/>
      </c>
      <c r="K68" t="str">
        <f>IF(LENH_GOC!A69="","",LENH_GOC!A69)</f>
        <v/>
      </c>
      <c r="L68" t="str">
        <f>IF($K68="","",IFERROR(TRIM(LENH_GOC!C69),""))</f>
        <v/>
      </c>
      <c r="M68" t="str">
        <f>IF($K68="","",IFERROR(UPPER(TRIM(LENH_GOC!Y69)),""))</f>
        <v/>
      </c>
      <c r="N68" s="43" t="str">
        <f>IFERROR(IF($K68="","",IF(LENH_GOC!G69="","",IF(ISNUMBER(LENH_GOC!G69),LENH_GOC!G69,DATE(VALUE(MID(LENH_GOC!G69,7,4)),VALUE(MID(LENH_GOC!G69,4,2)),VALUE(LEFT(LENH_GOC!G69,2)))+TIME(VALUE(MID(LENH_GOC!G69,12,2)),VALUE(MID(LENH_GOC!G69,15,2)),VALUE(MID(LENH_GOC!G69,18,2)))))), "")</f>
        <v/>
      </c>
      <c r="O68" t="str">
        <f>IF($K68="","",IF(LENH_GOC!E69="","",LENH_GOC!E69))</f>
        <v/>
      </c>
      <c r="P68" t="str">
        <f>IF($K68="","",IF(LENH_GOC!F69="","",LENH_GOC!F69))</f>
        <v/>
      </c>
      <c r="Q68" t="str">
        <f>IFERROR(IF($K68="","",IF(LENH_GOC!P69="","",IFERROR(VALUE(LENH_GOC!P69),IF(OR(LENH_GOC!P69=TRUE,UPPER(TRIM(LENH_GOC!P69))="TRUE"),1,0)))),"")</f>
        <v/>
      </c>
      <c r="R68" t="str">
        <f>IF($K68="","",IF(LENH_GOC!Q69="","",LENH_GOC!Q69))</f>
        <v/>
      </c>
      <c r="S68" s="43" t="str">
        <f>IF($K68="","",IF(LENH_GOC!R69="","",LENH_GOC!R69))</f>
        <v/>
      </c>
      <c r="T68">
        <f>IFERROR(IF($K68="",0,IF(AND(ISNUMBER($N68),INT($N68)=CAI_DAT!$B$4,LEFT(UPPER(TRIM($L68)),2)=LEFT(UPPER(TRIM(CAI_DAT!$B$5)),2),$Q68=1,OR(AND($M68="SO",ISNUMBER($P68),$P68&gt;0),AND($M68="MO",ISNUMBER($O68),$O68&gt;0))),1,0)),0)</f>
        <v>0</v>
      </c>
      <c r="U68" t="str">
        <f t="shared" si="18"/>
        <v/>
      </c>
      <c r="V68" t="str">
        <f t="shared" si="19"/>
        <v/>
      </c>
      <c r="W68" t="str">
        <f>IFERROR(IF($T68=0,"",COUNTIFS($T$3:$T$202,1,$V$3:$V$202,"&lt;"&amp;$V68)+COUNTIFS($T$3:$T68,1,$V$3:$V68,$V68)),"")</f>
        <v/>
      </c>
      <c r="X68" t="str">
        <f t="shared" si="20"/>
        <v/>
      </c>
    </row>
    <row r="69" spans="1:24">
      <c r="A69" s="5"/>
      <c r="B69" s="13"/>
      <c r="C69" s="16"/>
      <c r="D69" s="19"/>
      <c r="E69" s="19"/>
      <c r="F69" s="19"/>
      <c r="G69" s="6"/>
      <c r="J69" t="str">
        <f>IF(LENH_GOC!A70="","",70)</f>
        <v/>
      </c>
      <c r="K69" t="str">
        <f>IF(LENH_GOC!A70="","",LENH_GOC!A70)</f>
        <v/>
      </c>
      <c r="L69" t="str">
        <f>IF($K69="","",IFERROR(TRIM(LENH_GOC!C70),""))</f>
        <v/>
      </c>
      <c r="M69" t="str">
        <f>IF($K69="","",IFERROR(UPPER(TRIM(LENH_GOC!Y70)),""))</f>
        <v/>
      </c>
      <c r="N69" s="43" t="str">
        <f>IFERROR(IF($K69="","",IF(LENH_GOC!G70="","",IF(ISNUMBER(LENH_GOC!G70),LENH_GOC!G70,DATE(VALUE(MID(LENH_GOC!G70,7,4)),VALUE(MID(LENH_GOC!G70,4,2)),VALUE(LEFT(LENH_GOC!G70,2)))+TIME(VALUE(MID(LENH_GOC!G70,12,2)),VALUE(MID(LENH_GOC!G70,15,2)),VALUE(MID(LENH_GOC!G70,18,2)))))), "")</f>
        <v/>
      </c>
      <c r="O69" t="str">
        <f>IF($K69="","",IF(LENH_GOC!E70="","",LENH_GOC!E70))</f>
        <v/>
      </c>
      <c r="P69" t="str">
        <f>IF($K69="","",IF(LENH_GOC!F70="","",LENH_GOC!F70))</f>
        <v/>
      </c>
      <c r="Q69" t="str">
        <f>IFERROR(IF($K69="","",IF(LENH_GOC!P70="","",IFERROR(VALUE(LENH_GOC!P70),IF(OR(LENH_GOC!P70=TRUE,UPPER(TRIM(LENH_GOC!P70))="TRUE"),1,0)))),"")</f>
        <v/>
      </c>
      <c r="R69" t="str">
        <f>IF($K69="","",IF(LENH_GOC!Q70="","",LENH_GOC!Q70))</f>
        <v/>
      </c>
      <c r="S69" s="43" t="str">
        <f>IF($K69="","",IF(LENH_GOC!R70="","",LENH_GOC!R70))</f>
        <v/>
      </c>
      <c r="T69">
        <f>IFERROR(IF($K69="",0,IF(AND(ISNUMBER($N69),INT($N69)=CAI_DAT!$B$4,LEFT(UPPER(TRIM($L69)),2)=LEFT(UPPER(TRIM(CAI_DAT!$B$5)),2),$Q69=1,OR(AND($M69="SO",ISNUMBER($P69),$P69&gt;0),AND($M69="MO",ISNUMBER($O69),$O69&gt;0))),1,0)),0)</f>
        <v>0</v>
      </c>
      <c r="U69" t="str">
        <f t="shared" si="18"/>
        <v/>
      </c>
      <c r="V69" t="str">
        <f t="shared" si="19"/>
        <v/>
      </c>
      <c r="W69" t="str">
        <f>IFERROR(IF($T69=0,"",COUNTIFS($T$3:$T$202,1,$V$3:$V$202,"&lt;"&amp;$V69)+COUNTIFS($T$3:$T69,1,$V$3:$V69,$V69)),"")</f>
        <v/>
      </c>
      <c r="X69" t="str">
        <f t="shared" si="20"/>
        <v/>
      </c>
    </row>
    <row r="70" spans="1:24">
      <c r="A70" s="5"/>
      <c r="B70" s="13"/>
      <c r="C70" s="16"/>
      <c r="D70" s="19"/>
      <c r="E70" s="19"/>
      <c r="F70" s="19"/>
      <c r="G70" s="6"/>
      <c r="J70" t="str">
        <f>IF(LENH_GOC!A71="","",71)</f>
        <v/>
      </c>
      <c r="K70" t="str">
        <f>IF(LENH_GOC!A71="","",LENH_GOC!A71)</f>
        <v/>
      </c>
      <c r="L70" t="str">
        <f>IF($K70="","",IFERROR(TRIM(LENH_GOC!C71),""))</f>
        <v/>
      </c>
      <c r="M70" t="str">
        <f>IF($K70="","",IFERROR(UPPER(TRIM(LENH_GOC!Y71)),""))</f>
        <v/>
      </c>
      <c r="N70" s="43" t="str">
        <f>IFERROR(IF($K70="","",IF(LENH_GOC!G71="","",IF(ISNUMBER(LENH_GOC!G71),LENH_GOC!G71,DATE(VALUE(MID(LENH_GOC!G71,7,4)),VALUE(MID(LENH_GOC!G71,4,2)),VALUE(LEFT(LENH_GOC!G71,2)))+TIME(VALUE(MID(LENH_GOC!G71,12,2)),VALUE(MID(LENH_GOC!G71,15,2)),VALUE(MID(LENH_GOC!G71,18,2)))))), "")</f>
        <v/>
      </c>
      <c r="O70" t="str">
        <f>IF($K70="","",IF(LENH_GOC!E71="","",LENH_GOC!E71))</f>
        <v/>
      </c>
      <c r="P70" t="str">
        <f>IF($K70="","",IF(LENH_GOC!F71="","",LENH_GOC!F71))</f>
        <v/>
      </c>
      <c r="Q70" t="str">
        <f>IFERROR(IF($K70="","",IF(LENH_GOC!P71="","",IFERROR(VALUE(LENH_GOC!P71),IF(OR(LENH_GOC!P71=TRUE,UPPER(TRIM(LENH_GOC!P71))="TRUE"),1,0)))),"")</f>
        <v/>
      </c>
      <c r="R70" t="str">
        <f>IF($K70="","",IF(LENH_GOC!Q71="","",LENH_GOC!Q71))</f>
        <v/>
      </c>
      <c r="S70" s="43" t="str">
        <f>IF($K70="","",IF(LENH_GOC!R71="","",LENH_GOC!R71))</f>
        <v/>
      </c>
      <c r="T70">
        <f>IFERROR(IF($K70="",0,IF(AND(ISNUMBER($N70),INT($N70)=CAI_DAT!$B$4,LEFT(UPPER(TRIM($L70)),2)=LEFT(UPPER(TRIM(CAI_DAT!$B$5)),2),$Q70=1,OR(AND($M70="SO",ISNUMBER($P70),$P70&gt;0),AND($M70="MO",ISNUMBER($O70),$O70&gt;0))),1,0)),0)</f>
        <v>0</v>
      </c>
      <c r="U70" t="str">
        <f t="shared" si="18"/>
        <v/>
      </c>
      <c r="V70" t="str">
        <f t="shared" si="19"/>
        <v/>
      </c>
      <c r="W70" t="str">
        <f>IFERROR(IF($T70=0,"",COUNTIFS($T$3:$T$202,1,$V$3:$V$202,"&lt;"&amp;$V70)+COUNTIFS($T$3:$T70,1,$V$3:$V70,$V70)),"")</f>
        <v/>
      </c>
      <c r="X70" t="str">
        <f t="shared" si="20"/>
        <v/>
      </c>
    </row>
    <row r="71" spans="1:24">
      <c r="A71" s="5"/>
      <c r="B71" s="13"/>
      <c r="C71" s="16"/>
      <c r="D71" s="19"/>
      <c r="E71" s="19"/>
      <c r="F71" s="19"/>
      <c r="G71" s="6"/>
      <c r="J71" t="str">
        <f>IF(LENH_GOC!A72="","",72)</f>
        <v/>
      </c>
      <c r="K71" t="str">
        <f>IF(LENH_GOC!A72="","",LENH_GOC!A72)</f>
        <v/>
      </c>
      <c r="L71" t="str">
        <f>IF($K71="","",IFERROR(TRIM(LENH_GOC!C72),""))</f>
        <v/>
      </c>
      <c r="M71" t="str">
        <f>IF($K71="","",IFERROR(UPPER(TRIM(LENH_GOC!Y72)),""))</f>
        <v/>
      </c>
      <c r="N71" s="43" t="str">
        <f>IFERROR(IF($K71="","",IF(LENH_GOC!G72="","",IF(ISNUMBER(LENH_GOC!G72),LENH_GOC!G72,DATE(VALUE(MID(LENH_GOC!G72,7,4)),VALUE(MID(LENH_GOC!G72,4,2)),VALUE(LEFT(LENH_GOC!G72,2)))+TIME(VALUE(MID(LENH_GOC!G72,12,2)),VALUE(MID(LENH_GOC!G72,15,2)),VALUE(MID(LENH_GOC!G72,18,2)))))), "")</f>
        <v/>
      </c>
      <c r="O71" t="str">
        <f>IF($K71="","",IF(LENH_GOC!E72="","",LENH_GOC!E72))</f>
        <v/>
      </c>
      <c r="P71" t="str">
        <f>IF($K71="","",IF(LENH_GOC!F72="","",LENH_GOC!F72))</f>
        <v/>
      </c>
      <c r="Q71" t="str">
        <f>IFERROR(IF($K71="","",IF(LENH_GOC!P72="","",IFERROR(VALUE(LENH_GOC!P72),IF(OR(LENH_GOC!P72=TRUE,UPPER(TRIM(LENH_GOC!P72))="TRUE"),1,0)))),"")</f>
        <v/>
      </c>
      <c r="R71" t="str">
        <f>IF($K71="","",IF(LENH_GOC!Q72="","",LENH_GOC!Q72))</f>
        <v/>
      </c>
      <c r="S71" s="43" t="str">
        <f>IF($K71="","",IF(LENH_GOC!R72="","",LENH_GOC!R72))</f>
        <v/>
      </c>
      <c r="T71">
        <f>IFERROR(IF($K71="",0,IF(AND(ISNUMBER($N71),INT($N71)=CAI_DAT!$B$4,LEFT(UPPER(TRIM($L71)),2)=LEFT(UPPER(TRIM(CAI_DAT!$B$5)),2),$Q71=1,OR(AND($M71="SO",ISNUMBER($P71),$P71&gt;0),AND($M71="MO",ISNUMBER($O71),$O71&gt;0))),1,0)),0)</f>
        <v>0</v>
      </c>
      <c r="U71" t="str">
        <f t="shared" si="18"/>
        <v/>
      </c>
      <c r="V71" t="str">
        <f t="shared" si="19"/>
        <v/>
      </c>
      <c r="W71" t="str">
        <f>IFERROR(IF($T71=0,"",COUNTIFS($T$3:$T$202,1,$V$3:$V$202,"&lt;"&amp;$V71)+COUNTIFS($T$3:$T71,1,$V$3:$V71,$V71)),"")</f>
        <v/>
      </c>
      <c r="X71" t="str">
        <f t="shared" si="20"/>
        <v/>
      </c>
    </row>
    <row r="72" spans="1:24">
      <c r="A72" s="5"/>
      <c r="B72" s="13"/>
      <c r="C72" s="16"/>
      <c r="D72" s="19"/>
      <c r="E72" s="19"/>
      <c r="F72" s="19"/>
      <c r="G72" s="6"/>
      <c r="J72" t="str">
        <f>IF(LENH_GOC!A73="","",73)</f>
        <v/>
      </c>
      <c r="K72" t="str">
        <f>IF(LENH_GOC!A73="","",LENH_GOC!A73)</f>
        <v/>
      </c>
      <c r="L72" t="str">
        <f>IF($K72="","",IFERROR(TRIM(LENH_GOC!C73),""))</f>
        <v/>
      </c>
      <c r="M72" t="str">
        <f>IF($K72="","",IFERROR(UPPER(TRIM(LENH_GOC!Y73)),""))</f>
        <v/>
      </c>
      <c r="N72" s="43" t="str">
        <f>IFERROR(IF($K72="","",IF(LENH_GOC!G73="","",IF(ISNUMBER(LENH_GOC!G73),LENH_GOC!G73,DATE(VALUE(MID(LENH_GOC!G73,7,4)),VALUE(MID(LENH_GOC!G73,4,2)),VALUE(LEFT(LENH_GOC!G73,2)))+TIME(VALUE(MID(LENH_GOC!G73,12,2)),VALUE(MID(LENH_GOC!G73,15,2)),VALUE(MID(LENH_GOC!G73,18,2)))))), "")</f>
        <v/>
      </c>
      <c r="O72" t="str">
        <f>IF($K72="","",IF(LENH_GOC!E73="","",LENH_GOC!E73))</f>
        <v/>
      </c>
      <c r="P72" t="str">
        <f>IF($K72="","",IF(LENH_GOC!F73="","",LENH_GOC!F73))</f>
        <v/>
      </c>
      <c r="Q72" t="str">
        <f>IFERROR(IF($K72="","",IF(LENH_GOC!P73="","",IFERROR(VALUE(LENH_GOC!P73),IF(OR(LENH_GOC!P73=TRUE,UPPER(TRIM(LENH_GOC!P73))="TRUE"),1,0)))),"")</f>
        <v/>
      </c>
      <c r="R72" t="str">
        <f>IF($K72="","",IF(LENH_GOC!Q73="","",LENH_GOC!Q73))</f>
        <v/>
      </c>
      <c r="S72" s="43" t="str">
        <f>IF($K72="","",IF(LENH_GOC!R73="","",LENH_GOC!R73))</f>
        <v/>
      </c>
      <c r="T72">
        <f>IFERROR(IF($K72="",0,IF(AND(ISNUMBER($N72),INT($N72)=CAI_DAT!$B$4,LEFT(UPPER(TRIM($L72)),2)=LEFT(UPPER(TRIM(CAI_DAT!$B$5)),2),$Q72=1,OR(AND($M72="SO",ISNUMBER($P72),$P72&gt;0),AND($M72="MO",ISNUMBER($O72),$O72&gt;0))),1,0)),0)</f>
        <v>0</v>
      </c>
      <c r="U72" t="str">
        <f t="shared" si="18"/>
        <v/>
      </c>
      <c r="V72" t="str">
        <f t="shared" si="19"/>
        <v/>
      </c>
      <c r="W72" t="str">
        <f>IFERROR(IF($T72=0,"",COUNTIFS($T$3:$T$202,1,$V$3:$V$202,"&lt;"&amp;$V72)+COUNTIFS($T$3:$T72,1,$V$3:$V72,$V72)),"")</f>
        <v/>
      </c>
      <c r="X72" t="str">
        <f t="shared" si="20"/>
        <v/>
      </c>
    </row>
    <row r="73" spans="1:24">
      <c r="A73" s="5"/>
      <c r="B73" s="13"/>
      <c r="C73" s="16"/>
      <c r="D73" s="19"/>
      <c r="E73" s="19"/>
      <c r="F73" s="19"/>
      <c r="G73" s="6"/>
      <c r="J73" t="str">
        <f>IF(LENH_GOC!A74="","",74)</f>
        <v/>
      </c>
      <c r="K73" t="str">
        <f>IF(LENH_GOC!A74="","",LENH_GOC!A74)</f>
        <v/>
      </c>
      <c r="L73" t="str">
        <f>IF($K73="","",IFERROR(TRIM(LENH_GOC!C74),""))</f>
        <v/>
      </c>
      <c r="M73" t="str">
        <f>IF($K73="","",IFERROR(UPPER(TRIM(LENH_GOC!Y74)),""))</f>
        <v/>
      </c>
      <c r="N73" s="43" t="str">
        <f>IFERROR(IF($K73="","",IF(LENH_GOC!G74="","",IF(ISNUMBER(LENH_GOC!G74),LENH_GOC!G74,DATE(VALUE(MID(LENH_GOC!G74,7,4)),VALUE(MID(LENH_GOC!G74,4,2)),VALUE(LEFT(LENH_GOC!G74,2)))+TIME(VALUE(MID(LENH_GOC!G74,12,2)),VALUE(MID(LENH_GOC!G74,15,2)),VALUE(MID(LENH_GOC!G74,18,2)))))), "")</f>
        <v/>
      </c>
      <c r="O73" t="str">
        <f>IF($K73="","",IF(LENH_GOC!E74="","",LENH_GOC!E74))</f>
        <v/>
      </c>
      <c r="P73" t="str">
        <f>IF($K73="","",IF(LENH_GOC!F74="","",LENH_GOC!F74))</f>
        <v/>
      </c>
      <c r="Q73" t="str">
        <f>IFERROR(IF($K73="","",IF(LENH_GOC!P74="","",IFERROR(VALUE(LENH_GOC!P74),IF(OR(LENH_GOC!P74=TRUE,UPPER(TRIM(LENH_GOC!P74))="TRUE"),1,0)))),"")</f>
        <v/>
      </c>
      <c r="R73" t="str">
        <f>IF($K73="","",IF(LENH_GOC!Q74="","",LENH_GOC!Q74))</f>
        <v/>
      </c>
      <c r="S73" s="43" t="str">
        <f>IF($K73="","",IF(LENH_GOC!R74="","",LENH_GOC!R74))</f>
        <v/>
      </c>
      <c r="T73">
        <f>IFERROR(IF($K73="",0,IF(AND(ISNUMBER($N73),INT($N73)=CAI_DAT!$B$4,LEFT(UPPER(TRIM($L73)),2)=LEFT(UPPER(TRIM(CAI_DAT!$B$5)),2),$Q73=1,OR(AND($M73="SO",ISNUMBER($P73),$P73&gt;0),AND($M73="MO",ISNUMBER($O73),$O73&gt;0))),1,0)),0)</f>
        <v>0</v>
      </c>
      <c r="U73" t="str">
        <f t="shared" si="18"/>
        <v/>
      </c>
      <c r="V73" t="str">
        <f t="shared" si="19"/>
        <v/>
      </c>
      <c r="W73" t="str">
        <f>IFERROR(IF($T73=0,"",COUNTIFS($T$3:$T$202,1,$V$3:$V$202,"&lt;"&amp;$V73)+COUNTIFS($T$3:$T73,1,$V$3:$V73,$V73)),"")</f>
        <v/>
      </c>
      <c r="X73" t="str">
        <f t="shared" si="20"/>
        <v/>
      </c>
    </row>
    <row r="74" spans="1:24">
      <c r="A74" s="5"/>
      <c r="B74" s="13"/>
      <c r="C74" s="16"/>
      <c r="D74" s="19"/>
      <c r="E74" s="19"/>
      <c r="F74" s="19"/>
      <c r="G74" s="6"/>
      <c r="J74" t="str">
        <f>IF(LENH_GOC!A75="","",75)</f>
        <v/>
      </c>
      <c r="K74" t="str">
        <f>IF(LENH_GOC!A75="","",LENH_GOC!A75)</f>
        <v/>
      </c>
      <c r="L74" t="str">
        <f>IF($K74="","",IFERROR(TRIM(LENH_GOC!C75),""))</f>
        <v/>
      </c>
      <c r="M74" t="str">
        <f>IF($K74="","",IFERROR(UPPER(TRIM(LENH_GOC!Y75)),""))</f>
        <v/>
      </c>
      <c r="N74" s="43" t="str">
        <f>IFERROR(IF($K74="","",IF(LENH_GOC!G75="","",IF(ISNUMBER(LENH_GOC!G75),LENH_GOC!G75,DATE(VALUE(MID(LENH_GOC!G75,7,4)),VALUE(MID(LENH_GOC!G75,4,2)),VALUE(LEFT(LENH_GOC!G75,2)))+TIME(VALUE(MID(LENH_GOC!G75,12,2)),VALUE(MID(LENH_GOC!G75,15,2)),VALUE(MID(LENH_GOC!G75,18,2)))))), "")</f>
        <v/>
      </c>
      <c r="O74" t="str">
        <f>IF($K74="","",IF(LENH_GOC!E75="","",LENH_GOC!E75))</f>
        <v/>
      </c>
      <c r="P74" t="str">
        <f>IF($K74="","",IF(LENH_GOC!F75="","",LENH_GOC!F75))</f>
        <v/>
      </c>
      <c r="Q74" t="str">
        <f>IFERROR(IF($K74="","",IF(LENH_GOC!P75="","",IFERROR(VALUE(LENH_GOC!P75),IF(OR(LENH_GOC!P75=TRUE,UPPER(TRIM(LENH_GOC!P75))="TRUE"),1,0)))),"")</f>
        <v/>
      </c>
      <c r="R74" t="str">
        <f>IF($K74="","",IF(LENH_GOC!Q75="","",LENH_GOC!Q75))</f>
        <v/>
      </c>
      <c r="S74" s="43" t="str">
        <f>IF($K74="","",IF(LENH_GOC!R75="","",LENH_GOC!R75))</f>
        <v/>
      </c>
      <c r="T74">
        <f>IFERROR(IF($K74="",0,IF(AND(ISNUMBER($N74),INT($N74)=CAI_DAT!$B$4,LEFT(UPPER(TRIM($L74)),2)=LEFT(UPPER(TRIM(CAI_DAT!$B$5)),2),$Q74=1,OR(AND($M74="SO",ISNUMBER($P74),$P74&gt;0),AND($M74="MO",ISNUMBER($O74),$O74&gt;0))),1,0)),0)</f>
        <v>0</v>
      </c>
      <c r="U74" t="str">
        <f t="shared" si="18"/>
        <v/>
      </c>
      <c r="V74" t="str">
        <f t="shared" si="19"/>
        <v/>
      </c>
      <c r="W74" t="str">
        <f>IFERROR(IF($T74=0,"",COUNTIFS($T$3:$T$202,1,$V$3:$V$202,"&lt;"&amp;$V74)+COUNTIFS($T$3:$T74,1,$V$3:$V74,$V74)),"")</f>
        <v/>
      </c>
      <c r="X74" t="str">
        <f t="shared" si="20"/>
        <v/>
      </c>
    </row>
    <row r="75" spans="1:24">
      <c r="A75" s="5"/>
      <c r="B75" s="13"/>
      <c r="C75" s="16"/>
      <c r="D75" s="19"/>
      <c r="E75" s="19"/>
      <c r="F75" s="19"/>
      <c r="G75" s="6"/>
      <c r="J75" t="str">
        <f>IF(LENH_GOC!A76="","",76)</f>
        <v/>
      </c>
      <c r="K75" t="str">
        <f>IF(LENH_GOC!A76="","",LENH_GOC!A76)</f>
        <v/>
      </c>
      <c r="L75" t="str">
        <f>IF($K75="","",IFERROR(TRIM(LENH_GOC!C76),""))</f>
        <v/>
      </c>
      <c r="M75" t="str">
        <f>IF($K75="","",IFERROR(UPPER(TRIM(LENH_GOC!Y76)),""))</f>
        <v/>
      </c>
      <c r="N75" s="43" t="str">
        <f>IFERROR(IF($K75="","",IF(LENH_GOC!G76="","",IF(ISNUMBER(LENH_GOC!G76),LENH_GOC!G76,DATE(VALUE(MID(LENH_GOC!G76,7,4)),VALUE(MID(LENH_GOC!G76,4,2)),VALUE(LEFT(LENH_GOC!G76,2)))+TIME(VALUE(MID(LENH_GOC!G76,12,2)),VALUE(MID(LENH_GOC!G76,15,2)),VALUE(MID(LENH_GOC!G76,18,2)))))), "")</f>
        <v/>
      </c>
      <c r="O75" t="str">
        <f>IF($K75="","",IF(LENH_GOC!E76="","",LENH_GOC!E76))</f>
        <v/>
      </c>
      <c r="P75" t="str">
        <f>IF($K75="","",IF(LENH_GOC!F76="","",LENH_GOC!F76))</f>
        <v/>
      </c>
      <c r="Q75" t="str">
        <f>IFERROR(IF($K75="","",IF(LENH_GOC!P76="","",IFERROR(VALUE(LENH_GOC!P76),IF(OR(LENH_GOC!P76=TRUE,UPPER(TRIM(LENH_GOC!P76))="TRUE"),1,0)))),"")</f>
        <v/>
      </c>
      <c r="R75" t="str">
        <f>IF($K75="","",IF(LENH_GOC!Q76="","",LENH_GOC!Q76))</f>
        <v/>
      </c>
      <c r="S75" s="43" t="str">
        <f>IF($K75="","",IF(LENH_GOC!R76="","",LENH_GOC!R76))</f>
        <v/>
      </c>
      <c r="T75">
        <f>IFERROR(IF($K75="",0,IF(AND(ISNUMBER($N75),INT($N75)=CAI_DAT!$B$4,LEFT(UPPER(TRIM($L75)),2)=LEFT(UPPER(TRIM(CAI_DAT!$B$5)),2),$Q75=1,OR(AND($M75="SO",ISNUMBER($P75),$P75&gt;0),AND($M75="MO",ISNUMBER($O75),$O75&gt;0))),1,0)),0)</f>
        <v>0</v>
      </c>
      <c r="U75" t="str">
        <f t="shared" si="18"/>
        <v/>
      </c>
      <c r="V75" t="str">
        <f t="shared" si="19"/>
        <v/>
      </c>
      <c r="W75" t="str">
        <f>IFERROR(IF($T75=0,"",COUNTIFS($T$3:$T$202,1,$V$3:$V$202,"&lt;"&amp;$V75)+COUNTIFS($T$3:$T75,1,$V$3:$V75,$V75)),"")</f>
        <v/>
      </c>
      <c r="X75" t="str">
        <f t="shared" si="20"/>
        <v/>
      </c>
    </row>
    <row r="76" spans="1:24">
      <c r="A76" s="5"/>
      <c r="B76" s="13"/>
      <c r="C76" s="16"/>
      <c r="D76" s="19"/>
      <c r="E76" s="19"/>
      <c r="F76" s="19"/>
      <c r="G76" s="6"/>
      <c r="J76" t="str">
        <f>IF(LENH_GOC!A77="","",77)</f>
        <v/>
      </c>
      <c r="K76" t="str">
        <f>IF(LENH_GOC!A77="","",LENH_GOC!A77)</f>
        <v/>
      </c>
      <c r="L76" t="str">
        <f>IF($K76="","",IFERROR(TRIM(LENH_GOC!C77),""))</f>
        <v/>
      </c>
      <c r="M76" t="str">
        <f>IF($K76="","",IFERROR(UPPER(TRIM(LENH_GOC!Y77)),""))</f>
        <v/>
      </c>
      <c r="N76" s="43" t="str">
        <f>IFERROR(IF($K76="","",IF(LENH_GOC!G77="","",IF(ISNUMBER(LENH_GOC!G77),LENH_GOC!G77,DATE(VALUE(MID(LENH_GOC!G77,7,4)),VALUE(MID(LENH_GOC!G77,4,2)),VALUE(LEFT(LENH_GOC!G77,2)))+TIME(VALUE(MID(LENH_GOC!G77,12,2)),VALUE(MID(LENH_GOC!G77,15,2)),VALUE(MID(LENH_GOC!G77,18,2)))))), "")</f>
        <v/>
      </c>
      <c r="O76" t="str">
        <f>IF($K76="","",IF(LENH_GOC!E77="","",LENH_GOC!E77))</f>
        <v/>
      </c>
      <c r="P76" t="str">
        <f>IF($K76="","",IF(LENH_GOC!F77="","",LENH_GOC!F77))</f>
        <v/>
      </c>
      <c r="Q76" t="str">
        <f>IFERROR(IF($K76="","",IF(LENH_GOC!P77="","",IFERROR(VALUE(LENH_GOC!P77),IF(OR(LENH_GOC!P77=TRUE,UPPER(TRIM(LENH_GOC!P77))="TRUE"),1,0)))),"")</f>
        <v/>
      </c>
      <c r="R76" t="str">
        <f>IF($K76="","",IF(LENH_GOC!Q77="","",LENH_GOC!Q77))</f>
        <v/>
      </c>
      <c r="S76" s="43" t="str">
        <f>IF($K76="","",IF(LENH_GOC!R77="","",LENH_GOC!R77))</f>
        <v/>
      </c>
      <c r="T76">
        <f>IFERROR(IF($K76="",0,IF(AND(ISNUMBER($N76),INT($N76)=CAI_DAT!$B$4,LEFT(UPPER(TRIM($L76)),2)=LEFT(UPPER(TRIM(CAI_DAT!$B$5)),2),$Q76=1,OR(AND($M76="SO",ISNUMBER($P76),$P76&gt;0),AND($M76="MO",ISNUMBER($O76),$O76&gt;0))),1,0)),0)</f>
        <v>0</v>
      </c>
      <c r="U76" t="str">
        <f t="shared" si="18"/>
        <v/>
      </c>
      <c r="V76" t="str">
        <f t="shared" si="19"/>
        <v/>
      </c>
      <c r="W76" t="str">
        <f>IFERROR(IF($T76=0,"",COUNTIFS($T$3:$T$202,1,$V$3:$V$202,"&lt;"&amp;$V76)+COUNTIFS($T$3:$T76,1,$V$3:$V76,$V76)),"")</f>
        <v/>
      </c>
      <c r="X76" t="str">
        <f t="shared" si="20"/>
        <v/>
      </c>
    </row>
    <row r="77" spans="1:24">
      <c r="A77" s="5"/>
      <c r="B77" s="13"/>
      <c r="C77" s="16"/>
      <c r="D77" s="19"/>
      <c r="E77" s="19"/>
      <c r="F77" s="19"/>
      <c r="G77" s="6"/>
      <c r="J77" t="str">
        <f>IF(LENH_GOC!A78="","",78)</f>
        <v/>
      </c>
      <c r="K77" t="str">
        <f>IF(LENH_GOC!A78="","",LENH_GOC!A78)</f>
        <v/>
      </c>
      <c r="L77" t="str">
        <f>IF($K77="","",IFERROR(TRIM(LENH_GOC!C78),""))</f>
        <v/>
      </c>
      <c r="M77" t="str">
        <f>IF($K77="","",IFERROR(UPPER(TRIM(LENH_GOC!Y78)),""))</f>
        <v/>
      </c>
      <c r="N77" s="43" t="str">
        <f>IFERROR(IF($K77="","",IF(LENH_GOC!G78="","",IF(ISNUMBER(LENH_GOC!G78),LENH_GOC!G78,DATE(VALUE(MID(LENH_GOC!G78,7,4)),VALUE(MID(LENH_GOC!G78,4,2)),VALUE(LEFT(LENH_GOC!G78,2)))+TIME(VALUE(MID(LENH_GOC!G78,12,2)),VALUE(MID(LENH_GOC!G78,15,2)),VALUE(MID(LENH_GOC!G78,18,2)))))), "")</f>
        <v/>
      </c>
      <c r="O77" t="str">
        <f>IF($K77="","",IF(LENH_GOC!E78="","",LENH_GOC!E78))</f>
        <v/>
      </c>
      <c r="P77" t="str">
        <f>IF($K77="","",IF(LENH_GOC!F78="","",LENH_GOC!F78))</f>
        <v/>
      </c>
      <c r="Q77" t="str">
        <f>IFERROR(IF($K77="","",IF(LENH_GOC!P78="","",IFERROR(VALUE(LENH_GOC!P78),IF(OR(LENH_GOC!P78=TRUE,UPPER(TRIM(LENH_GOC!P78))="TRUE"),1,0)))),"")</f>
        <v/>
      </c>
      <c r="R77" t="str">
        <f>IF($K77="","",IF(LENH_GOC!Q78="","",LENH_GOC!Q78))</f>
        <v/>
      </c>
      <c r="S77" s="43" t="str">
        <f>IF($K77="","",IF(LENH_GOC!R78="","",LENH_GOC!R78))</f>
        <v/>
      </c>
      <c r="T77">
        <f>IFERROR(IF($K77="",0,IF(AND(ISNUMBER($N77),INT($N77)=CAI_DAT!$B$4,LEFT(UPPER(TRIM($L77)),2)=LEFT(UPPER(TRIM(CAI_DAT!$B$5)),2),$Q77=1,OR(AND($M77="SO",ISNUMBER($P77),$P77&gt;0),AND($M77="MO",ISNUMBER($O77),$O77&gt;0))),1,0)),0)</f>
        <v>0</v>
      </c>
      <c r="U77" t="str">
        <f t="shared" si="18"/>
        <v/>
      </c>
      <c r="V77" t="str">
        <f t="shared" si="19"/>
        <v/>
      </c>
      <c r="W77" t="str">
        <f>IFERROR(IF($T77=0,"",COUNTIFS($T$3:$T$202,1,$V$3:$V$202,"&lt;"&amp;$V77)+COUNTIFS($T$3:$T77,1,$V$3:$V77,$V77)),"")</f>
        <v/>
      </c>
      <c r="X77" t="str">
        <f t="shared" si="20"/>
        <v/>
      </c>
    </row>
    <row r="78" spans="1:24">
      <c r="A78" s="5"/>
      <c r="B78" s="13"/>
      <c r="C78" s="16"/>
      <c r="D78" s="19"/>
      <c r="E78" s="19"/>
      <c r="F78" s="19"/>
      <c r="G78" s="6"/>
      <c r="J78" t="str">
        <f>IF(LENH_GOC!A79="","",79)</f>
        <v/>
      </c>
      <c r="K78" t="str">
        <f>IF(LENH_GOC!A79="","",LENH_GOC!A79)</f>
        <v/>
      </c>
      <c r="L78" t="str">
        <f>IF($K78="","",IFERROR(TRIM(LENH_GOC!C79),""))</f>
        <v/>
      </c>
      <c r="M78" t="str">
        <f>IF($K78="","",IFERROR(UPPER(TRIM(LENH_GOC!Y79)),""))</f>
        <v/>
      </c>
      <c r="N78" s="43" t="str">
        <f>IFERROR(IF($K78="","",IF(LENH_GOC!G79="","",IF(ISNUMBER(LENH_GOC!G79),LENH_GOC!G79,DATE(VALUE(MID(LENH_GOC!G79,7,4)),VALUE(MID(LENH_GOC!G79,4,2)),VALUE(LEFT(LENH_GOC!G79,2)))+TIME(VALUE(MID(LENH_GOC!G79,12,2)),VALUE(MID(LENH_GOC!G79,15,2)),VALUE(MID(LENH_GOC!G79,18,2)))))), "")</f>
        <v/>
      </c>
      <c r="O78" t="str">
        <f>IF($K78="","",IF(LENH_GOC!E79="","",LENH_GOC!E79))</f>
        <v/>
      </c>
      <c r="P78" t="str">
        <f>IF($K78="","",IF(LENH_GOC!F79="","",LENH_GOC!F79))</f>
        <v/>
      </c>
      <c r="Q78" t="str">
        <f>IFERROR(IF($K78="","",IF(LENH_GOC!P79="","",IFERROR(VALUE(LENH_GOC!P79),IF(OR(LENH_GOC!P79=TRUE,UPPER(TRIM(LENH_GOC!P79))="TRUE"),1,0)))),"")</f>
        <v/>
      </c>
      <c r="R78" t="str">
        <f>IF($K78="","",IF(LENH_GOC!Q79="","",LENH_GOC!Q79))</f>
        <v/>
      </c>
      <c r="S78" s="43" t="str">
        <f>IF($K78="","",IF(LENH_GOC!R79="","",LENH_GOC!R79))</f>
        <v/>
      </c>
      <c r="T78">
        <f>IFERROR(IF($K78="",0,IF(AND(ISNUMBER($N78),INT($N78)=CAI_DAT!$B$4,LEFT(UPPER(TRIM($L78)),2)=LEFT(UPPER(TRIM(CAI_DAT!$B$5)),2),$Q78=1,OR(AND($M78="SO",ISNUMBER($P78),$P78&gt;0),AND($M78="MO",ISNUMBER($O78),$O78&gt;0))),1,0)),0)</f>
        <v>0</v>
      </c>
      <c r="U78" t="str">
        <f t="shared" si="18"/>
        <v/>
      </c>
      <c r="V78" t="str">
        <f t="shared" si="19"/>
        <v/>
      </c>
      <c r="W78" t="str">
        <f>IFERROR(IF($T78=0,"",COUNTIFS($T$3:$T$202,1,$V$3:$V$202,"&lt;"&amp;$V78)+COUNTIFS($T$3:$T78,1,$V$3:$V78,$V78)),"")</f>
        <v/>
      </c>
      <c r="X78" t="str">
        <f t="shared" si="20"/>
        <v/>
      </c>
    </row>
    <row r="79" spans="1:24">
      <c r="A79" s="5"/>
      <c r="B79" s="13"/>
      <c r="C79" s="16"/>
      <c r="D79" s="19"/>
      <c r="E79" s="19"/>
      <c r="F79" s="19"/>
      <c r="G79" s="6"/>
      <c r="J79" t="str">
        <f>IF(LENH_GOC!A80="","",80)</f>
        <v/>
      </c>
      <c r="K79" t="str">
        <f>IF(LENH_GOC!A80="","",LENH_GOC!A80)</f>
        <v/>
      </c>
      <c r="L79" t="str">
        <f>IF($K79="","",IFERROR(TRIM(LENH_GOC!C80),""))</f>
        <v/>
      </c>
      <c r="M79" t="str">
        <f>IF($K79="","",IFERROR(UPPER(TRIM(LENH_GOC!Y80)),""))</f>
        <v/>
      </c>
      <c r="N79" s="43" t="str">
        <f>IFERROR(IF($K79="","",IF(LENH_GOC!G80="","",IF(ISNUMBER(LENH_GOC!G80),LENH_GOC!G80,DATE(VALUE(MID(LENH_GOC!G80,7,4)),VALUE(MID(LENH_GOC!G80,4,2)),VALUE(LEFT(LENH_GOC!G80,2)))+TIME(VALUE(MID(LENH_GOC!G80,12,2)),VALUE(MID(LENH_GOC!G80,15,2)),VALUE(MID(LENH_GOC!G80,18,2)))))), "")</f>
        <v/>
      </c>
      <c r="O79" t="str">
        <f>IF($K79="","",IF(LENH_GOC!E80="","",LENH_GOC!E80))</f>
        <v/>
      </c>
      <c r="P79" t="str">
        <f>IF($K79="","",IF(LENH_GOC!F80="","",LENH_GOC!F80))</f>
        <v/>
      </c>
      <c r="Q79" t="str">
        <f>IFERROR(IF($K79="","",IF(LENH_GOC!P80="","",IFERROR(VALUE(LENH_GOC!P80),IF(OR(LENH_GOC!P80=TRUE,UPPER(TRIM(LENH_GOC!P80))="TRUE"),1,0)))),"")</f>
        <v/>
      </c>
      <c r="R79" t="str">
        <f>IF($K79="","",IF(LENH_GOC!Q80="","",LENH_GOC!Q80))</f>
        <v/>
      </c>
      <c r="S79" s="43" t="str">
        <f>IF($K79="","",IF(LENH_GOC!R80="","",LENH_GOC!R80))</f>
        <v/>
      </c>
      <c r="T79">
        <f>IFERROR(IF($K79="",0,IF(AND(ISNUMBER($N79),INT($N79)=CAI_DAT!$B$4,LEFT(UPPER(TRIM($L79)),2)=LEFT(UPPER(TRIM(CAI_DAT!$B$5)),2),$Q79=1,OR(AND($M79="SO",ISNUMBER($P79),$P79&gt;0),AND($M79="MO",ISNUMBER($O79),$O79&gt;0))),1,0)),0)</f>
        <v>0</v>
      </c>
      <c r="U79" t="str">
        <f t="shared" si="18"/>
        <v/>
      </c>
      <c r="V79" t="str">
        <f t="shared" si="19"/>
        <v/>
      </c>
      <c r="W79" t="str">
        <f>IFERROR(IF($T79=0,"",COUNTIFS($T$3:$T$202,1,$V$3:$V$202,"&lt;"&amp;$V79)+COUNTIFS($T$3:$T79,1,$V$3:$V79,$V79)),"")</f>
        <v/>
      </c>
      <c r="X79" t="str">
        <f t="shared" si="20"/>
        <v/>
      </c>
    </row>
    <row r="80" spans="1:24">
      <c r="A80" s="5"/>
      <c r="B80" s="13"/>
      <c r="C80" s="16"/>
      <c r="D80" s="19"/>
      <c r="E80" s="19"/>
      <c r="F80" s="19"/>
      <c r="G80" s="6"/>
      <c r="J80" t="str">
        <f>IF(LENH_GOC!A81="","",81)</f>
        <v/>
      </c>
      <c r="K80" t="str">
        <f>IF(LENH_GOC!A81="","",LENH_GOC!A81)</f>
        <v/>
      </c>
      <c r="L80" t="str">
        <f>IF($K80="","",IFERROR(TRIM(LENH_GOC!C81),""))</f>
        <v/>
      </c>
      <c r="M80" t="str">
        <f>IF($K80="","",IFERROR(UPPER(TRIM(LENH_GOC!Y81)),""))</f>
        <v/>
      </c>
      <c r="N80" s="43" t="str">
        <f>IFERROR(IF($K80="","",IF(LENH_GOC!G81="","",IF(ISNUMBER(LENH_GOC!G81),LENH_GOC!G81,DATE(VALUE(MID(LENH_GOC!G81,7,4)),VALUE(MID(LENH_GOC!G81,4,2)),VALUE(LEFT(LENH_GOC!G81,2)))+TIME(VALUE(MID(LENH_GOC!G81,12,2)),VALUE(MID(LENH_GOC!G81,15,2)),VALUE(MID(LENH_GOC!G81,18,2)))))), "")</f>
        <v/>
      </c>
      <c r="O80" t="str">
        <f>IF($K80="","",IF(LENH_GOC!E81="","",LENH_GOC!E81))</f>
        <v/>
      </c>
      <c r="P80" t="str">
        <f>IF($K80="","",IF(LENH_GOC!F81="","",LENH_GOC!F81))</f>
        <v/>
      </c>
      <c r="Q80" t="str">
        <f>IFERROR(IF($K80="","",IF(LENH_GOC!P81="","",IFERROR(VALUE(LENH_GOC!P81),IF(OR(LENH_GOC!P81=TRUE,UPPER(TRIM(LENH_GOC!P81))="TRUE"),1,0)))),"")</f>
        <v/>
      </c>
      <c r="R80" t="str">
        <f>IF($K80="","",IF(LENH_GOC!Q81="","",LENH_GOC!Q81))</f>
        <v/>
      </c>
      <c r="S80" s="43" t="str">
        <f>IF($K80="","",IF(LENH_GOC!R81="","",LENH_GOC!R81))</f>
        <v/>
      </c>
      <c r="T80">
        <f>IFERROR(IF($K80="",0,IF(AND(ISNUMBER($N80),INT($N80)=CAI_DAT!$B$4,LEFT(UPPER(TRIM($L80)),2)=LEFT(UPPER(TRIM(CAI_DAT!$B$5)),2),$Q80=1,OR(AND($M80="SO",ISNUMBER($P80),$P80&gt;0),AND($M80="MO",ISNUMBER($O80),$O80&gt;0))),1,0)),0)</f>
        <v>0</v>
      </c>
      <c r="U80" t="str">
        <f t="shared" si="18"/>
        <v/>
      </c>
      <c r="V80" t="str">
        <f t="shared" si="19"/>
        <v/>
      </c>
      <c r="W80" t="str">
        <f>IFERROR(IF($T80=0,"",COUNTIFS($T$3:$T$202,1,$V$3:$V$202,"&lt;"&amp;$V80)+COUNTIFS($T$3:$T80,1,$V$3:$V80,$V80)),"")</f>
        <v/>
      </c>
      <c r="X80" t="str">
        <f t="shared" si="20"/>
        <v/>
      </c>
    </row>
    <row r="81" spans="1:24">
      <c r="A81" s="5"/>
      <c r="B81" s="13"/>
      <c r="C81" s="16"/>
      <c r="D81" s="19"/>
      <c r="E81" s="19"/>
      <c r="F81" s="19"/>
      <c r="G81" s="6"/>
      <c r="J81" t="str">
        <f>IF(LENH_GOC!A82="","",82)</f>
        <v/>
      </c>
      <c r="K81" t="str">
        <f>IF(LENH_GOC!A82="","",LENH_GOC!A82)</f>
        <v/>
      </c>
      <c r="L81" t="str">
        <f>IF($K81="","",IFERROR(TRIM(LENH_GOC!C82),""))</f>
        <v/>
      </c>
      <c r="M81" t="str">
        <f>IF($K81="","",IFERROR(UPPER(TRIM(LENH_GOC!Y82)),""))</f>
        <v/>
      </c>
      <c r="N81" s="43" t="str">
        <f>IFERROR(IF($K81="","",IF(LENH_GOC!G82="","",IF(ISNUMBER(LENH_GOC!G82),LENH_GOC!G82,DATE(VALUE(MID(LENH_GOC!G82,7,4)),VALUE(MID(LENH_GOC!G82,4,2)),VALUE(LEFT(LENH_GOC!G82,2)))+TIME(VALUE(MID(LENH_GOC!G82,12,2)),VALUE(MID(LENH_GOC!G82,15,2)),VALUE(MID(LENH_GOC!G82,18,2)))))), "")</f>
        <v/>
      </c>
      <c r="O81" t="str">
        <f>IF($K81="","",IF(LENH_GOC!E82="","",LENH_GOC!E82))</f>
        <v/>
      </c>
      <c r="P81" t="str">
        <f>IF($K81="","",IF(LENH_GOC!F82="","",LENH_GOC!F82))</f>
        <v/>
      </c>
      <c r="Q81" t="str">
        <f>IFERROR(IF($K81="","",IF(LENH_GOC!P82="","",IFERROR(VALUE(LENH_GOC!P82),IF(OR(LENH_GOC!P82=TRUE,UPPER(TRIM(LENH_GOC!P82))="TRUE"),1,0)))),"")</f>
        <v/>
      </c>
      <c r="R81" t="str">
        <f>IF($K81="","",IF(LENH_GOC!Q82="","",LENH_GOC!Q82))</f>
        <v/>
      </c>
      <c r="S81" s="43" t="str">
        <f>IF($K81="","",IF(LENH_GOC!R82="","",LENH_GOC!R82))</f>
        <v/>
      </c>
      <c r="T81">
        <f>IFERROR(IF($K81="",0,IF(AND(ISNUMBER($N81),INT($N81)=CAI_DAT!$B$4,LEFT(UPPER(TRIM($L81)),2)=LEFT(UPPER(TRIM(CAI_DAT!$B$5)),2),$Q81=1,OR(AND($M81="SO",ISNUMBER($P81),$P81&gt;0),AND($M81="MO",ISNUMBER($O81),$O81&gt;0))),1,0)),0)</f>
        <v>0</v>
      </c>
      <c r="U81" t="str">
        <f t="shared" si="18"/>
        <v/>
      </c>
      <c r="V81" t="str">
        <f t="shared" si="19"/>
        <v/>
      </c>
      <c r="W81" t="str">
        <f>IFERROR(IF($T81=0,"",COUNTIFS($T$3:$T$202,1,$V$3:$V$202,"&lt;"&amp;$V81)+COUNTIFS($T$3:$T81,1,$V$3:$V81,$V81)),"")</f>
        <v/>
      </c>
      <c r="X81" t="str">
        <f t="shared" si="20"/>
        <v/>
      </c>
    </row>
    <row r="82" spans="1:24">
      <c r="A82" s="5"/>
      <c r="B82" s="13"/>
      <c r="C82" s="16"/>
      <c r="D82" s="19"/>
      <c r="E82" s="19"/>
      <c r="F82" s="19"/>
      <c r="G82" s="6"/>
      <c r="J82" t="str">
        <f>IF(LENH_GOC!A83="","",83)</f>
        <v/>
      </c>
      <c r="K82" t="str">
        <f>IF(LENH_GOC!A83="","",LENH_GOC!A83)</f>
        <v/>
      </c>
      <c r="L82" t="str">
        <f>IF($K82="","",IFERROR(TRIM(LENH_GOC!C83),""))</f>
        <v/>
      </c>
      <c r="M82" t="str">
        <f>IF($K82="","",IFERROR(UPPER(TRIM(LENH_GOC!Y83)),""))</f>
        <v/>
      </c>
      <c r="N82" s="43" t="str">
        <f>IFERROR(IF($K82="","",IF(LENH_GOC!G83="","",IF(ISNUMBER(LENH_GOC!G83),LENH_GOC!G83,DATE(VALUE(MID(LENH_GOC!G83,7,4)),VALUE(MID(LENH_GOC!G83,4,2)),VALUE(LEFT(LENH_GOC!G83,2)))+TIME(VALUE(MID(LENH_GOC!G83,12,2)),VALUE(MID(LENH_GOC!G83,15,2)),VALUE(MID(LENH_GOC!G83,18,2)))))), "")</f>
        <v/>
      </c>
      <c r="O82" t="str">
        <f>IF($K82="","",IF(LENH_GOC!E83="","",LENH_GOC!E83))</f>
        <v/>
      </c>
      <c r="P82" t="str">
        <f>IF($K82="","",IF(LENH_GOC!F83="","",LENH_GOC!F83))</f>
        <v/>
      </c>
      <c r="Q82" t="str">
        <f>IFERROR(IF($K82="","",IF(LENH_GOC!P83="","",IFERROR(VALUE(LENH_GOC!P83),IF(OR(LENH_GOC!P83=TRUE,UPPER(TRIM(LENH_GOC!P83))="TRUE"),1,0)))),"")</f>
        <v/>
      </c>
      <c r="R82" t="str">
        <f>IF($K82="","",IF(LENH_GOC!Q83="","",LENH_GOC!Q83))</f>
        <v/>
      </c>
      <c r="S82" s="43" t="str">
        <f>IF($K82="","",IF(LENH_GOC!R83="","",LENH_GOC!R83))</f>
        <v/>
      </c>
      <c r="T82">
        <f>IFERROR(IF($K82="",0,IF(AND(ISNUMBER($N82),INT($N82)=CAI_DAT!$B$4,LEFT(UPPER(TRIM($L82)),2)=LEFT(UPPER(TRIM(CAI_DAT!$B$5)),2),$Q82=1,OR(AND($M82="SO",ISNUMBER($P82),$P82&gt;0),AND($M82="MO",ISNUMBER($O82),$O82&gt;0))),1,0)),0)</f>
        <v>0</v>
      </c>
      <c r="U82" t="str">
        <f t="shared" si="18"/>
        <v/>
      </c>
      <c r="V82" t="str">
        <f t="shared" si="19"/>
        <v/>
      </c>
      <c r="W82" t="str">
        <f>IFERROR(IF($T82=0,"",COUNTIFS($T$3:$T$202,1,$V$3:$V$202,"&lt;"&amp;$V82)+COUNTIFS($T$3:$T82,1,$V$3:$V82,$V82)),"")</f>
        <v/>
      </c>
      <c r="X82" t="str">
        <f t="shared" si="20"/>
        <v/>
      </c>
    </row>
    <row r="83" spans="1:24">
      <c r="A83" s="5"/>
      <c r="B83" s="13"/>
      <c r="C83" s="16"/>
      <c r="D83" s="19"/>
      <c r="E83" s="19"/>
      <c r="F83" s="19"/>
      <c r="G83" s="6"/>
      <c r="J83" t="str">
        <f>IF(LENH_GOC!A84="","",84)</f>
        <v/>
      </c>
      <c r="K83" t="str">
        <f>IF(LENH_GOC!A84="","",LENH_GOC!A84)</f>
        <v/>
      </c>
      <c r="L83" t="str">
        <f>IF($K83="","",IFERROR(TRIM(LENH_GOC!C84),""))</f>
        <v/>
      </c>
      <c r="M83" t="str">
        <f>IF($K83="","",IFERROR(UPPER(TRIM(LENH_GOC!Y84)),""))</f>
        <v/>
      </c>
      <c r="N83" s="43" t="str">
        <f>IFERROR(IF($K83="","",IF(LENH_GOC!G84="","",IF(ISNUMBER(LENH_GOC!G84),LENH_GOC!G84,DATE(VALUE(MID(LENH_GOC!G84,7,4)),VALUE(MID(LENH_GOC!G84,4,2)),VALUE(LEFT(LENH_GOC!G84,2)))+TIME(VALUE(MID(LENH_GOC!G84,12,2)),VALUE(MID(LENH_GOC!G84,15,2)),VALUE(MID(LENH_GOC!G84,18,2)))))), "")</f>
        <v/>
      </c>
      <c r="O83" t="str">
        <f>IF($K83="","",IF(LENH_GOC!E84="","",LENH_GOC!E84))</f>
        <v/>
      </c>
      <c r="P83" t="str">
        <f>IF($K83="","",IF(LENH_GOC!F84="","",LENH_GOC!F84))</f>
        <v/>
      </c>
      <c r="Q83" t="str">
        <f>IFERROR(IF($K83="","",IF(LENH_GOC!P84="","",IFERROR(VALUE(LENH_GOC!P84),IF(OR(LENH_GOC!P84=TRUE,UPPER(TRIM(LENH_GOC!P84))="TRUE"),1,0)))),"")</f>
        <v/>
      </c>
      <c r="R83" t="str">
        <f>IF($K83="","",IF(LENH_GOC!Q84="","",LENH_GOC!Q84))</f>
        <v/>
      </c>
      <c r="S83" s="43" t="str">
        <f>IF($K83="","",IF(LENH_GOC!R84="","",LENH_GOC!R84))</f>
        <v/>
      </c>
      <c r="T83">
        <f>IFERROR(IF($K83="",0,IF(AND(ISNUMBER($N83),INT($N83)=CAI_DAT!$B$4,LEFT(UPPER(TRIM($L83)),2)=LEFT(UPPER(TRIM(CAI_DAT!$B$5)),2),$Q83=1,OR(AND($M83="SO",ISNUMBER($P83),$P83&gt;0),AND($M83="MO",ISNUMBER($O83),$O83&gt;0))),1,0)),0)</f>
        <v>0</v>
      </c>
      <c r="U83" t="str">
        <f t="shared" si="18"/>
        <v/>
      </c>
      <c r="V83" t="str">
        <f t="shared" si="19"/>
        <v/>
      </c>
      <c r="W83" t="str">
        <f>IFERROR(IF($T83=0,"",COUNTIFS($T$3:$T$202,1,$V$3:$V$202,"&lt;"&amp;$V83)+COUNTIFS($T$3:$T83,1,$V$3:$V83,$V83)),"")</f>
        <v/>
      </c>
      <c r="X83" t="str">
        <f t="shared" si="20"/>
        <v/>
      </c>
    </row>
    <row r="84" spans="1:24">
      <c r="A84" s="5"/>
      <c r="B84" s="13"/>
      <c r="C84" s="16"/>
      <c r="D84" s="19"/>
      <c r="E84" s="19"/>
      <c r="F84" s="19"/>
      <c r="G84" s="6"/>
      <c r="J84" t="str">
        <f>IF(LENH_GOC!A85="","",85)</f>
        <v/>
      </c>
      <c r="K84" t="str">
        <f>IF(LENH_GOC!A85="","",LENH_GOC!A85)</f>
        <v/>
      </c>
      <c r="L84" t="str">
        <f>IF($K84="","",IFERROR(TRIM(LENH_GOC!C85),""))</f>
        <v/>
      </c>
      <c r="M84" t="str">
        <f>IF($K84="","",IFERROR(UPPER(TRIM(LENH_GOC!Y85)),""))</f>
        <v/>
      </c>
      <c r="N84" s="43" t="str">
        <f>IFERROR(IF($K84="","",IF(LENH_GOC!G85="","",IF(ISNUMBER(LENH_GOC!G85),LENH_GOC!G85,DATE(VALUE(MID(LENH_GOC!G85,7,4)),VALUE(MID(LENH_GOC!G85,4,2)),VALUE(LEFT(LENH_GOC!G85,2)))+TIME(VALUE(MID(LENH_GOC!G85,12,2)),VALUE(MID(LENH_GOC!G85,15,2)),VALUE(MID(LENH_GOC!G85,18,2)))))), "")</f>
        <v/>
      </c>
      <c r="O84" t="str">
        <f>IF($K84="","",IF(LENH_GOC!E85="","",LENH_GOC!E85))</f>
        <v/>
      </c>
      <c r="P84" t="str">
        <f>IF($K84="","",IF(LENH_GOC!F85="","",LENH_GOC!F85))</f>
        <v/>
      </c>
      <c r="Q84" t="str">
        <f>IFERROR(IF($K84="","",IF(LENH_GOC!P85="","",IFERROR(VALUE(LENH_GOC!P85),IF(OR(LENH_GOC!P85=TRUE,UPPER(TRIM(LENH_GOC!P85))="TRUE"),1,0)))),"")</f>
        <v/>
      </c>
      <c r="R84" t="str">
        <f>IF($K84="","",IF(LENH_GOC!Q85="","",LENH_GOC!Q85))</f>
        <v/>
      </c>
      <c r="S84" s="43" t="str">
        <f>IF($K84="","",IF(LENH_GOC!R85="","",LENH_GOC!R85))</f>
        <v/>
      </c>
      <c r="T84">
        <f>IFERROR(IF($K84="",0,IF(AND(ISNUMBER($N84),INT($N84)=CAI_DAT!$B$4,LEFT(UPPER(TRIM($L84)),2)=LEFT(UPPER(TRIM(CAI_DAT!$B$5)),2),$Q84=1,OR(AND($M84="SO",ISNUMBER($P84),$P84&gt;0),AND($M84="MO",ISNUMBER($O84),$O84&gt;0))),1,0)),0)</f>
        <v>0</v>
      </c>
      <c r="U84" t="str">
        <f t="shared" si="18"/>
        <v/>
      </c>
      <c r="V84" t="str">
        <f t="shared" si="19"/>
        <v/>
      </c>
      <c r="W84" t="str">
        <f>IFERROR(IF($T84=0,"",COUNTIFS($T$3:$T$202,1,$V$3:$V$202,"&lt;"&amp;$V84)+COUNTIFS($T$3:$T84,1,$V$3:$V84,$V84)),"")</f>
        <v/>
      </c>
      <c r="X84" t="str">
        <f t="shared" si="20"/>
        <v/>
      </c>
    </row>
    <row r="85" spans="1:24">
      <c r="A85" s="5"/>
      <c r="B85" s="13"/>
      <c r="C85" s="16"/>
      <c r="D85" s="19"/>
      <c r="E85" s="19"/>
      <c r="F85" s="19"/>
      <c r="G85" s="6"/>
      <c r="J85" t="str">
        <f>IF(LENH_GOC!A86="","",86)</f>
        <v/>
      </c>
      <c r="K85" t="str">
        <f>IF(LENH_GOC!A86="","",LENH_GOC!A86)</f>
        <v/>
      </c>
      <c r="L85" t="str">
        <f>IF($K85="","",IFERROR(TRIM(LENH_GOC!C86),""))</f>
        <v/>
      </c>
      <c r="M85" t="str">
        <f>IF($K85="","",IFERROR(UPPER(TRIM(LENH_GOC!Y86)),""))</f>
        <v/>
      </c>
      <c r="N85" s="43" t="str">
        <f>IFERROR(IF($K85="","",IF(LENH_GOC!G86="","",IF(ISNUMBER(LENH_GOC!G86),LENH_GOC!G86,DATE(VALUE(MID(LENH_GOC!G86,7,4)),VALUE(MID(LENH_GOC!G86,4,2)),VALUE(LEFT(LENH_GOC!G86,2)))+TIME(VALUE(MID(LENH_GOC!G86,12,2)),VALUE(MID(LENH_GOC!G86,15,2)),VALUE(MID(LENH_GOC!G86,18,2)))))), "")</f>
        <v/>
      </c>
      <c r="O85" t="str">
        <f>IF($K85="","",IF(LENH_GOC!E86="","",LENH_GOC!E86))</f>
        <v/>
      </c>
      <c r="P85" t="str">
        <f>IF($K85="","",IF(LENH_GOC!F86="","",LENH_GOC!F86))</f>
        <v/>
      </c>
      <c r="Q85" t="str">
        <f>IFERROR(IF($K85="","",IF(LENH_GOC!P86="","",IFERROR(VALUE(LENH_GOC!P86),IF(OR(LENH_GOC!P86=TRUE,UPPER(TRIM(LENH_GOC!P86))="TRUE"),1,0)))),"")</f>
        <v/>
      </c>
      <c r="R85" t="str">
        <f>IF($K85="","",IF(LENH_GOC!Q86="","",LENH_GOC!Q86))</f>
        <v/>
      </c>
      <c r="S85" s="43" t="str">
        <f>IF($K85="","",IF(LENH_GOC!R86="","",LENH_GOC!R86))</f>
        <v/>
      </c>
      <c r="T85">
        <f>IFERROR(IF($K85="",0,IF(AND(ISNUMBER($N85),INT($N85)=CAI_DAT!$B$4,LEFT(UPPER(TRIM($L85)),2)=LEFT(UPPER(TRIM(CAI_DAT!$B$5)),2),$Q85=1,OR(AND($M85="SO",ISNUMBER($P85),$P85&gt;0),AND($M85="MO",ISNUMBER($O85),$O85&gt;0))),1,0)),0)</f>
        <v>0</v>
      </c>
      <c r="U85" t="str">
        <f t="shared" si="18"/>
        <v/>
      </c>
      <c r="V85" t="str">
        <f t="shared" si="19"/>
        <v/>
      </c>
      <c r="W85" t="str">
        <f>IFERROR(IF($T85=0,"",COUNTIFS($T$3:$T$202,1,$V$3:$V$202,"&lt;"&amp;$V85)+COUNTIFS($T$3:$T85,1,$V$3:$V85,$V85)),"")</f>
        <v/>
      </c>
      <c r="X85" t="str">
        <f t="shared" si="20"/>
        <v/>
      </c>
    </row>
    <row r="86" spans="1:24">
      <c r="A86" s="5"/>
      <c r="B86" s="13"/>
      <c r="C86" s="16"/>
      <c r="D86" s="19"/>
      <c r="E86" s="19"/>
      <c r="F86" s="19"/>
      <c r="G86" s="6"/>
      <c r="J86" t="str">
        <f>IF(LENH_GOC!A87="","",87)</f>
        <v/>
      </c>
      <c r="K86" t="str">
        <f>IF(LENH_GOC!A87="","",LENH_GOC!A87)</f>
        <v/>
      </c>
      <c r="L86" t="str">
        <f>IF($K86="","",IFERROR(TRIM(LENH_GOC!C87),""))</f>
        <v/>
      </c>
      <c r="M86" t="str">
        <f>IF($K86="","",IFERROR(UPPER(TRIM(LENH_GOC!Y87)),""))</f>
        <v/>
      </c>
      <c r="N86" s="43" t="str">
        <f>IFERROR(IF($K86="","",IF(LENH_GOC!G87="","",IF(ISNUMBER(LENH_GOC!G87),LENH_GOC!G87,DATE(VALUE(MID(LENH_GOC!G87,7,4)),VALUE(MID(LENH_GOC!G87,4,2)),VALUE(LEFT(LENH_GOC!G87,2)))+TIME(VALUE(MID(LENH_GOC!G87,12,2)),VALUE(MID(LENH_GOC!G87,15,2)),VALUE(MID(LENH_GOC!G87,18,2)))))), "")</f>
        <v/>
      </c>
      <c r="O86" t="str">
        <f>IF($K86="","",IF(LENH_GOC!E87="","",LENH_GOC!E87))</f>
        <v/>
      </c>
      <c r="P86" t="str">
        <f>IF($K86="","",IF(LENH_GOC!F87="","",LENH_GOC!F87))</f>
        <v/>
      </c>
      <c r="Q86" t="str">
        <f>IFERROR(IF($K86="","",IF(LENH_GOC!P87="","",IFERROR(VALUE(LENH_GOC!P87),IF(OR(LENH_GOC!P87=TRUE,UPPER(TRIM(LENH_GOC!P87))="TRUE"),1,0)))),"")</f>
        <v/>
      </c>
      <c r="R86" t="str">
        <f>IF($K86="","",IF(LENH_GOC!Q87="","",LENH_GOC!Q87))</f>
        <v/>
      </c>
      <c r="S86" s="43" t="str">
        <f>IF($K86="","",IF(LENH_GOC!R87="","",LENH_GOC!R87))</f>
        <v/>
      </c>
      <c r="T86">
        <f>IFERROR(IF($K86="",0,IF(AND(ISNUMBER($N86),INT($N86)=CAI_DAT!$B$4,LEFT(UPPER(TRIM($L86)),2)=LEFT(UPPER(TRIM(CAI_DAT!$B$5)),2),$Q86=1,OR(AND($M86="SO",ISNUMBER($P86),$P86&gt;0),AND($M86="MO",ISNUMBER($O86),$O86&gt;0))),1,0)),0)</f>
        <v>0</v>
      </c>
      <c r="U86" t="str">
        <f t="shared" si="18"/>
        <v/>
      </c>
      <c r="V86" t="str">
        <f t="shared" si="19"/>
        <v/>
      </c>
      <c r="W86" t="str">
        <f>IFERROR(IF($T86=0,"",COUNTIFS($T$3:$T$202,1,$V$3:$V$202,"&lt;"&amp;$V86)+COUNTIFS($T$3:$T86,1,$V$3:$V86,$V86)),"")</f>
        <v/>
      </c>
      <c r="X86" t="str">
        <f t="shared" si="20"/>
        <v/>
      </c>
    </row>
    <row r="87" spans="1:24">
      <c r="A87" s="5"/>
      <c r="B87" s="13"/>
      <c r="C87" s="16"/>
      <c r="D87" s="19"/>
      <c r="E87" s="19"/>
      <c r="F87" s="19"/>
      <c r="G87" s="6"/>
      <c r="J87" t="str">
        <f>IF(LENH_GOC!A88="","",88)</f>
        <v/>
      </c>
      <c r="K87" t="str">
        <f>IF(LENH_GOC!A88="","",LENH_GOC!A88)</f>
        <v/>
      </c>
      <c r="L87" t="str">
        <f>IF($K87="","",IFERROR(TRIM(LENH_GOC!C88),""))</f>
        <v/>
      </c>
      <c r="M87" t="str">
        <f>IF($K87="","",IFERROR(UPPER(TRIM(LENH_GOC!Y88)),""))</f>
        <v/>
      </c>
      <c r="N87" s="43" t="str">
        <f>IFERROR(IF($K87="","",IF(LENH_GOC!G88="","",IF(ISNUMBER(LENH_GOC!G88),LENH_GOC!G88,DATE(VALUE(MID(LENH_GOC!G88,7,4)),VALUE(MID(LENH_GOC!G88,4,2)),VALUE(LEFT(LENH_GOC!G88,2)))+TIME(VALUE(MID(LENH_GOC!G88,12,2)),VALUE(MID(LENH_GOC!G88,15,2)),VALUE(MID(LENH_GOC!G88,18,2)))))), "")</f>
        <v/>
      </c>
      <c r="O87" t="str">
        <f>IF($K87="","",IF(LENH_GOC!E88="","",LENH_GOC!E88))</f>
        <v/>
      </c>
      <c r="P87" t="str">
        <f>IF($K87="","",IF(LENH_GOC!F88="","",LENH_GOC!F88))</f>
        <v/>
      </c>
      <c r="Q87" t="str">
        <f>IFERROR(IF($K87="","",IF(LENH_GOC!P88="","",IFERROR(VALUE(LENH_GOC!P88),IF(OR(LENH_GOC!P88=TRUE,UPPER(TRIM(LENH_GOC!P88))="TRUE"),1,0)))),"")</f>
        <v/>
      </c>
      <c r="R87" t="str">
        <f>IF($K87="","",IF(LENH_GOC!Q88="","",LENH_GOC!Q88))</f>
        <v/>
      </c>
      <c r="S87" s="43" t="str">
        <f>IF($K87="","",IF(LENH_GOC!R88="","",LENH_GOC!R88))</f>
        <v/>
      </c>
      <c r="T87">
        <f>IFERROR(IF($K87="",0,IF(AND(ISNUMBER($N87),INT($N87)=CAI_DAT!$B$4,LEFT(UPPER(TRIM($L87)),2)=LEFT(UPPER(TRIM(CAI_DAT!$B$5)),2),$Q87=1,OR(AND($M87="SO",ISNUMBER($P87),$P87&gt;0),AND($M87="MO",ISNUMBER($O87),$O87&gt;0))),1,0)),0)</f>
        <v>0</v>
      </c>
      <c r="U87" t="str">
        <f t="shared" si="18"/>
        <v/>
      </c>
      <c r="V87" t="str">
        <f t="shared" si="19"/>
        <v/>
      </c>
      <c r="W87" t="str">
        <f>IFERROR(IF($T87=0,"",COUNTIFS($T$3:$T$202,1,$V$3:$V$202,"&lt;"&amp;$V87)+COUNTIFS($T$3:$T87,1,$V$3:$V87,$V87)),"")</f>
        <v/>
      </c>
      <c r="X87" t="str">
        <f t="shared" si="20"/>
        <v/>
      </c>
    </row>
    <row r="88" spans="1:24">
      <c r="A88" s="5"/>
      <c r="B88" s="13"/>
      <c r="C88" s="16"/>
      <c r="D88" s="19"/>
      <c r="E88" s="19"/>
      <c r="F88" s="19"/>
      <c r="G88" s="6"/>
      <c r="J88" t="str">
        <f>IF(LENH_GOC!A89="","",89)</f>
        <v/>
      </c>
      <c r="K88" t="str">
        <f>IF(LENH_GOC!A89="","",LENH_GOC!A89)</f>
        <v/>
      </c>
      <c r="L88" t="str">
        <f>IF($K88="","",IFERROR(TRIM(LENH_GOC!C89),""))</f>
        <v/>
      </c>
      <c r="M88" t="str">
        <f>IF($K88="","",IFERROR(UPPER(TRIM(LENH_GOC!Y89)),""))</f>
        <v/>
      </c>
      <c r="N88" s="43" t="str">
        <f>IFERROR(IF($K88="","",IF(LENH_GOC!G89="","",IF(ISNUMBER(LENH_GOC!G89),LENH_GOC!G89,DATE(VALUE(MID(LENH_GOC!G89,7,4)),VALUE(MID(LENH_GOC!G89,4,2)),VALUE(LEFT(LENH_GOC!G89,2)))+TIME(VALUE(MID(LENH_GOC!G89,12,2)),VALUE(MID(LENH_GOC!G89,15,2)),VALUE(MID(LENH_GOC!G89,18,2)))))), "")</f>
        <v/>
      </c>
      <c r="O88" t="str">
        <f>IF($K88="","",IF(LENH_GOC!E89="","",LENH_GOC!E89))</f>
        <v/>
      </c>
      <c r="P88" t="str">
        <f>IF($K88="","",IF(LENH_GOC!F89="","",LENH_GOC!F89))</f>
        <v/>
      </c>
      <c r="Q88" t="str">
        <f>IFERROR(IF($K88="","",IF(LENH_GOC!P89="","",IFERROR(VALUE(LENH_GOC!P89),IF(OR(LENH_GOC!P89=TRUE,UPPER(TRIM(LENH_GOC!P89))="TRUE"),1,0)))),"")</f>
        <v/>
      </c>
      <c r="R88" t="str">
        <f>IF($K88="","",IF(LENH_GOC!Q89="","",LENH_GOC!Q89))</f>
        <v/>
      </c>
      <c r="S88" s="43" t="str">
        <f>IF($K88="","",IF(LENH_GOC!R89="","",LENH_GOC!R89))</f>
        <v/>
      </c>
      <c r="T88">
        <f>IFERROR(IF($K88="",0,IF(AND(ISNUMBER($N88),INT($N88)=CAI_DAT!$B$4,LEFT(UPPER(TRIM($L88)),2)=LEFT(UPPER(TRIM(CAI_DAT!$B$5)),2),$Q88=1,OR(AND($M88="SO",ISNUMBER($P88),$P88&gt;0),AND($M88="MO",ISNUMBER($O88),$O88&gt;0))),1,0)),0)</f>
        <v>0</v>
      </c>
      <c r="U88" t="str">
        <f t="shared" si="18"/>
        <v/>
      </c>
      <c r="V88" t="str">
        <f t="shared" si="19"/>
        <v/>
      </c>
      <c r="W88" t="str">
        <f>IFERROR(IF($T88=0,"",COUNTIFS($T$3:$T$202,1,$V$3:$V$202,"&lt;"&amp;$V88)+COUNTIFS($T$3:$T88,1,$V$3:$V88,$V88)),"")</f>
        <v/>
      </c>
      <c r="X88" t="str">
        <f t="shared" si="20"/>
        <v/>
      </c>
    </row>
    <row r="89" spans="1:24">
      <c r="A89" s="5"/>
      <c r="B89" s="13"/>
      <c r="C89" s="16"/>
      <c r="D89" s="19"/>
      <c r="E89" s="19"/>
      <c r="F89" s="19"/>
      <c r="G89" s="6"/>
      <c r="J89" t="str">
        <f>IF(LENH_GOC!A90="","",90)</f>
        <v/>
      </c>
      <c r="K89" t="str">
        <f>IF(LENH_GOC!A90="","",LENH_GOC!A90)</f>
        <v/>
      </c>
      <c r="L89" t="str">
        <f>IF($K89="","",IFERROR(TRIM(LENH_GOC!C90),""))</f>
        <v/>
      </c>
      <c r="M89" t="str">
        <f>IF($K89="","",IFERROR(UPPER(TRIM(LENH_GOC!Y90)),""))</f>
        <v/>
      </c>
      <c r="N89" s="43" t="str">
        <f>IFERROR(IF($K89="","",IF(LENH_GOC!G90="","",IF(ISNUMBER(LENH_GOC!G90),LENH_GOC!G90,DATE(VALUE(MID(LENH_GOC!G90,7,4)),VALUE(MID(LENH_GOC!G90,4,2)),VALUE(LEFT(LENH_GOC!G90,2)))+TIME(VALUE(MID(LENH_GOC!G90,12,2)),VALUE(MID(LENH_GOC!G90,15,2)),VALUE(MID(LENH_GOC!G90,18,2)))))), "")</f>
        <v/>
      </c>
      <c r="O89" t="str">
        <f>IF($K89="","",IF(LENH_GOC!E90="","",LENH_GOC!E90))</f>
        <v/>
      </c>
      <c r="P89" t="str">
        <f>IF($K89="","",IF(LENH_GOC!F90="","",LENH_GOC!F90))</f>
        <v/>
      </c>
      <c r="Q89" t="str">
        <f>IFERROR(IF($K89="","",IF(LENH_GOC!P90="","",IFERROR(VALUE(LENH_GOC!P90),IF(OR(LENH_GOC!P90=TRUE,UPPER(TRIM(LENH_GOC!P90))="TRUE"),1,0)))),"")</f>
        <v/>
      </c>
      <c r="R89" t="str">
        <f>IF($K89="","",IF(LENH_GOC!Q90="","",LENH_GOC!Q90))</f>
        <v/>
      </c>
      <c r="S89" s="43" t="str">
        <f>IF($K89="","",IF(LENH_GOC!R90="","",LENH_GOC!R90))</f>
        <v/>
      </c>
      <c r="T89">
        <f>IFERROR(IF($K89="",0,IF(AND(ISNUMBER($N89),INT($N89)=CAI_DAT!$B$4,LEFT(UPPER(TRIM($L89)),2)=LEFT(UPPER(TRIM(CAI_DAT!$B$5)),2),$Q89=1,OR(AND($M89="SO",ISNUMBER($P89),$P89&gt;0),AND($M89="MO",ISNUMBER($O89),$O89&gt;0))),1,0)),0)</f>
        <v>0</v>
      </c>
      <c r="U89" t="str">
        <f t="shared" si="18"/>
        <v/>
      </c>
      <c r="V89" t="str">
        <f t="shared" si="19"/>
        <v/>
      </c>
      <c r="W89" t="str">
        <f>IFERROR(IF($T89=0,"",COUNTIFS($T$3:$T$202,1,$V$3:$V$202,"&lt;"&amp;$V89)+COUNTIFS($T$3:$T89,1,$V$3:$V89,$V89)),"")</f>
        <v/>
      </c>
      <c r="X89" t="str">
        <f t="shared" si="20"/>
        <v/>
      </c>
    </row>
    <row r="90" spans="1:24">
      <c r="A90" s="5"/>
      <c r="B90" s="13"/>
      <c r="C90" s="16"/>
      <c r="D90" s="19"/>
      <c r="E90" s="19"/>
      <c r="F90" s="19"/>
      <c r="G90" s="6"/>
      <c r="J90" t="str">
        <f>IF(LENH_GOC!A91="","",91)</f>
        <v/>
      </c>
      <c r="K90" t="str">
        <f>IF(LENH_GOC!A91="","",LENH_GOC!A91)</f>
        <v/>
      </c>
      <c r="L90" t="str">
        <f>IF($K90="","",IFERROR(TRIM(LENH_GOC!C91),""))</f>
        <v/>
      </c>
      <c r="M90" t="str">
        <f>IF($K90="","",IFERROR(UPPER(TRIM(LENH_GOC!Y91)),""))</f>
        <v/>
      </c>
      <c r="N90" s="43" t="str">
        <f>IFERROR(IF($K90="","",IF(LENH_GOC!G91="","",IF(ISNUMBER(LENH_GOC!G91),LENH_GOC!G91,DATE(VALUE(MID(LENH_GOC!G91,7,4)),VALUE(MID(LENH_GOC!G91,4,2)),VALUE(LEFT(LENH_GOC!G91,2)))+TIME(VALUE(MID(LENH_GOC!G91,12,2)),VALUE(MID(LENH_GOC!G91,15,2)),VALUE(MID(LENH_GOC!G91,18,2)))))), "")</f>
        <v/>
      </c>
      <c r="O90" t="str">
        <f>IF($K90="","",IF(LENH_GOC!E91="","",LENH_GOC!E91))</f>
        <v/>
      </c>
      <c r="P90" t="str">
        <f>IF($K90="","",IF(LENH_GOC!F91="","",LENH_GOC!F91))</f>
        <v/>
      </c>
      <c r="Q90" t="str">
        <f>IFERROR(IF($K90="","",IF(LENH_GOC!P91="","",IFERROR(VALUE(LENH_GOC!P91),IF(OR(LENH_GOC!P91=TRUE,UPPER(TRIM(LENH_GOC!P91))="TRUE"),1,0)))),"")</f>
        <v/>
      </c>
      <c r="R90" t="str">
        <f>IF($K90="","",IF(LENH_GOC!Q91="","",LENH_GOC!Q91))</f>
        <v/>
      </c>
      <c r="S90" s="43" t="str">
        <f>IF($K90="","",IF(LENH_GOC!R91="","",LENH_GOC!R91))</f>
        <v/>
      </c>
      <c r="T90">
        <f>IFERROR(IF($K90="",0,IF(AND(ISNUMBER($N90),INT($N90)=CAI_DAT!$B$4,LEFT(UPPER(TRIM($L90)),2)=LEFT(UPPER(TRIM(CAI_DAT!$B$5)),2),$Q90=1,OR(AND($M90="SO",ISNUMBER($P90),$P90&gt;0),AND($M90="MO",ISNUMBER($O90),$O90&gt;0))),1,0)),0)</f>
        <v>0</v>
      </c>
      <c r="U90" t="str">
        <f t="shared" si="18"/>
        <v/>
      </c>
      <c r="V90" t="str">
        <f t="shared" si="19"/>
        <v/>
      </c>
      <c r="W90" t="str">
        <f>IFERROR(IF($T90=0,"",COUNTIFS($T$3:$T$202,1,$V$3:$V$202,"&lt;"&amp;$V90)+COUNTIFS($T$3:$T90,1,$V$3:$V90,$V90)),"")</f>
        <v/>
      </c>
      <c r="X90" t="str">
        <f t="shared" si="20"/>
        <v/>
      </c>
    </row>
    <row r="91" spans="1:24">
      <c r="A91" s="5"/>
      <c r="B91" s="13"/>
      <c r="C91" s="16"/>
      <c r="D91" s="19"/>
      <c r="E91" s="19"/>
      <c r="F91" s="19"/>
      <c r="G91" s="6"/>
      <c r="J91" t="str">
        <f>IF(LENH_GOC!A92="","",92)</f>
        <v/>
      </c>
      <c r="K91" t="str">
        <f>IF(LENH_GOC!A92="","",LENH_GOC!A92)</f>
        <v/>
      </c>
      <c r="L91" t="str">
        <f>IF($K91="","",IFERROR(TRIM(LENH_GOC!C92),""))</f>
        <v/>
      </c>
      <c r="M91" t="str">
        <f>IF($K91="","",IFERROR(UPPER(TRIM(LENH_GOC!Y92)),""))</f>
        <v/>
      </c>
      <c r="N91" s="43" t="str">
        <f>IFERROR(IF($K91="","",IF(LENH_GOC!G92="","",IF(ISNUMBER(LENH_GOC!G92),LENH_GOC!G92,DATE(VALUE(MID(LENH_GOC!G92,7,4)),VALUE(MID(LENH_GOC!G92,4,2)),VALUE(LEFT(LENH_GOC!G92,2)))+TIME(VALUE(MID(LENH_GOC!G92,12,2)),VALUE(MID(LENH_GOC!G92,15,2)),VALUE(MID(LENH_GOC!G92,18,2)))))), "")</f>
        <v/>
      </c>
      <c r="O91" t="str">
        <f>IF($K91="","",IF(LENH_GOC!E92="","",LENH_GOC!E92))</f>
        <v/>
      </c>
      <c r="P91" t="str">
        <f>IF($K91="","",IF(LENH_GOC!F92="","",LENH_GOC!F92))</f>
        <v/>
      </c>
      <c r="Q91" t="str">
        <f>IFERROR(IF($K91="","",IF(LENH_GOC!P92="","",IFERROR(VALUE(LENH_GOC!P92),IF(OR(LENH_GOC!P92=TRUE,UPPER(TRIM(LENH_GOC!P92))="TRUE"),1,0)))),"")</f>
        <v/>
      </c>
      <c r="R91" t="str">
        <f>IF($K91="","",IF(LENH_GOC!Q92="","",LENH_GOC!Q92))</f>
        <v/>
      </c>
      <c r="S91" s="43" t="str">
        <f>IF($K91="","",IF(LENH_GOC!R92="","",LENH_GOC!R92))</f>
        <v/>
      </c>
      <c r="T91">
        <f>IFERROR(IF($K91="",0,IF(AND(ISNUMBER($N91),INT($N91)=CAI_DAT!$B$4,LEFT(UPPER(TRIM($L91)),2)=LEFT(UPPER(TRIM(CAI_DAT!$B$5)),2),$Q91=1,OR(AND($M91="SO",ISNUMBER($P91),$P91&gt;0),AND($M91="MO",ISNUMBER($O91),$O91&gt;0))),1,0)),0)</f>
        <v>0</v>
      </c>
      <c r="U91" t="str">
        <f t="shared" si="18"/>
        <v/>
      </c>
      <c r="V91" t="str">
        <f t="shared" si="19"/>
        <v/>
      </c>
      <c r="W91" t="str">
        <f>IFERROR(IF($T91=0,"",COUNTIFS($T$3:$T$202,1,$V$3:$V$202,"&lt;"&amp;$V91)+COUNTIFS($T$3:$T91,1,$V$3:$V91,$V91)),"")</f>
        <v/>
      </c>
      <c r="X91" t="str">
        <f t="shared" si="20"/>
        <v/>
      </c>
    </row>
    <row r="92" spans="1:24">
      <c r="A92" s="5"/>
      <c r="B92" s="13"/>
      <c r="C92" s="16"/>
      <c r="D92" s="19"/>
      <c r="E92" s="19"/>
      <c r="F92" s="19"/>
      <c r="G92" s="6"/>
      <c r="J92" t="str">
        <f>IF(LENH_GOC!A93="","",93)</f>
        <v/>
      </c>
      <c r="K92" t="str">
        <f>IF(LENH_GOC!A93="","",LENH_GOC!A93)</f>
        <v/>
      </c>
      <c r="L92" t="str">
        <f>IF($K92="","",IFERROR(TRIM(LENH_GOC!C93),""))</f>
        <v/>
      </c>
      <c r="M92" t="str">
        <f>IF($K92="","",IFERROR(UPPER(TRIM(LENH_GOC!Y93)),""))</f>
        <v/>
      </c>
      <c r="N92" s="43" t="str">
        <f>IFERROR(IF($K92="","",IF(LENH_GOC!G93="","",IF(ISNUMBER(LENH_GOC!G93),LENH_GOC!G93,DATE(VALUE(MID(LENH_GOC!G93,7,4)),VALUE(MID(LENH_GOC!G93,4,2)),VALUE(LEFT(LENH_GOC!G93,2)))+TIME(VALUE(MID(LENH_GOC!G93,12,2)),VALUE(MID(LENH_GOC!G93,15,2)),VALUE(MID(LENH_GOC!G93,18,2)))))), "")</f>
        <v/>
      </c>
      <c r="O92" t="str">
        <f>IF($K92="","",IF(LENH_GOC!E93="","",LENH_GOC!E93))</f>
        <v/>
      </c>
      <c r="P92" t="str">
        <f>IF($K92="","",IF(LENH_GOC!F93="","",LENH_GOC!F93))</f>
        <v/>
      </c>
      <c r="Q92" t="str">
        <f>IFERROR(IF($K92="","",IF(LENH_GOC!P93="","",IFERROR(VALUE(LENH_GOC!P93),IF(OR(LENH_GOC!P93=TRUE,UPPER(TRIM(LENH_GOC!P93))="TRUE"),1,0)))),"")</f>
        <v/>
      </c>
      <c r="R92" t="str">
        <f>IF($K92="","",IF(LENH_GOC!Q93="","",LENH_GOC!Q93))</f>
        <v/>
      </c>
      <c r="S92" s="43" t="str">
        <f>IF($K92="","",IF(LENH_GOC!R93="","",LENH_GOC!R93))</f>
        <v/>
      </c>
      <c r="T92">
        <f>IFERROR(IF($K92="",0,IF(AND(ISNUMBER($N92),INT($N92)=CAI_DAT!$B$4,LEFT(UPPER(TRIM($L92)),2)=LEFT(UPPER(TRIM(CAI_DAT!$B$5)),2),$Q92=1,OR(AND($M92="SO",ISNUMBER($P92),$P92&gt;0),AND($M92="MO",ISNUMBER($O92),$O92&gt;0))),1,0)),0)</f>
        <v>0</v>
      </c>
      <c r="U92" t="str">
        <f t="shared" si="18"/>
        <v/>
      </c>
      <c r="V92" t="str">
        <f t="shared" si="19"/>
        <v/>
      </c>
      <c r="W92" t="str">
        <f>IFERROR(IF($T92=0,"",COUNTIFS($T$3:$T$202,1,$V$3:$V$202,"&lt;"&amp;$V92)+COUNTIFS($T$3:$T92,1,$V$3:$V92,$V92)),"")</f>
        <v/>
      </c>
      <c r="X92" t="str">
        <f t="shared" si="20"/>
        <v/>
      </c>
    </row>
    <row r="93" spans="1:24">
      <c r="A93" s="5"/>
      <c r="B93" s="13"/>
      <c r="C93" s="16"/>
      <c r="D93" s="19"/>
      <c r="E93" s="19"/>
      <c r="F93" s="19"/>
      <c r="G93" s="6"/>
      <c r="J93" t="str">
        <f>IF(LENH_GOC!A94="","",94)</f>
        <v/>
      </c>
      <c r="K93" t="str">
        <f>IF(LENH_GOC!A94="","",LENH_GOC!A94)</f>
        <v/>
      </c>
      <c r="L93" t="str">
        <f>IF($K93="","",IFERROR(TRIM(LENH_GOC!C94),""))</f>
        <v/>
      </c>
      <c r="M93" t="str">
        <f>IF($K93="","",IFERROR(UPPER(TRIM(LENH_GOC!Y94)),""))</f>
        <v/>
      </c>
      <c r="N93" s="43" t="str">
        <f>IFERROR(IF($K93="","",IF(LENH_GOC!G94="","",IF(ISNUMBER(LENH_GOC!G94),LENH_GOC!G94,DATE(VALUE(MID(LENH_GOC!G94,7,4)),VALUE(MID(LENH_GOC!G94,4,2)),VALUE(LEFT(LENH_GOC!G94,2)))+TIME(VALUE(MID(LENH_GOC!G94,12,2)),VALUE(MID(LENH_GOC!G94,15,2)),VALUE(MID(LENH_GOC!G94,18,2)))))), "")</f>
        <v/>
      </c>
      <c r="O93" t="str">
        <f>IF($K93="","",IF(LENH_GOC!E94="","",LENH_GOC!E94))</f>
        <v/>
      </c>
      <c r="P93" t="str">
        <f>IF($K93="","",IF(LENH_GOC!F94="","",LENH_GOC!F94))</f>
        <v/>
      </c>
      <c r="Q93" t="str">
        <f>IFERROR(IF($K93="","",IF(LENH_GOC!P94="","",IFERROR(VALUE(LENH_GOC!P94),IF(OR(LENH_GOC!P94=TRUE,UPPER(TRIM(LENH_GOC!P94))="TRUE"),1,0)))),"")</f>
        <v/>
      </c>
      <c r="R93" t="str">
        <f>IF($K93="","",IF(LENH_GOC!Q94="","",LENH_GOC!Q94))</f>
        <v/>
      </c>
      <c r="S93" s="43" t="str">
        <f>IF($K93="","",IF(LENH_GOC!R94="","",LENH_GOC!R94))</f>
        <v/>
      </c>
      <c r="T93">
        <f>IFERROR(IF($K93="",0,IF(AND(ISNUMBER($N93),INT($N93)=CAI_DAT!$B$4,LEFT(UPPER(TRIM($L93)),2)=LEFT(UPPER(TRIM(CAI_DAT!$B$5)),2),$Q93=1,OR(AND($M93="SO",ISNUMBER($P93),$P93&gt;0),AND($M93="MO",ISNUMBER($O93),$O93&gt;0))),1,0)),0)</f>
        <v>0</v>
      </c>
      <c r="U93" t="str">
        <f t="shared" si="18"/>
        <v/>
      </c>
      <c r="V93" t="str">
        <f t="shared" si="19"/>
        <v/>
      </c>
      <c r="W93" t="str">
        <f>IFERROR(IF($T93=0,"",COUNTIFS($T$3:$T$202,1,$V$3:$V$202,"&lt;"&amp;$V93)+COUNTIFS($T$3:$T93,1,$V$3:$V93,$V93)),"")</f>
        <v/>
      </c>
      <c r="X93" t="str">
        <f t="shared" si="20"/>
        <v/>
      </c>
    </row>
    <row r="94" spans="1:24">
      <c r="A94" s="5"/>
      <c r="B94" s="13"/>
      <c r="C94" s="16"/>
      <c r="D94" s="19"/>
      <c r="E94" s="19"/>
      <c r="F94" s="19"/>
      <c r="G94" s="6"/>
      <c r="J94" t="str">
        <f>IF(LENH_GOC!A95="","",95)</f>
        <v/>
      </c>
      <c r="K94" t="str">
        <f>IF(LENH_GOC!A95="","",LENH_GOC!A95)</f>
        <v/>
      </c>
      <c r="L94" t="str">
        <f>IF($K94="","",IFERROR(TRIM(LENH_GOC!C95),""))</f>
        <v/>
      </c>
      <c r="M94" t="str">
        <f>IF($K94="","",IFERROR(UPPER(TRIM(LENH_GOC!Y95)),""))</f>
        <v/>
      </c>
      <c r="N94" s="43" t="str">
        <f>IFERROR(IF($K94="","",IF(LENH_GOC!G95="","",IF(ISNUMBER(LENH_GOC!G95),LENH_GOC!G95,DATE(VALUE(MID(LENH_GOC!G95,7,4)),VALUE(MID(LENH_GOC!G95,4,2)),VALUE(LEFT(LENH_GOC!G95,2)))+TIME(VALUE(MID(LENH_GOC!G95,12,2)),VALUE(MID(LENH_GOC!G95,15,2)),VALUE(MID(LENH_GOC!G95,18,2)))))), "")</f>
        <v/>
      </c>
      <c r="O94" t="str">
        <f>IF($K94="","",IF(LENH_GOC!E95="","",LENH_GOC!E95))</f>
        <v/>
      </c>
      <c r="P94" t="str">
        <f>IF($K94="","",IF(LENH_GOC!F95="","",LENH_GOC!F95))</f>
        <v/>
      </c>
      <c r="Q94" t="str">
        <f>IFERROR(IF($K94="","",IF(LENH_GOC!P95="","",IFERROR(VALUE(LENH_GOC!P95),IF(OR(LENH_GOC!P95=TRUE,UPPER(TRIM(LENH_GOC!P95))="TRUE"),1,0)))),"")</f>
        <v/>
      </c>
      <c r="R94" t="str">
        <f>IF($K94="","",IF(LENH_GOC!Q95="","",LENH_GOC!Q95))</f>
        <v/>
      </c>
      <c r="S94" s="43" t="str">
        <f>IF($K94="","",IF(LENH_GOC!R95="","",LENH_GOC!R95))</f>
        <v/>
      </c>
      <c r="T94">
        <f>IFERROR(IF($K94="",0,IF(AND(ISNUMBER($N94),INT($N94)=CAI_DAT!$B$4,LEFT(UPPER(TRIM($L94)),2)=LEFT(UPPER(TRIM(CAI_DAT!$B$5)),2),$Q94=1,OR(AND($M94="SO",ISNUMBER($P94),$P94&gt;0),AND($M94="MO",ISNUMBER($O94),$O94&gt;0))),1,0)),0)</f>
        <v>0</v>
      </c>
      <c r="U94" t="str">
        <f t="shared" si="18"/>
        <v/>
      </c>
      <c r="V94" t="str">
        <f t="shared" si="19"/>
        <v/>
      </c>
      <c r="W94" t="str">
        <f>IFERROR(IF($T94=0,"",COUNTIFS($T$3:$T$202,1,$V$3:$V$202,"&lt;"&amp;$V94)+COUNTIFS($T$3:$T94,1,$V$3:$V94,$V94)),"")</f>
        <v/>
      </c>
      <c r="X94" t="str">
        <f t="shared" si="20"/>
        <v/>
      </c>
    </row>
    <row r="95" spans="1:24">
      <c r="A95" s="5"/>
      <c r="B95" s="13"/>
      <c r="C95" s="16"/>
      <c r="D95" s="19"/>
      <c r="E95" s="19"/>
      <c r="F95" s="19"/>
      <c r="G95" s="6"/>
      <c r="J95" t="str">
        <f>IF(LENH_GOC!A96="","",96)</f>
        <v/>
      </c>
      <c r="K95" t="str">
        <f>IF(LENH_GOC!A96="","",LENH_GOC!A96)</f>
        <v/>
      </c>
      <c r="L95" t="str">
        <f>IF($K95="","",IFERROR(TRIM(LENH_GOC!C96),""))</f>
        <v/>
      </c>
      <c r="M95" t="str">
        <f>IF($K95="","",IFERROR(UPPER(TRIM(LENH_GOC!Y96)),""))</f>
        <v/>
      </c>
      <c r="N95" s="43" t="str">
        <f>IFERROR(IF($K95="","",IF(LENH_GOC!G96="","",IF(ISNUMBER(LENH_GOC!G96),LENH_GOC!G96,DATE(VALUE(MID(LENH_GOC!G96,7,4)),VALUE(MID(LENH_GOC!G96,4,2)),VALUE(LEFT(LENH_GOC!G96,2)))+TIME(VALUE(MID(LENH_GOC!G96,12,2)),VALUE(MID(LENH_GOC!G96,15,2)),VALUE(MID(LENH_GOC!G96,18,2)))))), "")</f>
        <v/>
      </c>
      <c r="O95" t="str">
        <f>IF($K95="","",IF(LENH_GOC!E96="","",LENH_GOC!E96))</f>
        <v/>
      </c>
      <c r="P95" t="str">
        <f>IF($K95="","",IF(LENH_GOC!F96="","",LENH_GOC!F96))</f>
        <v/>
      </c>
      <c r="Q95" t="str">
        <f>IFERROR(IF($K95="","",IF(LENH_GOC!P96="","",IFERROR(VALUE(LENH_GOC!P96),IF(OR(LENH_GOC!P96=TRUE,UPPER(TRIM(LENH_GOC!P96))="TRUE"),1,0)))),"")</f>
        <v/>
      </c>
      <c r="R95" t="str">
        <f>IF($K95="","",IF(LENH_GOC!Q96="","",LENH_GOC!Q96))</f>
        <v/>
      </c>
      <c r="S95" s="43" t="str">
        <f>IF($K95="","",IF(LENH_GOC!R96="","",LENH_GOC!R96))</f>
        <v/>
      </c>
      <c r="T95">
        <f>IFERROR(IF($K95="",0,IF(AND(ISNUMBER($N95),INT($N95)=CAI_DAT!$B$4,LEFT(UPPER(TRIM($L95)),2)=LEFT(UPPER(TRIM(CAI_DAT!$B$5)),2),$Q95=1,OR(AND($M95="SO",ISNUMBER($P95),$P95&gt;0),AND($M95="MO",ISNUMBER($O95),$O95&gt;0))),1,0)),0)</f>
        <v>0</v>
      </c>
      <c r="U95" t="str">
        <f t="shared" si="18"/>
        <v/>
      </c>
      <c r="V95" t="str">
        <f t="shared" si="19"/>
        <v/>
      </c>
      <c r="W95" t="str">
        <f>IFERROR(IF($T95=0,"",COUNTIFS($T$3:$T$202,1,$V$3:$V$202,"&lt;"&amp;$V95)+COUNTIFS($T$3:$T95,1,$V$3:$V95,$V95)),"")</f>
        <v/>
      </c>
      <c r="X95" t="str">
        <f t="shared" si="20"/>
        <v/>
      </c>
    </row>
    <row r="96" spans="1:24">
      <c r="A96" s="5"/>
      <c r="B96" s="13"/>
      <c r="C96" s="16"/>
      <c r="D96" s="19"/>
      <c r="E96" s="19"/>
      <c r="F96" s="19"/>
      <c r="G96" s="6"/>
      <c r="J96" t="str">
        <f>IF(LENH_GOC!A97="","",97)</f>
        <v/>
      </c>
      <c r="K96" t="str">
        <f>IF(LENH_GOC!A97="","",LENH_GOC!A97)</f>
        <v/>
      </c>
      <c r="L96" t="str">
        <f>IF($K96="","",IFERROR(TRIM(LENH_GOC!C97),""))</f>
        <v/>
      </c>
      <c r="M96" t="str">
        <f>IF($K96="","",IFERROR(UPPER(TRIM(LENH_GOC!Y97)),""))</f>
        <v/>
      </c>
      <c r="N96" s="43" t="str">
        <f>IFERROR(IF($K96="","",IF(LENH_GOC!G97="","",IF(ISNUMBER(LENH_GOC!G97),LENH_GOC!G97,DATE(VALUE(MID(LENH_GOC!G97,7,4)),VALUE(MID(LENH_GOC!G97,4,2)),VALUE(LEFT(LENH_GOC!G97,2)))+TIME(VALUE(MID(LENH_GOC!G97,12,2)),VALUE(MID(LENH_GOC!G97,15,2)),VALUE(MID(LENH_GOC!G97,18,2)))))), "")</f>
        <v/>
      </c>
      <c r="O96" t="str">
        <f>IF($K96="","",IF(LENH_GOC!E97="","",LENH_GOC!E97))</f>
        <v/>
      </c>
      <c r="P96" t="str">
        <f>IF($K96="","",IF(LENH_GOC!F97="","",LENH_GOC!F97))</f>
        <v/>
      </c>
      <c r="Q96" t="str">
        <f>IFERROR(IF($K96="","",IF(LENH_GOC!P97="","",IFERROR(VALUE(LENH_GOC!P97),IF(OR(LENH_GOC!P97=TRUE,UPPER(TRIM(LENH_GOC!P97))="TRUE"),1,0)))),"")</f>
        <v/>
      </c>
      <c r="R96" t="str">
        <f>IF($K96="","",IF(LENH_GOC!Q97="","",LENH_GOC!Q97))</f>
        <v/>
      </c>
      <c r="S96" s="43" t="str">
        <f>IF($K96="","",IF(LENH_GOC!R97="","",LENH_GOC!R97))</f>
        <v/>
      </c>
      <c r="T96">
        <f>IFERROR(IF($K96="",0,IF(AND(ISNUMBER($N96),INT($N96)=CAI_DAT!$B$4,LEFT(UPPER(TRIM($L96)),2)=LEFT(UPPER(TRIM(CAI_DAT!$B$5)),2),$Q96=1,OR(AND($M96="SO",ISNUMBER($P96),$P96&gt;0),AND($M96="MO",ISNUMBER($O96),$O96&gt;0))),1,0)),0)</f>
        <v>0</v>
      </c>
      <c r="U96" t="str">
        <f t="shared" si="18"/>
        <v/>
      </c>
      <c r="V96" t="str">
        <f t="shared" si="19"/>
        <v/>
      </c>
      <c r="W96" t="str">
        <f>IFERROR(IF($T96=0,"",COUNTIFS($T$3:$T$202,1,$V$3:$V$202,"&lt;"&amp;$V96)+COUNTIFS($T$3:$T96,1,$V$3:$V96,$V96)),"")</f>
        <v/>
      </c>
      <c r="X96" t="str">
        <f t="shared" si="20"/>
        <v/>
      </c>
    </row>
    <row r="97" spans="1:24">
      <c r="A97" s="5"/>
      <c r="B97" s="13"/>
      <c r="C97" s="16"/>
      <c r="D97" s="19"/>
      <c r="E97" s="19"/>
      <c r="F97" s="19"/>
      <c r="G97" s="6"/>
      <c r="J97" t="str">
        <f>IF(LENH_GOC!A98="","",98)</f>
        <v/>
      </c>
      <c r="K97" t="str">
        <f>IF(LENH_GOC!A98="","",LENH_GOC!A98)</f>
        <v/>
      </c>
      <c r="L97" t="str">
        <f>IF($K97="","",IFERROR(TRIM(LENH_GOC!C98),""))</f>
        <v/>
      </c>
      <c r="M97" t="str">
        <f>IF($K97="","",IFERROR(UPPER(TRIM(LENH_GOC!Y98)),""))</f>
        <v/>
      </c>
      <c r="N97" s="43" t="str">
        <f>IFERROR(IF($K97="","",IF(LENH_GOC!G98="","",IF(ISNUMBER(LENH_GOC!G98),LENH_GOC!G98,DATE(VALUE(MID(LENH_GOC!G98,7,4)),VALUE(MID(LENH_GOC!G98,4,2)),VALUE(LEFT(LENH_GOC!G98,2)))+TIME(VALUE(MID(LENH_GOC!G98,12,2)),VALUE(MID(LENH_GOC!G98,15,2)),VALUE(MID(LENH_GOC!G98,18,2)))))), "")</f>
        <v/>
      </c>
      <c r="O97" t="str">
        <f>IF($K97="","",IF(LENH_GOC!E98="","",LENH_GOC!E98))</f>
        <v/>
      </c>
      <c r="P97" t="str">
        <f>IF($K97="","",IF(LENH_GOC!F98="","",LENH_GOC!F98))</f>
        <v/>
      </c>
      <c r="Q97" t="str">
        <f>IFERROR(IF($K97="","",IF(LENH_GOC!P98="","",IFERROR(VALUE(LENH_GOC!P98),IF(OR(LENH_GOC!P98=TRUE,UPPER(TRIM(LENH_GOC!P98))="TRUE"),1,0)))),"")</f>
        <v/>
      </c>
      <c r="R97" t="str">
        <f>IF($K97="","",IF(LENH_GOC!Q98="","",LENH_GOC!Q98))</f>
        <v/>
      </c>
      <c r="S97" s="43" t="str">
        <f>IF($K97="","",IF(LENH_GOC!R98="","",LENH_GOC!R98))</f>
        <v/>
      </c>
      <c r="T97">
        <f>IFERROR(IF($K97="",0,IF(AND(ISNUMBER($N97),INT($N97)=CAI_DAT!$B$4,LEFT(UPPER(TRIM($L97)),2)=LEFT(UPPER(TRIM(CAI_DAT!$B$5)),2),$Q97=1,OR(AND($M97="SO",ISNUMBER($P97),$P97&gt;0),AND($M97="MO",ISNUMBER($O97),$O97&gt;0))),1,0)),0)</f>
        <v>0</v>
      </c>
      <c r="U97" t="str">
        <f t="shared" si="18"/>
        <v/>
      </c>
      <c r="V97" t="str">
        <f t="shared" si="19"/>
        <v/>
      </c>
      <c r="W97" t="str">
        <f>IFERROR(IF($T97=0,"",COUNTIFS($T$3:$T$202,1,$V$3:$V$202,"&lt;"&amp;$V97)+COUNTIFS($T$3:$T97,1,$V$3:$V97,$V97)),"")</f>
        <v/>
      </c>
      <c r="X97" t="str">
        <f t="shared" si="20"/>
        <v/>
      </c>
    </row>
    <row r="98" spans="1:24">
      <c r="A98" s="5"/>
      <c r="B98" s="13"/>
      <c r="C98" s="16"/>
      <c r="D98" s="19"/>
      <c r="E98" s="19"/>
      <c r="F98" s="19"/>
      <c r="G98" s="6"/>
      <c r="J98" t="str">
        <f>IF(LENH_GOC!A99="","",99)</f>
        <v/>
      </c>
      <c r="K98" t="str">
        <f>IF(LENH_GOC!A99="","",LENH_GOC!A99)</f>
        <v/>
      </c>
      <c r="L98" t="str">
        <f>IF($K98="","",IFERROR(TRIM(LENH_GOC!C99),""))</f>
        <v/>
      </c>
      <c r="M98" t="str">
        <f>IF($K98="","",IFERROR(UPPER(TRIM(LENH_GOC!Y99)),""))</f>
        <v/>
      </c>
      <c r="N98" s="43" t="str">
        <f>IFERROR(IF($K98="","",IF(LENH_GOC!G99="","",IF(ISNUMBER(LENH_GOC!G99),LENH_GOC!G99,DATE(VALUE(MID(LENH_GOC!G99,7,4)),VALUE(MID(LENH_GOC!G99,4,2)),VALUE(LEFT(LENH_GOC!G99,2)))+TIME(VALUE(MID(LENH_GOC!G99,12,2)),VALUE(MID(LENH_GOC!G99,15,2)),VALUE(MID(LENH_GOC!G99,18,2)))))), "")</f>
        <v/>
      </c>
      <c r="O98" t="str">
        <f>IF($K98="","",IF(LENH_GOC!E99="","",LENH_GOC!E99))</f>
        <v/>
      </c>
      <c r="P98" t="str">
        <f>IF($K98="","",IF(LENH_GOC!F99="","",LENH_GOC!F99))</f>
        <v/>
      </c>
      <c r="Q98" t="str">
        <f>IFERROR(IF($K98="","",IF(LENH_GOC!P99="","",IFERROR(VALUE(LENH_GOC!P99),IF(OR(LENH_GOC!P99=TRUE,UPPER(TRIM(LENH_GOC!P99))="TRUE"),1,0)))),"")</f>
        <v/>
      </c>
      <c r="R98" t="str">
        <f>IF($K98="","",IF(LENH_GOC!Q99="","",LENH_GOC!Q99))</f>
        <v/>
      </c>
      <c r="S98" s="43" t="str">
        <f>IF($K98="","",IF(LENH_GOC!R99="","",LENH_GOC!R99))</f>
        <v/>
      </c>
      <c r="T98">
        <f>IFERROR(IF($K98="",0,IF(AND(ISNUMBER($N98),INT($N98)=CAI_DAT!$B$4,LEFT(UPPER(TRIM($L98)),2)=LEFT(UPPER(TRIM(CAI_DAT!$B$5)),2),$Q98=1,OR(AND($M98="SO",ISNUMBER($P98),$P98&gt;0),AND($M98="MO",ISNUMBER($O98),$O98&gt;0))),1,0)),0)</f>
        <v>0</v>
      </c>
      <c r="U98" t="str">
        <f t="shared" si="18"/>
        <v/>
      </c>
      <c r="V98" t="str">
        <f t="shared" si="19"/>
        <v/>
      </c>
      <c r="W98" t="str">
        <f>IFERROR(IF($T98=0,"",COUNTIFS($T$3:$T$202,1,$V$3:$V$202,"&lt;"&amp;$V98)+COUNTIFS($T$3:$T98,1,$V$3:$V98,$V98)),"")</f>
        <v/>
      </c>
      <c r="X98" t="str">
        <f t="shared" si="20"/>
        <v/>
      </c>
    </row>
    <row r="99" spans="1:24">
      <c r="A99" s="5"/>
      <c r="B99" s="13"/>
      <c r="C99" s="16"/>
      <c r="D99" s="19"/>
      <c r="E99" s="19"/>
      <c r="F99" s="19"/>
      <c r="G99" s="6"/>
      <c r="J99" t="str">
        <f>IF(LENH_GOC!A100="","",100)</f>
        <v/>
      </c>
      <c r="K99" t="str">
        <f>IF(LENH_GOC!A100="","",LENH_GOC!A100)</f>
        <v/>
      </c>
      <c r="L99" t="str">
        <f>IF($K99="","",IFERROR(TRIM(LENH_GOC!C100),""))</f>
        <v/>
      </c>
      <c r="M99" t="str">
        <f>IF($K99="","",IFERROR(UPPER(TRIM(LENH_GOC!Y100)),""))</f>
        <v/>
      </c>
      <c r="N99" s="43" t="str">
        <f>IFERROR(IF($K99="","",IF(LENH_GOC!G100="","",IF(ISNUMBER(LENH_GOC!G100),LENH_GOC!G100,DATE(VALUE(MID(LENH_GOC!G100,7,4)),VALUE(MID(LENH_GOC!G100,4,2)),VALUE(LEFT(LENH_GOC!G100,2)))+TIME(VALUE(MID(LENH_GOC!G100,12,2)),VALUE(MID(LENH_GOC!G100,15,2)),VALUE(MID(LENH_GOC!G100,18,2)))))), "")</f>
        <v/>
      </c>
      <c r="O99" t="str">
        <f>IF($K99="","",IF(LENH_GOC!E100="","",LENH_GOC!E100))</f>
        <v/>
      </c>
      <c r="P99" t="str">
        <f>IF($K99="","",IF(LENH_GOC!F100="","",LENH_GOC!F100))</f>
        <v/>
      </c>
      <c r="Q99" t="str">
        <f>IFERROR(IF($K99="","",IF(LENH_GOC!P100="","",IFERROR(VALUE(LENH_GOC!P100),IF(OR(LENH_GOC!P100=TRUE,UPPER(TRIM(LENH_GOC!P100))="TRUE"),1,0)))),"")</f>
        <v/>
      </c>
      <c r="R99" t="str">
        <f>IF($K99="","",IF(LENH_GOC!Q100="","",LENH_GOC!Q100))</f>
        <v/>
      </c>
      <c r="S99" s="43" t="str">
        <f>IF($K99="","",IF(LENH_GOC!R100="","",LENH_GOC!R100))</f>
        <v/>
      </c>
      <c r="T99">
        <f>IFERROR(IF($K99="",0,IF(AND(ISNUMBER($N99),INT($N99)=CAI_DAT!$B$4,LEFT(UPPER(TRIM($L99)),2)=LEFT(UPPER(TRIM(CAI_DAT!$B$5)),2),$Q99=1,OR(AND($M99="SO",ISNUMBER($P99),$P99&gt;0),AND($M99="MO",ISNUMBER($O99),$O99&gt;0))),1,0)),0)</f>
        <v>0</v>
      </c>
      <c r="U99" t="str">
        <f t="shared" ref="U99:U130" si="21">IFERROR(IF($T99=0,"",IF($M99="SO",$P99,IF(AND($M99="MO",OR($R99=TRUE,$R99="TRUE"),ISNUMBER($P99),$P99&gt;0),$P99,$O99))),"")</f>
        <v/>
      </c>
      <c r="V99" t="str">
        <f t="shared" ref="V99:V130" si="22">IFERROR(IF($T99=0,"",MOD($N99,1)*86400),"")</f>
        <v/>
      </c>
      <c r="W99" t="str">
        <f>IFERROR(IF($T99=0,"",COUNTIFS($T$3:$T$202,1,$V$3:$V$202,"&lt;"&amp;$V99)+COUNTIFS($T$3:$T99,1,$V$3:$V99,$V99)),"")</f>
        <v/>
      </c>
      <c r="X99" t="str">
        <f t="shared" ref="X99:X130" si="23">IFERROR(IF($T99=0,"",IF($M99="SO","SO: dùng CS hoàn thành",IF(AND($M99="MO",OR($R99=TRUE,$R99="TRUE"),ISNUMBER($P99),$P99&gt;0),"MO dừng sớm: dùng CS hoàn thành","MO: dùng CS ra lệnh"))),"")</f>
        <v/>
      </c>
    </row>
    <row r="100" spans="1:24">
      <c r="A100" s="5"/>
      <c r="B100" s="13"/>
      <c r="C100" s="16"/>
      <c r="D100" s="19"/>
      <c r="E100" s="19"/>
      <c r="F100" s="19"/>
      <c r="G100" s="6"/>
      <c r="J100" t="str">
        <f>IF(LENH_GOC!A101="","",101)</f>
        <v/>
      </c>
      <c r="K100" t="str">
        <f>IF(LENH_GOC!A101="","",LENH_GOC!A101)</f>
        <v/>
      </c>
      <c r="L100" t="str">
        <f>IF($K100="","",IFERROR(TRIM(LENH_GOC!C101),""))</f>
        <v/>
      </c>
      <c r="M100" t="str">
        <f>IF($K100="","",IFERROR(UPPER(TRIM(LENH_GOC!Y101)),""))</f>
        <v/>
      </c>
      <c r="N100" s="43" t="str">
        <f>IFERROR(IF($K100="","",IF(LENH_GOC!G101="","",IF(ISNUMBER(LENH_GOC!G101),LENH_GOC!G101,DATE(VALUE(MID(LENH_GOC!G101,7,4)),VALUE(MID(LENH_GOC!G101,4,2)),VALUE(LEFT(LENH_GOC!G101,2)))+TIME(VALUE(MID(LENH_GOC!G101,12,2)),VALUE(MID(LENH_GOC!G101,15,2)),VALUE(MID(LENH_GOC!G101,18,2)))))), "")</f>
        <v/>
      </c>
      <c r="O100" t="str">
        <f>IF($K100="","",IF(LENH_GOC!E101="","",LENH_GOC!E101))</f>
        <v/>
      </c>
      <c r="P100" t="str">
        <f>IF($K100="","",IF(LENH_GOC!F101="","",LENH_GOC!F101))</f>
        <v/>
      </c>
      <c r="Q100" t="str">
        <f>IFERROR(IF($K100="","",IF(LENH_GOC!P101="","",IFERROR(VALUE(LENH_GOC!P101),IF(OR(LENH_GOC!P101=TRUE,UPPER(TRIM(LENH_GOC!P101))="TRUE"),1,0)))),"")</f>
        <v/>
      </c>
      <c r="R100" t="str">
        <f>IF($K100="","",IF(LENH_GOC!Q101="","",LENH_GOC!Q101))</f>
        <v/>
      </c>
      <c r="S100" s="43" t="str">
        <f>IF($K100="","",IF(LENH_GOC!R101="","",LENH_GOC!R101))</f>
        <v/>
      </c>
      <c r="T100">
        <f>IFERROR(IF($K100="",0,IF(AND(ISNUMBER($N100),INT($N100)=CAI_DAT!$B$4,LEFT(UPPER(TRIM($L100)),2)=LEFT(UPPER(TRIM(CAI_DAT!$B$5)),2),$Q100=1,OR(AND($M100="SO",ISNUMBER($P100),$P100&gt;0),AND($M100="MO",ISNUMBER($O100),$O100&gt;0))),1,0)),0)</f>
        <v>0</v>
      </c>
      <c r="U100" t="str">
        <f t="shared" si="21"/>
        <v/>
      </c>
      <c r="V100" t="str">
        <f t="shared" si="22"/>
        <v/>
      </c>
      <c r="W100" t="str">
        <f>IFERROR(IF($T100=0,"",COUNTIFS($T$3:$T$202,1,$V$3:$V$202,"&lt;"&amp;$V100)+COUNTIFS($T$3:$T100,1,$V$3:$V100,$V100)),"")</f>
        <v/>
      </c>
      <c r="X100" t="str">
        <f t="shared" si="23"/>
        <v/>
      </c>
    </row>
    <row r="101" spans="1:24">
      <c r="A101" s="5"/>
      <c r="B101" s="13"/>
      <c r="C101" s="16"/>
      <c r="D101" s="19"/>
      <c r="E101" s="19"/>
      <c r="F101" s="19"/>
      <c r="G101" s="6"/>
      <c r="J101" t="str">
        <f>IF(LENH_GOC!A102="","",102)</f>
        <v/>
      </c>
      <c r="K101" t="str">
        <f>IF(LENH_GOC!A102="","",LENH_GOC!A102)</f>
        <v/>
      </c>
      <c r="L101" t="str">
        <f>IF($K101="","",IFERROR(TRIM(LENH_GOC!C102),""))</f>
        <v/>
      </c>
      <c r="M101" t="str">
        <f>IF($K101="","",IFERROR(UPPER(TRIM(LENH_GOC!Y102)),""))</f>
        <v/>
      </c>
      <c r="N101" s="43" t="str">
        <f>IFERROR(IF($K101="","",IF(LENH_GOC!G102="","",IF(ISNUMBER(LENH_GOC!G102),LENH_GOC!G102,DATE(VALUE(MID(LENH_GOC!G102,7,4)),VALUE(MID(LENH_GOC!G102,4,2)),VALUE(LEFT(LENH_GOC!G102,2)))+TIME(VALUE(MID(LENH_GOC!G102,12,2)),VALUE(MID(LENH_GOC!G102,15,2)),VALUE(MID(LENH_GOC!G102,18,2)))))), "")</f>
        <v/>
      </c>
      <c r="O101" t="str">
        <f>IF($K101="","",IF(LENH_GOC!E102="","",LENH_GOC!E102))</f>
        <v/>
      </c>
      <c r="P101" t="str">
        <f>IF($K101="","",IF(LENH_GOC!F102="","",LENH_GOC!F102))</f>
        <v/>
      </c>
      <c r="Q101" t="str">
        <f>IFERROR(IF($K101="","",IF(LENH_GOC!P102="","",IFERROR(VALUE(LENH_GOC!P102),IF(OR(LENH_GOC!P102=TRUE,UPPER(TRIM(LENH_GOC!P102))="TRUE"),1,0)))),"")</f>
        <v/>
      </c>
      <c r="R101" t="str">
        <f>IF($K101="","",IF(LENH_GOC!Q102="","",LENH_GOC!Q102))</f>
        <v/>
      </c>
      <c r="S101" s="43" t="str">
        <f>IF($K101="","",IF(LENH_GOC!R102="","",LENH_GOC!R102))</f>
        <v/>
      </c>
      <c r="T101">
        <f>IFERROR(IF($K101="",0,IF(AND(ISNUMBER($N101),INT($N101)=CAI_DAT!$B$4,LEFT(UPPER(TRIM($L101)),2)=LEFT(UPPER(TRIM(CAI_DAT!$B$5)),2),$Q101=1,OR(AND($M101="SO",ISNUMBER($P101),$P101&gt;0),AND($M101="MO",ISNUMBER($O101),$O101&gt;0))),1,0)),0)</f>
        <v>0</v>
      </c>
      <c r="U101" t="str">
        <f t="shared" si="21"/>
        <v/>
      </c>
      <c r="V101" t="str">
        <f t="shared" si="22"/>
        <v/>
      </c>
      <c r="W101" t="str">
        <f>IFERROR(IF($T101=0,"",COUNTIFS($T$3:$T$202,1,$V$3:$V$202,"&lt;"&amp;$V101)+COUNTIFS($T$3:$T101,1,$V$3:$V101,$V101)),"")</f>
        <v/>
      </c>
      <c r="X101" t="str">
        <f t="shared" si="23"/>
        <v/>
      </c>
    </row>
    <row r="102" spans="1:24">
      <c r="A102" s="7"/>
      <c r="B102" s="14"/>
      <c r="C102" s="17"/>
      <c r="D102" s="20"/>
      <c r="E102" s="20"/>
      <c r="F102" s="20"/>
      <c r="G102" s="8"/>
      <c r="J102" t="str">
        <f>IF(LENH_GOC!A103="","",103)</f>
        <v/>
      </c>
      <c r="K102" t="str">
        <f>IF(LENH_GOC!A103="","",LENH_GOC!A103)</f>
        <v/>
      </c>
      <c r="L102" t="str">
        <f>IF($K102="","",IFERROR(TRIM(LENH_GOC!C103),""))</f>
        <v/>
      </c>
      <c r="M102" t="str">
        <f>IF($K102="","",IFERROR(UPPER(TRIM(LENH_GOC!Y103)),""))</f>
        <v/>
      </c>
      <c r="N102" s="43" t="str">
        <f>IFERROR(IF($K102="","",IF(LENH_GOC!G103="","",IF(ISNUMBER(LENH_GOC!G103),LENH_GOC!G103,DATE(VALUE(MID(LENH_GOC!G103,7,4)),VALUE(MID(LENH_GOC!G103,4,2)),VALUE(LEFT(LENH_GOC!G103,2)))+TIME(VALUE(MID(LENH_GOC!G103,12,2)),VALUE(MID(LENH_GOC!G103,15,2)),VALUE(MID(LENH_GOC!G103,18,2)))))), "")</f>
        <v/>
      </c>
      <c r="O102" t="str">
        <f>IF($K102="","",IF(LENH_GOC!E103="","",LENH_GOC!E103))</f>
        <v/>
      </c>
      <c r="P102" t="str">
        <f>IF($K102="","",IF(LENH_GOC!F103="","",LENH_GOC!F103))</f>
        <v/>
      </c>
      <c r="Q102" t="str">
        <f>IFERROR(IF($K102="","",IF(LENH_GOC!P103="","",IFERROR(VALUE(LENH_GOC!P103),IF(OR(LENH_GOC!P103=TRUE,UPPER(TRIM(LENH_GOC!P103))="TRUE"),1,0)))),"")</f>
        <v/>
      </c>
      <c r="R102" t="str">
        <f>IF($K102="","",IF(LENH_GOC!Q103="","",LENH_GOC!Q103))</f>
        <v/>
      </c>
      <c r="S102" s="43" t="str">
        <f>IF($K102="","",IF(LENH_GOC!R103="","",LENH_GOC!R103))</f>
        <v/>
      </c>
      <c r="T102">
        <f>IFERROR(IF($K102="",0,IF(AND(ISNUMBER($N102),INT($N102)=CAI_DAT!$B$4,LEFT(UPPER(TRIM($L102)),2)=LEFT(UPPER(TRIM(CAI_DAT!$B$5)),2),$Q102=1,OR(AND($M102="SO",ISNUMBER($P102),$P102&gt;0),AND($M102="MO",ISNUMBER($O102),$O102&gt;0))),1,0)),0)</f>
        <v>0</v>
      </c>
      <c r="U102" t="str">
        <f t="shared" si="21"/>
        <v/>
      </c>
      <c r="V102" t="str">
        <f t="shared" si="22"/>
        <v/>
      </c>
      <c r="W102" t="str">
        <f>IFERROR(IF($T102=0,"",COUNTIFS($T$3:$T$202,1,$V$3:$V$202,"&lt;"&amp;$V102)+COUNTIFS($T$3:$T102,1,$V$3:$V102,$V102)),"")</f>
        <v/>
      </c>
      <c r="X102" t="str">
        <f t="shared" si="23"/>
        <v/>
      </c>
    </row>
    <row r="103" spans="1:24">
      <c r="J103" t="str">
        <f>IF(LENH_GOC!A104="","",104)</f>
        <v/>
      </c>
      <c r="K103" t="str">
        <f>IF(LENH_GOC!A104="","",LENH_GOC!A104)</f>
        <v/>
      </c>
      <c r="L103" t="str">
        <f>IF($K103="","",IFERROR(TRIM(LENH_GOC!C104),""))</f>
        <v/>
      </c>
      <c r="M103" t="str">
        <f>IF($K103="","",IFERROR(UPPER(TRIM(LENH_GOC!Y104)),""))</f>
        <v/>
      </c>
      <c r="N103" s="43" t="str">
        <f>IFERROR(IF($K103="","",IF(LENH_GOC!G104="","",IF(ISNUMBER(LENH_GOC!G104),LENH_GOC!G104,DATE(VALUE(MID(LENH_GOC!G104,7,4)),VALUE(MID(LENH_GOC!G104,4,2)),VALUE(LEFT(LENH_GOC!G104,2)))+TIME(VALUE(MID(LENH_GOC!G104,12,2)),VALUE(MID(LENH_GOC!G104,15,2)),VALUE(MID(LENH_GOC!G104,18,2)))))), "")</f>
        <v/>
      </c>
      <c r="O103" t="str">
        <f>IF($K103="","",IF(LENH_GOC!E104="","",LENH_GOC!E104))</f>
        <v/>
      </c>
      <c r="P103" t="str">
        <f>IF($K103="","",IF(LENH_GOC!F104="","",LENH_GOC!F104))</f>
        <v/>
      </c>
      <c r="Q103" t="str">
        <f>IFERROR(IF($K103="","",IF(LENH_GOC!P104="","",IFERROR(VALUE(LENH_GOC!P104),IF(OR(LENH_GOC!P104=TRUE,UPPER(TRIM(LENH_GOC!P104))="TRUE"),1,0)))),"")</f>
        <v/>
      </c>
      <c r="R103" t="str">
        <f>IF($K103="","",IF(LENH_GOC!Q104="","",LENH_GOC!Q104))</f>
        <v/>
      </c>
      <c r="S103" s="43" t="str">
        <f>IF($K103="","",IF(LENH_GOC!R104="","",LENH_GOC!R104))</f>
        <v/>
      </c>
      <c r="T103">
        <f>IFERROR(IF($K103="",0,IF(AND(ISNUMBER($N103),INT($N103)=CAI_DAT!$B$4,LEFT(UPPER(TRIM($L103)),2)=LEFT(UPPER(TRIM(CAI_DAT!$B$5)),2),$Q103=1,OR(AND($M103="SO",ISNUMBER($P103),$P103&gt;0),AND($M103="MO",ISNUMBER($O103),$O103&gt;0))),1,0)),0)</f>
        <v>0</v>
      </c>
      <c r="U103" t="str">
        <f t="shared" si="21"/>
        <v/>
      </c>
      <c r="V103" t="str">
        <f t="shared" si="22"/>
        <v/>
      </c>
      <c r="W103" t="str">
        <f>IFERROR(IF($T103=0,"",COUNTIFS($T$3:$T$202,1,$V$3:$V$202,"&lt;"&amp;$V103)+COUNTIFS($T$3:$T103,1,$V$3:$V103,$V103)),"")</f>
        <v/>
      </c>
      <c r="X103" t="str">
        <f t="shared" si="23"/>
        <v/>
      </c>
    </row>
    <row r="104" spans="1:24">
      <c r="J104" t="str">
        <f>IF(LENH_GOC!A105="","",105)</f>
        <v/>
      </c>
      <c r="K104" t="str">
        <f>IF(LENH_GOC!A105="","",LENH_GOC!A105)</f>
        <v/>
      </c>
      <c r="L104" t="str">
        <f>IF($K104="","",IFERROR(TRIM(LENH_GOC!C105),""))</f>
        <v/>
      </c>
      <c r="M104" t="str">
        <f>IF($K104="","",IFERROR(UPPER(TRIM(LENH_GOC!Y105)),""))</f>
        <v/>
      </c>
      <c r="N104" s="43" t="str">
        <f>IFERROR(IF($K104="","",IF(LENH_GOC!G105="","",IF(ISNUMBER(LENH_GOC!G105),LENH_GOC!G105,DATE(VALUE(MID(LENH_GOC!G105,7,4)),VALUE(MID(LENH_GOC!G105,4,2)),VALUE(LEFT(LENH_GOC!G105,2)))+TIME(VALUE(MID(LENH_GOC!G105,12,2)),VALUE(MID(LENH_GOC!G105,15,2)),VALUE(MID(LENH_GOC!G105,18,2)))))), "")</f>
        <v/>
      </c>
      <c r="O104" t="str">
        <f>IF($K104="","",IF(LENH_GOC!E105="","",LENH_GOC!E105))</f>
        <v/>
      </c>
      <c r="P104" t="str">
        <f>IF($K104="","",IF(LENH_GOC!F105="","",LENH_GOC!F105))</f>
        <v/>
      </c>
      <c r="Q104" t="str">
        <f>IFERROR(IF($K104="","",IF(LENH_GOC!P105="","",IFERROR(VALUE(LENH_GOC!P105),IF(OR(LENH_GOC!P105=TRUE,UPPER(TRIM(LENH_GOC!P105))="TRUE"),1,0)))),"")</f>
        <v/>
      </c>
      <c r="R104" t="str">
        <f>IF($K104="","",IF(LENH_GOC!Q105="","",LENH_GOC!Q105))</f>
        <v/>
      </c>
      <c r="S104" s="43" t="str">
        <f>IF($K104="","",IF(LENH_GOC!R105="","",LENH_GOC!R105))</f>
        <v/>
      </c>
      <c r="T104">
        <f>IFERROR(IF($K104="",0,IF(AND(ISNUMBER($N104),INT($N104)=CAI_DAT!$B$4,LEFT(UPPER(TRIM($L104)),2)=LEFT(UPPER(TRIM(CAI_DAT!$B$5)),2),$Q104=1,OR(AND($M104="SO",ISNUMBER($P104),$P104&gt;0),AND($M104="MO",ISNUMBER($O104),$O104&gt;0))),1,0)),0)</f>
        <v>0</v>
      </c>
      <c r="U104" t="str">
        <f t="shared" si="21"/>
        <v/>
      </c>
      <c r="V104" t="str">
        <f t="shared" si="22"/>
        <v/>
      </c>
      <c r="W104" t="str">
        <f>IFERROR(IF($T104=0,"",COUNTIFS($T$3:$T$202,1,$V$3:$V$202,"&lt;"&amp;$V104)+COUNTIFS($T$3:$T104,1,$V$3:$V104,$V104)),"")</f>
        <v/>
      </c>
      <c r="X104" t="str">
        <f t="shared" si="23"/>
        <v/>
      </c>
    </row>
    <row r="105" spans="1:24">
      <c r="J105" t="str">
        <f>IF(LENH_GOC!A106="","",106)</f>
        <v/>
      </c>
      <c r="K105" t="str">
        <f>IF(LENH_GOC!A106="","",LENH_GOC!A106)</f>
        <v/>
      </c>
      <c r="L105" t="str">
        <f>IF($K105="","",IFERROR(TRIM(LENH_GOC!C106),""))</f>
        <v/>
      </c>
      <c r="M105" t="str">
        <f>IF($K105="","",IFERROR(UPPER(TRIM(LENH_GOC!Y106)),""))</f>
        <v/>
      </c>
      <c r="N105" s="43" t="str">
        <f>IFERROR(IF($K105="","",IF(LENH_GOC!G106="","",IF(ISNUMBER(LENH_GOC!G106),LENH_GOC!G106,DATE(VALUE(MID(LENH_GOC!G106,7,4)),VALUE(MID(LENH_GOC!G106,4,2)),VALUE(LEFT(LENH_GOC!G106,2)))+TIME(VALUE(MID(LENH_GOC!G106,12,2)),VALUE(MID(LENH_GOC!G106,15,2)),VALUE(MID(LENH_GOC!G106,18,2)))))), "")</f>
        <v/>
      </c>
      <c r="O105" t="str">
        <f>IF($K105="","",IF(LENH_GOC!E106="","",LENH_GOC!E106))</f>
        <v/>
      </c>
      <c r="P105" t="str">
        <f>IF($K105="","",IF(LENH_GOC!F106="","",LENH_GOC!F106))</f>
        <v/>
      </c>
      <c r="Q105" t="str">
        <f>IFERROR(IF($K105="","",IF(LENH_GOC!P106="","",IFERROR(VALUE(LENH_GOC!P106),IF(OR(LENH_GOC!P106=TRUE,UPPER(TRIM(LENH_GOC!P106))="TRUE"),1,0)))),"")</f>
        <v/>
      </c>
      <c r="R105" t="str">
        <f>IF($K105="","",IF(LENH_GOC!Q106="","",LENH_GOC!Q106))</f>
        <v/>
      </c>
      <c r="S105" s="43" t="str">
        <f>IF($K105="","",IF(LENH_GOC!R106="","",LENH_GOC!R106))</f>
        <v/>
      </c>
      <c r="T105">
        <f>IFERROR(IF($K105="",0,IF(AND(ISNUMBER($N105),INT($N105)=CAI_DAT!$B$4,LEFT(UPPER(TRIM($L105)),2)=LEFT(UPPER(TRIM(CAI_DAT!$B$5)),2),$Q105=1,OR(AND($M105="SO",ISNUMBER($P105),$P105&gt;0),AND($M105="MO",ISNUMBER($O105),$O105&gt;0))),1,0)),0)</f>
        <v>0</v>
      </c>
      <c r="U105" t="str">
        <f t="shared" si="21"/>
        <v/>
      </c>
      <c r="V105" t="str">
        <f t="shared" si="22"/>
        <v/>
      </c>
      <c r="W105" t="str">
        <f>IFERROR(IF($T105=0,"",COUNTIFS($T$3:$T$202,1,$V$3:$V$202,"&lt;"&amp;$V105)+COUNTIFS($T$3:$T105,1,$V$3:$V105,$V105)),"")</f>
        <v/>
      </c>
      <c r="X105" t="str">
        <f t="shared" si="23"/>
        <v/>
      </c>
    </row>
    <row r="106" spans="1:24">
      <c r="J106" t="str">
        <f>IF(LENH_GOC!A107="","",107)</f>
        <v/>
      </c>
      <c r="K106" t="str">
        <f>IF(LENH_GOC!A107="","",LENH_GOC!A107)</f>
        <v/>
      </c>
      <c r="L106" t="str">
        <f>IF($K106="","",IFERROR(TRIM(LENH_GOC!C107),""))</f>
        <v/>
      </c>
      <c r="M106" t="str">
        <f>IF($K106="","",IFERROR(UPPER(TRIM(LENH_GOC!Y107)),""))</f>
        <v/>
      </c>
      <c r="N106" s="43" t="str">
        <f>IFERROR(IF($K106="","",IF(LENH_GOC!G107="","",IF(ISNUMBER(LENH_GOC!G107),LENH_GOC!G107,DATE(VALUE(MID(LENH_GOC!G107,7,4)),VALUE(MID(LENH_GOC!G107,4,2)),VALUE(LEFT(LENH_GOC!G107,2)))+TIME(VALUE(MID(LENH_GOC!G107,12,2)),VALUE(MID(LENH_GOC!G107,15,2)),VALUE(MID(LENH_GOC!G107,18,2)))))), "")</f>
        <v/>
      </c>
      <c r="O106" t="str">
        <f>IF($K106="","",IF(LENH_GOC!E107="","",LENH_GOC!E107))</f>
        <v/>
      </c>
      <c r="P106" t="str">
        <f>IF($K106="","",IF(LENH_GOC!F107="","",LENH_GOC!F107))</f>
        <v/>
      </c>
      <c r="Q106" t="str">
        <f>IFERROR(IF($K106="","",IF(LENH_GOC!P107="","",IFERROR(VALUE(LENH_GOC!P107),IF(OR(LENH_GOC!P107=TRUE,UPPER(TRIM(LENH_GOC!P107))="TRUE"),1,0)))),"")</f>
        <v/>
      </c>
      <c r="R106" t="str">
        <f>IF($K106="","",IF(LENH_GOC!Q107="","",LENH_GOC!Q107))</f>
        <v/>
      </c>
      <c r="S106" s="43" t="str">
        <f>IF($K106="","",IF(LENH_GOC!R107="","",LENH_GOC!R107))</f>
        <v/>
      </c>
      <c r="T106">
        <f>IFERROR(IF($K106="",0,IF(AND(ISNUMBER($N106),INT($N106)=CAI_DAT!$B$4,LEFT(UPPER(TRIM($L106)),2)=LEFT(UPPER(TRIM(CAI_DAT!$B$5)),2),$Q106=1,OR(AND($M106="SO",ISNUMBER($P106),$P106&gt;0),AND($M106="MO",ISNUMBER($O106),$O106&gt;0))),1,0)),0)</f>
        <v>0</v>
      </c>
      <c r="U106" t="str">
        <f t="shared" si="21"/>
        <v/>
      </c>
      <c r="V106" t="str">
        <f t="shared" si="22"/>
        <v/>
      </c>
      <c r="W106" t="str">
        <f>IFERROR(IF($T106=0,"",COUNTIFS($T$3:$T$202,1,$V$3:$V$202,"&lt;"&amp;$V106)+COUNTIFS($T$3:$T106,1,$V$3:$V106,$V106)),"")</f>
        <v/>
      </c>
      <c r="X106" t="str">
        <f t="shared" si="23"/>
        <v/>
      </c>
    </row>
    <row r="107" spans="1:24">
      <c r="J107" t="str">
        <f>IF(LENH_GOC!A108="","",108)</f>
        <v/>
      </c>
      <c r="K107" t="str">
        <f>IF(LENH_GOC!A108="","",LENH_GOC!A108)</f>
        <v/>
      </c>
      <c r="L107" t="str">
        <f>IF($K107="","",IFERROR(TRIM(LENH_GOC!C108),""))</f>
        <v/>
      </c>
      <c r="M107" t="str">
        <f>IF($K107="","",IFERROR(UPPER(TRIM(LENH_GOC!Y108)),""))</f>
        <v/>
      </c>
      <c r="N107" s="43" t="str">
        <f>IFERROR(IF($K107="","",IF(LENH_GOC!G108="","",IF(ISNUMBER(LENH_GOC!G108),LENH_GOC!G108,DATE(VALUE(MID(LENH_GOC!G108,7,4)),VALUE(MID(LENH_GOC!G108,4,2)),VALUE(LEFT(LENH_GOC!G108,2)))+TIME(VALUE(MID(LENH_GOC!G108,12,2)),VALUE(MID(LENH_GOC!G108,15,2)),VALUE(MID(LENH_GOC!G108,18,2)))))), "")</f>
        <v/>
      </c>
      <c r="O107" t="str">
        <f>IF($K107="","",IF(LENH_GOC!E108="","",LENH_GOC!E108))</f>
        <v/>
      </c>
      <c r="P107" t="str">
        <f>IF($K107="","",IF(LENH_GOC!F108="","",LENH_GOC!F108))</f>
        <v/>
      </c>
      <c r="Q107" t="str">
        <f>IFERROR(IF($K107="","",IF(LENH_GOC!P108="","",IFERROR(VALUE(LENH_GOC!P108),IF(OR(LENH_GOC!P108=TRUE,UPPER(TRIM(LENH_GOC!P108))="TRUE"),1,0)))),"")</f>
        <v/>
      </c>
      <c r="R107" t="str">
        <f>IF($K107="","",IF(LENH_GOC!Q108="","",LENH_GOC!Q108))</f>
        <v/>
      </c>
      <c r="S107" s="43" t="str">
        <f>IF($K107="","",IF(LENH_GOC!R108="","",LENH_GOC!R108))</f>
        <v/>
      </c>
      <c r="T107">
        <f>IFERROR(IF($K107="",0,IF(AND(ISNUMBER($N107),INT($N107)=CAI_DAT!$B$4,LEFT(UPPER(TRIM($L107)),2)=LEFT(UPPER(TRIM(CAI_DAT!$B$5)),2),$Q107=1,OR(AND($M107="SO",ISNUMBER($P107),$P107&gt;0),AND($M107="MO",ISNUMBER($O107),$O107&gt;0))),1,0)),0)</f>
        <v>0</v>
      </c>
      <c r="U107" t="str">
        <f t="shared" si="21"/>
        <v/>
      </c>
      <c r="V107" t="str">
        <f t="shared" si="22"/>
        <v/>
      </c>
      <c r="W107" t="str">
        <f>IFERROR(IF($T107=0,"",COUNTIFS($T$3:$T$202,1,$V$3:$V$202,"&lt;"&amp;$V107)+COUNTIFS($T$3:$T107,1,$V$3:$V107,$V107)),"")</f>
        <v/>
      </c>
      <c r="X107" t="str">
        <f t="shared" si="23"/>
        <v/>
      </c>
    </row>
    <row r="108" spans="1:24">
      <c r="J108" t="str">
        <f>IF(LENH_GOC!A109="","",109)</f>
        <v/>
      </c>
      <c r="K108" t="str">
        <f>IF(LENH_GOC!A109="","",LENH_GOC!A109)</f>
        <v/>
      </c>
      <c r="L108" t="str">
        <f>IF($K108="","",IFERROR(TRIM(LENH_GOC!C109),""))</f>
        <v/>
      </c>
      <c r="M108" t="str">
        <f>IF($K108="","",IFERROR(UPPER(TRIM(LENH_GOC!Y109)),""))</f>
        <v/>
      </c>
      <c r="N108" s="43" t="str">
        <f>IFERROR(IF($K108="","",IF(LENH_GOC!G109="","",IF(ISNUMBER(LENH_GOC!G109),LENH_GOC!G109,DATE(VALUE(MID(LENH_GOC!G109,7,4)),VALUE(MID(LENH_GOC!G109,4,2)),VALUE(LEFT(LENH_GOC!G109,2)))+TIME(VALUE(MID(LENH_GOC!G109,12,2)),VALUE(MID(LENH_GOC!G109,15,2)),VALUE(MID(LENH_GOC!G109,18,2)))))), "")</f>
        <v/>
      </c>
      <c r="O108" t="str">
        <f>IF($K108="","",IF(LENH_GOC!E109="","",LENH_GOC!E109))</f>
        <v/>
      </c>
      <c r="P108" t="str">
        <f>IF($K108="","",IF(LENH_GOC!F109="","",LENH_GOC!F109))</f>
        <v/>
      </c>
      <c r="Q108" t="str">
        <f>IFERROR(IF($K108="","",IF(LENH_GOC!P109="","",IFERROR(VALUE(LENH_GOC!P109),IF(OR(LENH_GOC!P109=TRUE,UPPER(TRIM(LENH_GOC!P109))="TRUE"),1,0)))),"")</f>
        <v/>
      </c>
      <c r="R108" t="str">
        <f>IF($K108="","",IF(LENH_GOC!Q109="","",LENH_GOC!Q109))</f>
        <v/>
      </c>
      <c r="S108" s="43" t="str">
        <f>IF($K108="","",IF(LENH_GOC!R109="","",LENH_GOC!R109))</f>
        <v/>
      </c>
      <c r="T108">
        <f>IFERROR(IF($K108="",0,IF(AND(ISNUMBER($N108),INT($N108)=CAI_DAT!$B$4,LEFT(UPPER(TRIM($L108)),2)=LEFT(UPPER(TRIM(CAI_DAT!$B$5)),2),$Q108=1,OR(AND($M108="SO",ISNUMBER($P108),$P108&gt;0),AND($M108="MO",ISNUMBER($O108),$O108&gt;0))),1,0)),0)</f>
        <v>0</v>
      </c>
      <c r="U108" t="str">
        <f t="shared" si="21"/>
        <v/>
      </c>
      <c r="V108" t="str">
        <f t="shared" si="22"/>
        <v/>
      </c>
      <c r="W108" t="str">
        <f>IFERROR(IF($T108=0,"",COUNTIFS($T$3:$T$202,1,$V$3:$V$202,"&lt;"&amp;$V108)+COUNTIFS($T$3:$T108,1,$V$3:$V108,$V108)),"")</f>
        <v/>
      </c>
      <c r="X108" t="str">
        <f t="shared" si="23"/>
        <v/>
      </c>
    </row>
    <row r="109" spans="1:24">
      <c r="J109" t="str">
        <f>IF(LENH_GOC!A110="","",110)</f>
        <v/>
      </c>
      <c r="K109" t="str">
        <f>IF(LENH_GOC!A110="","",LENH_GOC!A110)</f>
        <v/>
      </c>
      <c r="L109" t="str">
        <f>IF($K109="","",IFERROR(TRIM(LENH_GOC!C110),""))</f>
        <v/>
      </c>
      <c r="M109" t="str">
        <f>IF($K109="","",IFERROR(UPPER(TRIM(LENH_GOC!Y110)),""))</f>
        <v/>
      </c>
      <c r="N109" s="43" t="str">
        <f>IFERROR(IF($K109="","",IF(LENH_GOC!G110="","",IF(ISNUMBER(LENH_GOC!G110),LENH_GOC!G110,DATE(VALUE(MID(LENH_GOC!G110,7,4)),VALUE(MID(LENH_GOC!G110,4,2)),VALUE(LEFT(LENH_GOC!G110,2)))+TIME(VALUE(MID(LENH_GOC!G110,12,2)),VALUE(MID(LENH_GOC!G110,15,2)),VALUE(MID(LENH_GOC!G110,18,2)))))), "")</f>
        <v/>
      </c>
      <c r="O109" t="str">
        <f>IF($K109="","",IF(LENH_GOC!E110="","",LENH_GOC!E110))</f>
        <v/>
      </c>
      <c r="P109" t="str">
        <f>IF($K109="","",IF(LENH_GOC!F110="","",LENH_GOC!F110))</f>
        <v/>
      </c>
      <c r="Q109" t="str">
        <f>IFERROR(IF($K109="","",IF(LENH_GOC!P110="","",IFERROR(VALUE(LENH_GOC!P110),IF(OR(LENH_GOC!P110=TRUE,UPPER(TRIM(LENH_GOC!P110))="TRUE"),1,0)))),"")</f>
        <v/>
      </c>
      <c r="R109" t="str">
        <f>IF($K109="","",IF(LENH_GOC!Q110="","",LENH_GOC!Q110))</f>
        <v/>
      </c>
      <c r="S109" s="43" t="str">
        <f>IF($K109="","",IF(LENH_GOC!R110="","",LENH_GOC!R110))</f>
        <v/>
      </c>
      <c r="T109">
        <f>IFERROR(IF($K109="",0,IF(AND(ISNUMBER($N109),INT($N109)=CAI_DAT!$B$4,LEFT(UPPER(TRIM($L109)),2)=LEFT(UPPER(TRIM(CAI_DAT!$B$5)),2),$Q109=1,OR(AND($M109="SO",ISNUMBER($P109),$P109&gt;0),AND($M109="MO",ISNUMBER($O109),$O109&gt;0))),1,0)),0)</f>
        <v>0</v>
      </c>
      <c r="U109" t="str">
        <f t="shared" si="21"/>
        <v/>
      </c>
      <c r="V109" t="str">
        <f t="shared" si="22"/>
        <v/>
      </c>
      <c r="W109" t="str">
        <f>IFERROR(IF($T109=0,"",COUNTIFS($T$3:$T$202,1,$V$3:$V$202,"&lt;"&amp;$V109)+COUNTIFS($T$3:$T109,1,$V$3:$V109,$V109)),"")</f>
        <v/>
      </c>
      <c r="X109" t="str">
        <f t="shared" si="23"/>
        <v/>
      </c>
    </row>
    <row r="110" spans="1:24">
      <c r="J110" t="str">
        <f>IF(LENH_GOC!A111="","",111)</f>
        <v/>
      </c>
      <c r="K110" t="str">
        <f>IF(LENH_GOC!A111="","",LENH_GOC!A111)</f>
        <v/>
      </c>
      <c r="L110" t="str">
        <f>IF($K110="","",IFERROR(TRIM(LENH_GOC!C111),""))</f>
        <v/>
      </c>
      <c r="M110" t="str">
        <f>IF($K110="","",IFERROR(UPPER(TRIM(LENH_GOC!Y111)),""))</f>
        <v/>
      </c>
      <c r="N110" s="43" t="str">
        <f>IFERROR(IF($K110="","",IF(LENH_GOC!G111="","",IF(ISNUMBER(LENH_GOC!G111),LENH_GOC!G111,DATE(VALUE(MID(LENH_GOC!G111,7,4)),VALUE(MID(LENH_GOC!G111,4,2)),VALUE(LEFT(LENH_GOC!G111,2)))+TIME(VALUE(MID(LENH_GOC!G111,12,2)),VALUE(MID(LENH_GOC!G111,15,2)),VALUE(MID(LENH_GOC!G111,18,2)))))), "")</f>
        <v/>
      </c>
      <c r="O110" t="str">
        <f>IF($K110="","",IF(LENH_GOC!E111="","",LENH_GOC!E111))</f>
        <v/>
      </c>
      <c r="P110" t="str">
        <f>IF($K110="","",IF(LENH_GOC!F111="","",LENH_GOC!F111))</f>
        <v/>
      </c>
      <c r="Q110" t="str">
        <f>IFERROR(IF($K110="","",IF(LENH_GOC!P111="","",IFERROR(VALUE(LENH_GOC!P111),IF(OR(LENH_GOC!P111=TRUE,UPPER(TRIM(LENH_GOC!P111))="TRUE"),1,0)))),"")</f>
        <v/>
      </c>
      <c r="R110" t="str">
        <f>IF($K110="","",IF(LENH_GOC!Q111="","",LENH_GOC!Q111))</f>
        <v/>
      </c>
      <c r="S110" s="43" t="str">
        <f>IF($K110="","",IF(LENH_GOC!R111="","",LENH_GOC!R111))</f>
        <v/>
      </c>
      <c r="T110">
        <f>IFERROR(IF($K110="",0,IF(AND(ISNUMBER($N110),INT($N110)=CAI_DAT!$B$4,LEFT(UPPER(TRIM($L110)),2)=LEFT(UPPER(TRIM(CAI_DAT!$B$5)),2),$Q110=1,OR(AND($M110="SO",ISNUMBER($P110),$P110&gt;0),AND($M110="MO",ISNUMBER($O110),$O110&gt;0))),1,0)),0)</f>
        <v>0</v>
      </c>
      <c r="U110" t="str">
        <f t="shared" si="21"/>
        <v/>
      </c>
      <c r="V110" t="str">
        <f t="shared" si="22"/>
        <v/>
      </c>
      <c r="W110" t="str">
        <f>IFERROR(IF($T110=0,"",COUNTIFS($T$3:$T$202,1,$V$3:$V$202,"&lt;"&amp;$V110)+COUNTIFS($T$3:$T110,1,$V$3:$V110,$V110)),"")</f>
        <v/>
      </c>
      <c r="X110" t="str">
        <f t="shared" si="23"/>
        <v/>
      </c>
    </row>
    <row r="111" spans="1:24">
      <c r="J111" t="str">
        <f>IF(LENH_GOC!A112="","",112)</f>
        <v/>
      </c>
      <c r="K111" t="str">
        <f>IF(LENH_GOC!A112="","",LENH_GOC!A112)</f>
        <v/>
      </c>
      <c r="L111" t="str">
        <f>IF($K111="","",IFERROR(TRIM(LENH_GOC!C112),""))</f>
        <v/>
      </c>
      <c r="M111" t="str">
        <f>IF($K111="","",IFERROR(UPPER(TRIM(LENH_GOC!Y112)),""))</f>
        <v/>
      </c>
      <c r="N111" s="43" t="str">
        <f>IFERROR(IF($K111="","",IF(LENH_GOC!G112="","",IF(ISNUMBER(LENH_GOC!G112),LENH_GOC!G112,DATE(VALUE(MID(LENH_GOC!G112,7,4)),VALUE(MID(LENH_GOC!G112,4,2)),VALUE(LEFT(LENH_GOC!G112,2)))+TIME(VALUE(MID(LENH_GOC!G112,12,2)),VALUE(MID(LENH_GOC!G112,15,2)),VALUE(MID(LENH_GOC!G112,18,2)))))), "")</f>
        <v/>
      </c>
      <c r="O111" t="str">
        <f>IF($K111="","",IF(LENH_GOC!E112="","",LENH_GOC!E112))</f>
        <v/>
      </c>
      <c r="P111" t="str">
        <f>IF($K111="","",IF(LENH_GOC!F112="","",LENH_GOC!F112))</f>
        <v/>
      </c>
      <c r="Q111" t="str">
        <f>IFERROR(IF($K111="","",IF(LENH_GOC!P112="","",IFERROR(VALUE(LENH_GOC!P112),IF(OR(LENH_GOC!P112=TRUE,UPPER(TRIM(LENH_GOC!P112))="TRUE"),1,0)))),"")</f>
        <v/>
      </c>
      <c r="R111" t="str">
        <f>IF($K111="","",IF(LENH_GOC!Q112="","",LENH_GOC!Q112))</f>
        <v/>
      </c>
      <c r="S111" s="43" t="str">
        <f>IF($K111="","",IF(LENH_GOC!R112="","",LENH_GOC!R112))</f>
        <v/>
      </c>
      <c r="T111">
        <f>IFERROR(IF($K111="",0,IF(AND(ISNUMBER($N111),INT($N111)=CAI_DAT!$B$4,LEFT(UPPER(TRIM($L111)),2)=LEFT(UPPER(TRIM(CAI_DAT!$B$5)),2),$Q111=1,OR(AND($M111="SO",ISNUMBER($P111),$P111&gt;0),AND($M111="MO",ISNUMBER($O111),$O111&gt;0))),1,0)),0)</f>
        <v>0</v>
      </c>
      <c r="U111" t="str">
        <f t="shared" si="21"/>
        <v/>
      </c>
      <c r="V111" t="str">
        <f t="shared" si="22"/>
        <v/>
      </c>
      <c r="W111" t="str">
        <f>IFERROR(IF($T111=0,"",COUNTIFS($T$3:$T$202,1,$V$3:$V$202,"&lt;"&amp;$V111)+COUNTIFS($T$3:$T111,1,$V$3:$V111,$V111)),"")</f>
        <v/>
      </c>
      <c r="X111" t="str">
        <f t="shared" si="23"/>
        <v/>
      </c>
    </row>
    <row r="112" spans="1:24">
      <c r="J112" t="str">
        <f>IF(LENH_GOC!A113="","",113)</f>
        <v/>
      </c>
      <c r="K112" t="str">
        <f>IF(LENH_GOC!A113="","",LENH_GOC!A113)</f>
        <v/>
      </c>
      <c r="L112" t="str">
        <f>IF($K112="","",IFERROR(TRIM(LENH_GOC!C113),""))</f>
        <v/>
      </c>
      <c r="M112" t="str">
        <f>IF($K112="","",IFERROR(UPPER(TRIM(LENH_GOC!Y113)),""))</f>
        <v/>
      </c>
      <c r="N112" s="43" t="str">
        <f>IFERROR(IF($K112="","",IF(LENH_GOC!G113="","",IF(ISNUMBER(LENH_GOC!G113),LENH_GOC!G113,DATE(VALUE(MID(LENH_GOC!G113,7,4)),VALUE(MID(LENH_GOC!G113,4,2)),VALUE(LEFT(LENH_GOC!G113,2)))+TIME(VALUE(MID(LENH_GOC!G113,12,2)),VALUE(MID(LENH_GOC!G113,15,2)),VALUE(MID(LENH_GOC!G113,18,2)))))), "")</f>
        <v/>
      </c>
      <c r="O112" t="str">
        <f>IF($K112="","",IF(LENH_GOC!E113="","",LENH_GOC!E113))</f>
        <v/>
      </c>
      <c r="P112" t="str">
        <f>IF($K112="","",IF(LENH_GOC!F113="","",LENH_GOC!F113))</f>
        <v/>
      </c>
      <c r="Q112" t="str">
        <f>IFERROR(IF($K112="","",IF(LENH_GOC!P113="","",IFERROR(VALUE(LENH_GOC!P113),IF(OR(LENH_GOC!P113=TRUE,UPPER(TRIM(LENH_GOC!P113))="TRUE"),1,0)))),"")</f>
        <v/>
      </c>
      <c r="R112" t="str">
        <f>IF($K112="","",IF(LENH_GOC!Q113="","",LENH_GOC!Q113))</f>
        <v/>
      </c>
      <c r="S112" s="43" t="str">
        <f>IF($K112="","",IF(LENH_GOC!R113="","",LENH_GOC!R113))</f>
        <v/>
      </c>
      <c r="T112">
        <f>IFERROR(IF($K112="",0,IF(AND(ISNUMBER($N112),INT($N112)=CAI_DAT!$B$4,LEFT(UPPER(TRIM($L112)),2)=LEFT(UPPER(TRIM(CAI_DAT!$B$5)),2),$Q112=1,OR(AND($M112="SO",ISNUMBER($P112),$P112&gt;0),AND($M112="MO",ISNUMBER($O112),$O112&gt;0))),1,0)),0)</f>
        <v>0</v>
      </c>
      <c r="U112" t="str">
        <f t="shared" si="21"/>
        <v/>
      </c>
      <c r="V112" t="str">
        <f t="shared" si="22"/>
        <v/>
      </c>
      <c r="W112" t="str">
        <f>IFERROR(IF($T112=0,"",COUNTIFS($T$3:$T$202,1,$V$3:$V$202,"&lt;"&amp;$V112)+COUNTIFS($T$3:$T112,1,$V$3:$V112,$V112)),"")</f>
        <v/>
      </c>
      <c r="X112" t="str">
        <f t="shared" si="23"/>
        <v/>
      </c>
    </row>
    <row r="113" spans="10:24">
      <c r="J113" t="str">
        <f>IF(LENH_GOC!A114="","",114)</f>
        <v/>
      </c>
      <c r="K113" t="str">
        <f>IF(LENH_GOC!A114="","",LENH_GOC!A114)</f>
        <v/>
      </c>
      <c r="L113" t="str">
        <f>IF($K113="","",IFERROR(TRIM(LENH_GOC!C114),""))</f>
        <v/>
      </c>
      <c r="M113" t="str">
        <f>IF($K113="","",IFERROR(UPPER(TRIM(LENH_GOC!Y114)),""))</f>
        <v/>
      </c>
      <c r="N113" s="43" t="str">
        <f>IFERROR(IF($K113="","",IF(LENH_GOC!G114="","",IF(ISNUMBER(LENH_GOC!G114),LENH_GOC!G114,DATE(VALUE(MID(LENH_GOC!G114,7,4)),VALUE(MID(LENH_GOC!G114,4,2)),VALUE(LEFT(LENH_GOC!G114,2)))+TIME(VALUE(MID(LENH_GOC!G114,12,2)),VALUE(MID(LENH_GOC!G114,15,2)),VALUE(MID(LENH_GOC!G114,18,2)))))), "")</f>
        <v/>
      </c>
      <c r="O113" t="str">
        <f>IF($K113="","",IF(LENH_GOC!E114="","",LENH_GOC!E114))</f>
        <v/>
      </c>
      <c r="P113" t="str">
        <f>IF($K113="","",IF(LENH_GOC!F114="","",LENH_GOC!F114))</f>
        <v/>
      </c>
      <c r="Q113" t="str">
        <f>IFERROR(IF($K113="","",IF(LENH_GOC!P114="","",IFERROR(VALUE(LENH_GOC!P114),IF(OR(LENH_GOC!P114=TRUE,UPPER(TRIM(LENH_GOC!P114))="TRUE"),1,0)))),"")</f>
        <v/>
      </c>
      <c r="R113" t="str">
        <f>IF($K113="","",IF(LENH_GOC!Q114="","",LENH_GOC!Q114))</f>
        <v/>
      </c>
      <c r="S113" s="43" t="str">
        <f>IF($K113="","",IF(LENH_GOC!R114="","",LENH_GOC!R114))</f>
        <v/>
      </c>
      <c r="T113">
        <f>IFERROR(IF($K113="",0,IF(AND(ISNUMBER($N113),INT($N113)=CAI_DAT!$B$4,LEFT(UPPER(TRIM($L113)),2)=LEFT(UPPER(TRIM(CAI_DAT!$B$5)),2),$Q113=1,OR(AND($M113="SO",ISNUMBER($P113),$P113&gt;0),AND($M113="MO",ISNUMBER($O113),$O113&gt;0))),1,0)),0)</f>
        <v>0</v>
      </c>
      <c r="U113" t="str">
        <f t="shared" si="21"/>
        <v/>
      </c>
      <c r="V113" t="str">
        <f t="shared" si="22"/>
        <v/>
      </c>
      <c r="W113" t="str">
        <f>IFERROR(IF($T113=0,"",COUNTIFS($T$3:$T$202,1,$V$3:$V$202,"&lt;"&amp;$V113)+COUNTIFS($T$3:$T113,1,$V$3:$V113,$V113)),"")</f>
        <v/>
      </c>
      <c r="X113" t="str">
        <f t="shared" si="23"/>
        <v/>
      </c>
    </row>
    <row r="114" spans="10:24">
      <c r="J114" t="str">
        <f>IF(LENH_GOC!A115="","",115)</f>
        <v/>
      </c>
      <c r="K114" t="str">
        <f>IF(LENH_GOC!A115="","",LENH_GOC!A115)</f>
        <v/>
      </c>
      <c r="L114" t="str">
        <f>IF($K114="","",IFERROR(TRIM(LENH_GOC!C115),""))</f>
        <v/>
      </c>
      <c r="M114" t="str">
        <f>IF($K114="","",IFERROR(UPPER(TRIM(LENH_GOC!Y115)),""))</f>
        <v/>
      </c>
      <c r="N114" s="43" t="str">
        <f>IFERROR(IF($K114="","",IF(LENH_GOC!G115="","",IF(ISNUMBER(LENH_GOC!G115),LENH_GOC!G115,DATE(VALUE(MID(LENH_GOC!G115,7,4)),VALUE(MID(LENH_GOC!G115,4,2)),VALUE(LEFT(LENH_GOC!G115,2)))+TIME(VALUE(MID(LENH_GOC!G115,12,2)),VALUE(MID(LENH_GOC!G115,15,2)),VALUE(MID(LENH_GOC!G115,18,2)))))), "")</f>
        <v/>
      </c>
      <c r="O114" t="str">
        <f>IF($K114="","",IF(LENH_GOC!E115="","",LENH_GOC!E115))</f>
        <v/>
      </c>
      <c r="P114" t="str">
        <f>IF($K114="","",IF(LENH_GOC!F115="","",LENH_GOC!F115))</f>
        <v/>
      </c>
      <c r="Q114" t="str">
        <f>IFERROR(IF($K114="","",IF(LENH_GOC!P115="","",IFERROR(VALUE(LENH_GOC!P115),IF(OR(LENH_GOC!P115=TRUE,UPPER(TRIM(LENH_GOC!P115))="TRUE"),1,0)))),"")</f>
        <v/>
      </c>
      <c r="R114" t="str">
        <f>IF($K114="","",IF(LENH_GOC!Q115="","",LENH_GOC!Q115))</f>
        <v/>
      </c>
      <c r="S114" s="43" t="str">
        <f>IF($K114="","",IF(LENH_GOC!R115="","",LENH_GOC!R115))</f>
        <v/>
      </c>
      <c r="T114">
        <f>IFERROR(IF($K114="",0,IF(AND(ISNUMBER($N114),INT($N114)=CAI_DAT!$B$4,LEFT(UPPER(TRIM($L114)),2)=LEFT(UPPER(TRIM(CAI_DAT!$B$5)),2),$Q114=1,OR(AND($M114="SO",ISNUMBER($P114),$P114&gt;0),AND($M114="MO",ISNUMBER($O114),$O114&gt;0))),1,0)),0)</f>
        <v>0</v>
      </c>
      <c r="U114" t="str">
        <f t="shared" si="21"/>
        <v/>
      </c>
      <c r="V114" t="str">
        <f t="shared" si="22"/>
        <v/>
      </c>
      <c r="W114" t="str">
        <f>IFERROR(IF($T114=0,"",COUNTIFS($T$3:$T$202,1,$V$3:$V$202,"&lt;"&amp;$V114)+COUNTIFS($T$3:$T114,1,$V$3:$V114,$V114)),"")</f>
        <v/>
      </c>
      <c r="X114" t="str">
        <f t="shared" si="23"/>
        <v/>
      </c>
    </row>
    <row r="115" spans="10:24">
      <c r="J115" t="str">
        <f>IF(LENH_GOC!A116="","",116)</f>
        <v/>
      </c>
      <c r="K115" t="str">
        <f>IF(LENH_GOC!A116="","",LENH_GOC!A116)</f>
        <v/>
      </c>
      <c r="L115" t="str">
        <f>IF($K115="","",IFERROR(TRIM(LENH_GOC!C116),""))</f>
        <v/>
      </c>
      <c r="M115" t="str">
        <f>IF($K115="","",IFERROR(UPPER(TRIM(LENH_GOC!Y116)),""))</f>
        <v/>
      </c>
      <c r="N115" s="43" t="str">
        <f>IFERROR(IF($K115="","",IF(LENH_GOC!G116="","",IF(ISNUMBER(LENH_GOC!G116),LENH_GOC!G116,DATE(VALUE(MID(LENH_GOC!G116,7,4)),VALUE(MID(LENH_GOC!G116,4,2)),VALUE(LEFT(LENH_GOC!G116,2)))+TIME(VALUE(MID(LENH_GOC!G116,12,2)),VALUE(MID(LENH_GOC!G116,15,2)),VALUE(MID(LENH_GOC!G116,18,2)))))), "")</f>
        <v/>
      </c>
      <c r="O115" t="str">
        <f>IF($K115="","",IF(LENH_GOC!E116="","",LENH_GOC!E116))</f>
        <v/>
      </c>
      <c r="P115" t="str">
        <f>IF($K115="","",IF(LENH_GOC!F116="","",LENH_GOC!F116))</f>
        <v/>
      </c>
      <c r="Q115" t="str">
        <f>IFERROR(IF($K115="","",IF(LENH_GOC!P116="","",IFERROR(VALUE(LENH_GOC!P116),IF(OR(LENH_GOC!P116=TRUE,UPPER(TRIM(LENH_GOC!P116))="TRUE"),1,0)))),"")</f>
        <v/>
      </c>
      <c r="R115" t="str">
        <f>IF($K115="","",IF(LENH_GOC!Q116="","",LENH_GOC!Q116))</f>
        <v/>
      </c>
      <c r="S115" s="43" t="str">
        <f>IF($K115="","",IF(LENH_GOC!R116="","",LENH_GOC!R116))</f>
        <v/>
      </c>
      <c r="T115">
        <f>IFERROR(IF($K115="",0,IF(AND(ISNUMBER($N115),INT($N115)=CAI_DAT!$B$4,LEFT(UPPER(TRIM($L115)),2)=LEFT(UPPER(TRIM(CAI_DAT!$B$5)),2),$Q115=1,OR(AND($M115="SO",ISNUMBER($P115),$P115&gt;0),AND($M115="MO",ISNUMBER($O115),$O115&gt;0))),1,0)),0)</f>
        <v>0</v>
      </c>
      <c r="U115" t="str">
        <f t="shared" si="21"/>
        <v/>
      </c>
      <c r="V115" t="str">
        <f t="shared" si="22"/>
        <v/>
      </c>
      <c r="W115" t="str">
        <f>IFERROR(IF($T115=0,"",COUNTIFS($T$3:$T$202,1,$V$3:$V$202,"&lt;"&amp;$V115)+COUNTIFS($T$3:$T115,1,$V$3:$V115,$V115)),"")</f>
        <v/>
      </c>
      <c r="X115" t="str">
        <f t="shared" si="23"/>
        <v/>
      </c>
    </row>
    <row r="116" spans="10:24">
      <c r="J116" t="str">
        <f>IF(LENH_GOC!A117="","",117)</f>
        <v/>
      </c>
      <c r="K116" t="str">
        <f>IF(LENH_GOC!A117="","",LENH_GOC!A117)</f>
        <v/>
      </c>
      <c r="L116" t="str">
        <f>IF($K116="","",IFERROR(TRIM(LENH_GOC!C117),""))</f>
        <v/>
      </c>
      <c r="M116" t="str">
        <f>IF($K116="","",IFERROR(UPPER(TRIM(LENH_GOC!Y117)),""))</f>
        <v/>
      </c>
      <c r="N116" s="43" t="str">
        <f>IFERROR(IF($K116="","",IF(LENH_GOC!G117="","",IF(ISNUMBER(LENH_GOC!G117),LENH_GOC!G117,DATE(VALUE(MID(LENH_GOC!G117,7,4)),VALUE(MID(LENH_GOC!G117,4,2)),VALUE(LEFT(LENH_GOC!G117,2)))+TIME(VALUE(MID(LENH_GOC!G117,12,2)),VALUE(MID(LENH_GOC!G117,15,2)),VALUE(MID(LENH_GOC!G117,18,2)))))), "")</f>
        <v/>
      </c>
      <c r="O116" t="str">
        <f>IF($K116="","",IF(LENH_GOC!E117="","",LENH_GOC!E117))</f>
        <v/>
      </c>
      <c r="P116" t="str">
        <f>IF($K116="","",IF(LENH_GOC!F117="","",LENH_GOC!F117))</f>
        <v/>
      </c>
      <c r="Q116" t="str">
        <f>IFERROR(IF($K116="","",IF(LENH_GOC!P117="","",IFERROR(VALUE(LENH_GOC!P117),IF(OR(LENH_GOC!P117=TRUE,UPPER(TRIM(LENH_GOC!P117))="TRUE"),1,0)))),"")</f>
        <v/>
      </c>
      <c r="R116" t="str">
        <f>IF($K116="","",IF(LENH_GOC!Q117="","",LENH_GOC!Q117))</f>
        <v/>
      </c>
      <c r="S116" s="43" t="str">
        <f>IF($K116="","",IF(LENH_GOC!R117="","",LENH_GOC!R117))</f>
        <v/>
      </c>
      <c r="T116">
        <f>IFERROR(IF($K116="",0,IF(AND(ISNUMBER($N116),INT($N116)=CAI_DAT!$B$4,LEFT(UPPER(TRIM($L116)),2)=LEFT(UPPER(TRIM(CAI_DAT!$B$5)),2),$Q116=1,OR(AND($M116="SO",ISNUMBER($P116),$P116&gt;0),AND($M116="MO",ISNUMBER($O116),$O116&gt;0))),1,0)),0)</f>
        <v>0</v>
      </c>
      <c r="U116" t="str">
        <f t="shared" si="21"/>
        <v/>
      </c>
      <c r="V116" t="str">
        <f t="shared" si="22"/>
        <v/>
      </c>
      <c r="W116" t="str">
        <f>IFERROR(IF($T116=0,"",COUNTIFS($T$3:$T$202,1,$V$3:$V$202,"&lt;"&amp;$V116)+COUNTIFS($T$3:$T116,1,$V$3:$V116,$V116)),"")</f>
        <v/>
      </c>
      <c r="X116" t="str">
        <f t="shared" si="23"/>
        <v/>
      </c>
    </row>
    <row r="117" spans="10:24">
      <c r="J117" t="str">
        <f>IF(LENH_GOC!A118="","",118)</f>
        <v/>
      </c>
      <c r="K117" t="str">
        <f>IF(LENH_GOC!A118="","",LENH_GOC!A118)</f>
        <v/>
      </c>
      <c r="L117" t="str">
        <f>IF($K117="","",IFERROR(TRIM(LENH_GOC!C118),""))</f>
        <v/>
      </c>
      <c r="M117" t="str">
        <f>IF($K117="","",IFERROR(UPPER(TRIM(LENH_GOC!Y118)),""))</f>
        <v/>
      </c>
      <c r="N117" s="43" t="str">
        <f>IFERROR(IF($K117="","",IF(LENH_GOC!G118="","",IF(ISNUMBER(LENH_GOC!G118),LENH_GOC!G118,DATE(VALUE(MID(LENH_GOC!G118,7,4)),VALUE(MID(LENH_GOC!G118,4,2)),VALUE(LEFT(LENH_GOC!G118,2)))+TIME(VALUE(MID(LENH_GOC!G118,12,2)),VALUE(MID(LENH_GOC!G118,15,2)),VALUE(MID(LENH_GOC!G118,18,2)))))), "")</f>
        <v/>
      </c>
      <c r="O117" t="str">
        <f>IF($K117="","",IF(LENH_GOC!E118="","",LENH_GOC!E118))</f>
        <v/>
      </c>
      <c r="P117" t="str">
        <f>IF($K117="","",IF(LENH_GOC!F118="","",LENH_GOC!F118))</f>
        <v/>
      </c>
      <c r="Q117" t="str">
        <f>IFERROR(IF($K117="","",IF(LENH_GOC!P118="","",IFERROR(VALUE(LENH_GOC!P118),IF(OR(LENH_GOC!P118=TRUE,UPPER(TRIM(LENH_GOC!P118))="TRUE"),1,0)))),"")</f>
        <v/>
      </c>
      <c r="R117" t="str">
        <f>IF($K117="","",IF(LENH_GOC!Q118="","",LENH_GOC!Q118))</f>
        <v/>
      </c>
      <c r="S117" s="43" t="str">
        <f>IF($K117="","",IF(LENH_GOC!R118="","",LENH_GOC!R118))</f>
        <v/>
      </c>
      <c r="T117">
        <f>IFERROR(IF($K117="",0,IF(AND(ISNUMBER($N117),INT($N117)=CAI_DAT!$B$4,LEFT(UPPER(TRIM($L117)),2)=LEFT(UPPER(TRIM(CAI_DAT!$B$5)),2),$Q117=1,OR(AND($M117="SO",ISNUMBER($P117),$P117&gt;0),AND($M117="MO",ISNUMBER($O117),$O117&gt;0))),1,0)),0)</f>
        <v>0</v>
      </c>
      <c r="U117" t="str">
        <f t="shared" si="21"/>
        <v/>
      </c>
      <c r="V117" t="str">
        <f t="shared" si="22"/>
        <v/>
      </c>
      <c r="W117" t="str">
        <f>IFERROR(IF($T117=0,"",COUNTIFS($T$3:$T$202,1,$V$3:$V$202,"&lt;"&amp;$V117)+COUNTIFS($T$3:$T117,1,$V$3:$V117,$V117)),"")</f>
        <v/>
      </c>
      <c r="X117" t="str">
        <f t="shared" si="23"/>
        <v/>
      </c>
    </row>
    <row r="118" spans="10:24">
      <c r="J118" t="str">
        <f>IF(LENH_GOC!A119="","",119)</f>
        <v/>
      </c>
      <c r="K118" t="str">
        <f>IF(LENH_GOC!A119="","",LENH_GOC!A119)</f>
        <v/>
      </c>
      <c r="L118" t="str">
        <f>IF($K118="","",IFERROR(TRIM(LENH_GOC!C119),""))</f>
        <v/>
      </c>
      <c r="M118" t="str">
        <f>IF($K118="","",IFERROR(UPPER(TRIM(LENH_GOC!Y119)),""))</f>
        <v/>
      </c>
      <c r="N118" s="43" t="str">
        <f>IFERROR(IF($K118="","",IF(LENH_GOC!G119="","",IF(ISNUMBER(LENH_GOC!G119),LENH_GOC!G119,DATE(VALUE(MID(LENH_GOC!G119,7,4)),VALUE(MID(LENH_GOC!G119,4,2)),VALUE(LEFT(LENH_GOC!G119,2)))+TIME(VALUE(MID(LENH_GOC!G119,12,2)),VALUE(MID(LENH_GOC!G119,15,2)),VALUE(MID(LENH_GOC!G119,18,2)))))), "")</f>
        <v/>
      </c>
      <c r="O118" t="str">
        <f>IF($K118="","",IF(LENH_GOC!E119="","",LENH_GOC!E119))</f>
        <v/>
      </c>
      <c r="P118" t="str">
        <f>IF($K118="","",IF(LENH_GOC!F119="","",LENH_GOC!F119))</f>
        <v/>
      </c>
      <c r="Q118" t="str">
        <f>IFERROR(IF($K118="","",IF(LENH_GOC!P119="","",IFERROR(VALUE(LENH_GOC!P119),IF(OR(LENH_GOC!P119=TRUE,UPPER(TRIM(LENH_GOC!P119))="TRUE"),1,0)))),"")</f>
        <v/>
      </c>
      <c r="R118" t="str">
        <f>IF($K118="","",IF(LENH_GOC!Q119="","",LENH_GOC!Q119))</f>
        <v/>
      </c>
      <c r="S118" s="43" t="str">
        <f>IF($K118="","",IF(LENH_GOC!R119="","",LENH_GOC!R119))</f>
        <v/>
      </c>
      <c r="T118">
        <f>IFERROR(IF($K118="",0,IF(AND(ISNUMBER($N118),INT($N118)=CAI_DAT!$B$4,LEFT(UPPER(TRIM($L118)),2)=LEFT(UPPER(TRIM(CAI_DAT!$B$5)),2),$Q118=1,OR(AND($M118="SO",ISNUMBER($P118),$P118&gt;0),AND($M118="MO",ISNUMBER($O118),$O118&gt;0))),1,0)),0)</f>
        <v>0</v>
      </c>
      <c r="U118" t="str">
        <f t="shared" si="21"/>
        <v/>
      </c>
      <c r="V118" t="str">
        <f t="shared" si="22"/>
        <v/>
      </c>
      <c r="W118" t="str">
        <f>IFERROR(IF($T118=0,"",COUNTIFS($T$3:$T$202,1,$V$3:$V$202,"&lt;"&amp;$V118)+COUNTIFS($T$3:$T118,1,$V$3:$V118,$V118)),"")</f>
        <v/>
      </c>
      <c r="X118" t="str">
        <f t="shared" si="23"/>
        <v/>
      </c>
    </row>
    <row r="119" spans="10:24">
      <c r="J119" t="str">
        <f>IF(LENH_GOC!A120="","",120)</f>
        <v/>
      </c>
      <c r="K119" t="str">
        <f>IF(LENH_GOC!A120="","",LENH_GOC!A120)</f>
        <v/>
      </c>
      <c r="L119" t="str">
        <f>IF($K119="","",IFERROR(TRIM(LENH_GOC!C120),""))</f>
        <v/>
      </c>
      <c r="M119" t="str">
        <f>IF($K119="","",IFERROR(UPPER(TRIM(LENH_GOC!Y120)),""))</f>
        <v/>
      </c>
      <c r="N119" s="43" t="str">
        <f>IFERROR(IF($K119="","",IF(LENH_GOC!G120="","",IF(ISNUMBER(LENH_GOC!G120),LENH_GOC!G120,DATE(VALUE(MID(LENH_GOC!G120,7,4)),VALUE(MID(LENH_GOC!G120,4,2)),VALUE(LEFT(LENH_GOC!G120,2)))+TIME(VALUE(MID(LENH_GOC!G120,12,2)),VALUE(MID(LENH_GOC!G120,15,2)),VALUE(MID(LENH_GOC!G120,18,2)))))), "")</f>
        <v/>
      </c>
      <c r="O119" t="str">
        <f>IF($K119="","",IF(LENH_GOC!E120="","",LENH_GOC!E120))</f>
        <v/>
      </c>
      <c r="P119" t="str">
        <f>IF($K119="","",IF(LENH_GOC!F120="","",LENH_GOC!F120))</f>
        <v/>
      </c>
      <c r="Q119" t="str">
        <f>IFERROR(IF($K119="","",IF(LENH_GOC!P120="","",IFERROR(VALUE(LENH_GOC!P120),IF(OR(LENH_GOC!P120=TRUE,UPPER(TRIM(LENH_GOC!P120))="TRUE"),1,0)))),"")</f>
        <v/>
      </c>
      <c r="R119" t="str">
        <f>IF($K119="","",IF(LENH_GOC!Q120="","",LENH_GOC!Q120))</f>
        <v/>
      </c>
      <c r="S119" s="43" t="str">
        <f>IF($K119="","",IF(LENH_GOC!R120="","",LENH_GOC!R120))</f>
        <v/>
      </c>
      <c r="T119">
        <f>IFERROR(IF($K119="",0,IF(AND(ISNUMBER($N119),INT($N119)=CAI_DAT!$B$4,LEFT(UPPER(TRIM($L119)),2)=LEFT(UPPER(TRIM(CAI_DAT!$B$5)),2),$Q119=1,OR(AND($M119="SO",ISNUMBER($P119),$P119&gt;0),AND($M119="MO",ISNUMBER($O119),$O119&gt;0))),1,0)),0)</f>
        <v>0</v>
      </c>
      <c r="U119" t="str">
        <f t="shared" si="21"/>
        <v/>
      </c>
      <c r="V119" t="str">
        <f t="shared" si="22"/>
        <v/>
      </c>
      <c r="W119" t="str">
        <f>IFERROR(IF($T119=0,"",COUNTIFS($T$3:$T$202,1,$V$3:$V$202,"&lt;"&amp;$V119)+COUNTIFS($T$3:$T119,1,$V$3:$V119,$V119)),"")</f>
        <v/>
      </c>
      <c r="X119" t="str">
        <f t="shared" si="23"/>
        <v/>
      </c>
    </row>
    <row r="120" spans="10:24">
      <c r="J120" t="str">
        <f>IF(LENH_GOC!A121="","",121)</f>
        <v/>
      </c>
      <c r="K120" t="str">
        <f>IF(LENH_GOC!A121="","",LENH_GOC!A121)</f>
        <v/>
      </c>
      <c r="L120" t="str">
        <f>IF($K120="","",IFERROR(TRIM(LENH_GOC!C121),""))</f>
        <v/>
      </c>
      <c r="M120" t="str">
        <f>IF($K120="","",IFERROR(UPPER(TRIM(LENH_GOC!Y121)),""))</f>
        <v/>
      </c>
      <c r="N120" s="43" t="str">
        <f>IFERROR(IF($K120="","",IF(LENH_GOC!G121="","",IF(ISNUMBER(LENH_GOC!G121),LENH_GOC!G121,DATE(VALUE(MID(LENH_GOC!G121,7,4)),VALUE(MID(LENH_GOC!G121,4,2)),VALUE(LEFT(LENH_GOC!G121,2)))+TIME(VALUE(MID(LENH_GOC!G121,12,2)),VALUE(MID(LENH_GOC!G121,15,2)),VALUE(MID(LENH_GOC!G121,18,2)))))), "")</f>
        <v/>
      </c>
      <c r="O120" t="str">
        <f>IF($K120="","",IF(LENH_GOC!E121="","",LENH_GOC!E121))</f>
        <v/>
      </c>
      <c r="P120" t="str">
        <f>IF($K120="","",IF(LENH_GOC!F121="","",LENH_GOC!F121))</f>
        <v/>
      </c>
      <c r="Q120" t="str">
        <f>IFERROR(IF($K120="","",IF(LENH_GOC!P121="","",IFERROR(VALUE(LENH_GOC!P121),IF(OR(LENH_GOC!P121=TRUE,UPPER(TRIM(LENH_GOC!P121))="TRUE"),1,0)))),"")</f>
        <v/>
      </c>
      <c r="R120" t="str">
        <f>IF($K120="","",IF(LENH_GOC!Q121="","",LENH_GOC!Q121))</f>
        <v/>
      </c>
      <c r="S120" s="43" t="str">
        <f>IF($K120="","",IF(LENH_GOC!R121="","",LENH_GOC!R121))</f>
        <v/>
      </c>
      <c r="T120">
        <f>IFERROR(IF($K120="",0,IF(AND(ISNUMBER($N120),INT($N120)=CAI_DAT!$B$4,LEFT(UPPER(TRIM($L120)),2)=LEFT(UPPER(TRIM(CAI_DAT!$B$5)),2),$Q120=1,OR(AND($M120="SO",ISNUMBER($P120),$P120&gt;0),AND($M120="MO",ISNUMBER($O120),$O120&gt;0))),1,0)),0)</f>
        <v>0</v>
      </c>
      <c r="U120" t="str">
        <f t="shared" si="21"/>
        <v/>
      </c>
      <c r="V120" t="str">
        <f t="shared" si="22"/>
        <v/>
      </c>
      <c r="W120" t="str">
        <f>IFERROR(IF($T120=0,"",COUNTIFS($T$3:$T$202,1,$V$3:$V$202,"&lt;"&amp;$V120)+COUNTIFS($T$3:$T120,1,$V$3:$V120,$V120)),"")</f>
        <v/>
      </c>
      <c r="X120" t="str">
        <f t="shared" si="23"/>
        <v/>
      </c>
    </row>
    <row r="121" spans="10:24">
      <c r="J121" t="str">
        <f>IF(LENH_GOC!A122="","",122)</f>
        <v/>
      </c>
      <c r="K121" t="str">
        <f>IF(LENH_GOC!A122="","",LENH_GOC!A122)</f>
        <v/>
      </c>
      <c r="L121" t="str">
        <f>IF($K121="","",IFERROR(TRIM(LENH_GOC!C122),""))</f>
        <v/>
      </c>
      <c r="M121" t="str">
        <f>IF($K121="","",IFERROR(UPPER(TRIM(LENH_GOC!Y122)),""))</f>
        <v/>
      </c>
      <c r="N121" s="43" t="str">
        <f>IFERROR(IF($K121="","",IF(LENH_GOC!G122="","",IF(ISNUMBER(LENH_GOC!G122),LENH_GOC!G122,DATE(VALUE(MID(LENH_GOC!G122,7,4)),VALUE(MID(LENH_GOC!G122,4,2)),VALUE(LEFT(LENH_GOC!G122,2)))+TIME(VALUE(MID(LENH_GOC!G122,12,2)),VALUE(MID(LENH_GOC!G122,15,2)),VALUE(MID(LENH_GOC!G122,18,2)))))), "")</f>
        <v/>
      </c>
      <c r="O121" t="str">
        <f>IF($K121="","",IF(LENH_GOC!E122="","",LENH_GOC!E122))</f>
        <v/>
      </c>
      <c r="P121" t="str">
        <f>IF($K121="","",IF(LENH_GOC!F122="","",LENH_GOC!F122))</f>
        <v/>
      </c>
      <c r="Q121" t="str">
        <f>IFERROR(IF($K121="","",IF(LENH_GOC!P122="","",IFERROR(VALUE(LENH_GOC!P122),IF(OR(LENH_GOC!P122=TRUE,UPPER(TRIM(LENH_GOC!P122))="TRUE"),1,0)))),"")</f>
        <v/>
      </c>
      <c r="R121" t="str">
        <f>IF($K121="","",IF(LENH_GOC!Q122="","",LENH_GOC!Q122))</f>
        <v/>
      </c>
      <c r="S121" s="43" t="str">
        <f>IF($K121="","",IF(LENH_GOC!R122="","",LENH_GOC!R122))</f>
        <v/>
      </c>
      <c r="T121">
        <f>IFERROR(IF($K121="",0,IF(AND(ISNUMBER($N121),INT($N121)=CAI_DAT!$B$4,LEFT(UPPER(TRIM($L121)),2)=LEFT(UPPER(TRIM(CAI_DAT!$B$5)),2),$Q121=1,OR(AND($M121="SO",ISNUMBER($P121),$P121&gt;0),AND($M121="MO",ISNUMBER($O121),$O121&gt;0))),1,0)),0)</f>
        <v>0</v>
      </c>
      <c r="U121" t="str">
        <f t="shared" si="21"/>
        <v/>
      </c>
      <c r="V121" t="str">
        <f t="shared" si="22"/>
        <v/>
      </c>
      <c r="W121" t="str">
        <f>IFERROR(IF($T121=0,"",COUNTIFS($T$3:$T$202,1,$V$3:$V$202,"&lt;"&amp;$V121)+COUNTIFS($T$3:$T121,1,$V$3:$V121,$V121)),"")</f>
        <v/>
      </c>
      <c r="X121" t="str">
        <f t="shared" si="23"/>
        <v/>
      </c>
    </row>
    <row r="122" spans="10:24">
      <c r="J122" t="str">
        <f>IF(LENH_GOC!A123="","",123)</f>
        <v/>
      </c>
      <c r="K122" t="str">
        <f>IF(LENH_GOC!A123="","",LENH_GOC!A123)</f>
        <v/>
      </c>
      <c r="L122" t="str">
        <f>IF($K122="","",IFERROR(TRIM(LENH_GOC!C123),""))</f>
        <v/>
      </c>
      <c r="M122" t="str">
        <f>IF($K122="","",IFERROR(UPPER(TRIM(LENH_GOC!Y123)),""))</f>
        <v/>
      </c>
      <c r="N122" s="43" t="str">
        <f>IFERROR(IF($K122="","",IF(LENH_GOC!G123="","",IF(ISNUMBER(LENH_GOC!G123),LENH_GOC!G123,DATE(VALUE(MID(LENH_GOC!G123,7,4)),VALUE(MID(LENH_GOC!G123,4,2)),VALUE(LEFT(LENH_GOC!G123,2)))+TIME(VALUE(MID(LENH_GOC!G123,12,2)),VALUE(MID(LENH_GOC!G123,15,2)),VALUE(MID(LENH_GOC!G123,18,2)))))), "")</f>
        <v/>
      </c>
      <c r="O122" t="str">
        <f>IF($K122="","",IF(LENH_GOC!E123="","",LENH_GOC!E123))</f>
        <v/>
      </c>
      <c r="P122" t="str">
        <f>IF($K122="","",IF(LENH_GOC!F123="","",LENH_GOC!F123))</f>
        <v/>
      </c>
      <c r="Q122" t="str">
        <f>IFERROR(IF($K122="","",IF(LENH_GOC!P123="","",IFERROR(VALUE(LENH_GOC!P123),IF(OR(LENH_GOC!P123=TRUE,UPPER(TRIM(LENH_GOC!P123))="TRUE"),1,0)))),"")</f>
        <v/>
      </c>
      <c r="R122" t="str">
        <f>IF($K122="","",IF(LENH_GOC!Q123="","",LENH_GOC!Q123))</f>
        <v/>
      </c>
      <c r="S122" s="43" t="str">
        <f>IF($K122="","",IF(LENH_GOC!R123="","",LENH_GOC!R123))</f>
        <v/>
      </c>
      <c r="T122">
        <f>IFERROR(IF($K122="",0,IF(AND(ISNUMBER($N122),INT($N122)=CAI_DAT!$B$4,LEFT(UPPER(TRIM($L122)),2)=LEFT(UPPER(TRIM(CAI_DAT!$B$5)),2),$Q122=1,OR(AND($M122="SO",ISNUMBER($P122),$P122&gt;0),AND($M122="MO",ISNUMBER($O122),$O122&gt;0))),1,0)),0)</f>
        <v>0</v>
      </c>
      <c r="U122" t="str">
        <f t="shared" si="21"/>
        <v/>
      </c>
      <c r="V122" t="str">
        <f t="shared" si="22"/>
        <v/>
      </c>
      <c r="W122" t="str">
        <f>IFERROR(IF($T122=0,"",COUNTIFS($T$3:$T$202,1,$V$3:$V$202,"&lt;"&amp;$V122)+COUNTIFS($T$3:$T122,1,$V$3:$V122,$V122)),"")</f>
        <v/>
      </c>
      <c r="X122" t="str">
        <f t="shared" si="23"/>
        <v/>
      </c>
    </row>
    <row r="123" spans="10:24">
      <c r="J123" t="str">
        <f>IF(LENH_GOC!A124="","",124)</f>
        <v/>
      </c>
      <c r="K123" t="str">
        <f>IF(LENH_GOC!A124="","",LENH_GOC!A124)</f>
        <v/>
      </c>
      <c r="L123" t="str">
        <f>IF($K123="","",IFERROR(TRIM(LENH_GOC!C124),""))</f>
        <v/>
      </c>
      <c r="M123" t="str">
        <f>IF($K123="","",IFERROR(UPPER(TRIM(LENH_GOC!Y124)),""))</f>
        <v/>
      </c>
      <c r="N123" s="43" t="str">
        <f>IFERROR(IF($K123="","",IF(LENH_GOC!G124="","",IF(ISNUMBER(LENH_GOC!G124),LENH_GOC!G124,DATE(VALUE(MID(LENH_GOC!G124,7,4)),VALUE(MID(LENH_GOC!G124,4,2)),VALUE(LEFT(LENH_GOC!G124,2)))+TIME(VALUE(MID(LENH_GOC!G124,12,2)),VALUE(MID(LENH_GOC!G124,15,2)),VALUE(MID(LENH_GOC!G124,18,2)))))), "")</f>
        <v/>
      </c>
      <c r="O123" t="str">
        <f>IF($K123="","",IF(LENH_GOC!E124="","",LENH_GOC!E124))</f>
        <v/>
      </c>
      <c r="P123" t="str">
        <f>IF($K123="","",IF(LENH_GOC!F124="","",LENH_GOC!F124))</f>
        <v/>
      </c>
      <c r="Q123" t="str">
        <f>IFERROR(IF($K123="","",IF(LENH_GOC!P124="","",IFERROR(VALUE(LENH_GOC!P124),IF(OR(LENH_GOC!P124=TRUE,UPPER(TRIM(LENH_GOC!P124))="TRUE"),1,0)))),"")</f>
        <v/>
      </c>
      <c r="R123" t="str">
        <f>IF($K123="","",IF(LENH_GOC!Q124="","",LENH_GOC!Q124))</f>
        <v/>
      </c>
      <c r="S123" s="43" t="str">
        <f>IF($K123="","",IF(LENH_GOC!R124="","",LENH_GOC!R124))</f>
        <v/>
      </c>
      <c r="T123">
        <f>IFERROR(IF($K123="",0,IF(AND(ISNUMBER($N123),INT($N123)=CAI_DAT!$B$4,LEFT(UPPER(TRIM($L123)),2)=LEFT(UPPER(TRIM(CAI_DAT!$B$5)),2),$Q123=1,OR(AND($M123="SO",ISNUMBER($P123),$P123&gt;0),AND($M123="MO",ISNUMBER($O123),$O123&gt;0))),1,0)),0)</f>
        <v>0</v>
      </c>
      <c r="U123" t="str">
        <f t="shared" si="21"/>
        <v/>
      </c>
      <c r="V123" t="str">
        <f t="shared" si="22"/>
        <v/>
      </c>
      <c r="W123" t="str">
        <f>IFERROR(IF($T123=0,"",COUNTIFS($T$3:$T$202,1,$V$3:$V$202,"&lt;"&amp;$V123)+COUNTIFS($T$3:$T123,1,$V$3:$V123,$V123)),"")</f>
        <v/>
      </c>
      <c r="X123" t="str">
        <f t="shared" si="23"/>
        <v/>
      </c>
    </row>
    <row r="124" spans="10:24">
      <c r="J124" t="str">
        <f>IF(LENH_GOC!A125="","",125)</f>
        <v/>
      </c>
      <c r="K124" t="str">
        <f>IF(LENH_GOC!A125="","",LENH_GOC!A125)</f>
        <v/>
      </c>
      <c r="L124" t="str">
        <f>IF($K124="","",IFERROR(TRIM(LENH_GOC!C125),""))</f>
        <v/>
      </c>
      <c r="M124" t="str">
        <f>IF($K124="","",IFERROR(UPPER(TRIM(LENH_GOC!Y125)),""))</f>
        <v/>
      </c>
      <c r="N124" s="43" t="str">
        <f>IFERROR(IF($K124="","",IF(LENH_GOC!G125="","",IF(ISNUMBER(LENH_GOC!G125),LENH_GOC!G125,DATE(VALUE(MID(LENH_GOC!G125,7,4)),VALUE(MID(LENH_GOC!G125,4,2)),VALUE(LEFT(LENH_GOC!G125,2)))+TIME(VALUE(MID(LENH_GOC!G125,12,2)),VALUE(MID(LENH_GOC!G125,15,2)),VALUE(MID(LENH_GOC!G125,18,2)))))), "")</f>
        <v/>
      </c>
      <c r="O124" t="str">
        <f>IF($K124="","",IF(LENH_GOC!E125="","",LENH_GOC!E125))</f>
        <v/>
      </c>
      <c r="P124" t="str">
        <f>IF($K124="","",IF(LENH_GOC!F125="","",LENH_GOC!F125))</f>
        <v/>
      </c>
      <c r="Q124" t="str">
        <f>IFERROR(IF($K124="","",IF(LENH_GOC!P125="","",IFERROR(VALUE(LENH_GOC!P125),IF(OR(LENH_GOC!P125=TRUE,UPPER(TRIM(LENH_GOC!P125))="TRUE"),1,0)))),"")</f>
        <v/>
      </c>
      <c r="R124" t="str">
        <f>IF($K124="","",IF(LENH_GOC!Q125="","",LENH_GOC!Q125))</f>
        <v/>
      </c>
      <c r="S124" s="43" t="str">
        <f>IF($K124="","",IF(LENH_GOC!R125="","",LENH_GOC!R125))</f>
        <v/>
      </c>
      <c r="T124">
        <f>IFERROR(IF($K124="",0,IF(AND(ISNUMBER($N124),INT($N124)=CAI_DAT!$B$4,LEFT(UPPER(TRIM($L124)),2)=LEFT(UPPER(TRIM(CAI_DAT!$B$5)),2),$Q124=1,OR(AND($M124="SO",ISNUMBER($P124),$P124&gt;0),AND($M124="MO",ISNUMBER($O124),$O124&gt;0))),1,0)),0)</f>
        <v>0</v>
      </c>
      <c r="U124" t="str">
        <f t="shared" si="21"/>
        <v/>
      </c>
      <c r="V124" t="str">
        <f t="shared" si="22"/>
        <v/>
      </c>
      <c r="W124" t="str">
        <f>IFERROR(IF($T124=0,"",COUNTIFS($T$3:$T$202,1,$V$3:$V$202,"&lt;"&amp;$V124)+COUNTIFS($T$3:$T124,1,$V$3:$V124,$V124)),"")</f>
        <v/>
      </c>
      <c r="X124" t="str">
        <f t="shared" si="23"/>
        <v/>
      </c>
    </row>
    <row r="125" spans="10:24">
      <c r="J125" t="str">
        <f>IF(LENH_GOC!A126="","",126)</f>
        <v/>
      </c>
      <c r="K125" t="str">
        <f>IF(LENH_GOC!A126="","",LENH_GOC!A126)</f>
        <v/>
      </c>
      <c r="L125" t="str">
        <f>IF($K125="","",IFERROR(TRIM(LENH_GOC!C126),""))</f>
        <v/>
      </c>
      <c r="M125" t="str">
        <f>IF($K125="","",IFERROR(UPPER(TRIM(LENH_GOC!Y126)),""))</f>
        <v/>
      </c>
      <c r="N125" s="43" t="str">
        <f>IFERROR(IF($K125="","",IF(LENH_GOC!G126="","",IF(ISNUMBER(LENH_GOC!G126),LENH_GOC!G126,DATE(VALUE(MID(LENH_GOC!G126,7,4)),VALUE(MID(LENH_GOC!G126,4,2)),VALUE(LEFT(LENH_GOC!G126,2)))+TIME(VALUE(MID(LENH_GOC!G126,12,2)),VALUE(MID(LENH_GOC!G126,15,2)),VALUE(MID(LENH_GOC!G126,18,2)))))), "")</f>
        <v/>
      </c>
      <c r="O125" t="str">
        <f>IF($K125="","",IF(LENH_GOC!E126="","",LENH_GOC!E126))</f>
        <v/>
      </c>
      <c r="P125" t="str">
        <f>IF($K125="","",IF(LENH_GOC!F126="","",LENH_GOC!F126))</f>
        <v/>
      </c>
      <c r="Q125" t="str">
        <f>IFERROR(IF($K125="","",IF(LENH_GOC!P126="","",IFERROR(VALUE(LENH_GOC!P126),IF(OR(LENH_GOC!P126=TRUE,UPPER(TRIM(LENH_GOC!P126))="TRUE"),1,0)))),"")</f>
        <v/>
      </c>
      <c r="R125" t="str">
        <f>IF($K125="","",IF(LENH_GOC!Q126="","",LENH_GOC!Q126))</f>
        <v/>
      </c>
      <c r="S125" s="43" t="str">
        <f>IF($K125="","",IF(LENH_GOC!R126="","",LENH_GOC!R126))</f>
        <v/>
      </c>
      <c r="T125">
        <f>IFERROR(IF($K125="",0,IF(AND(ISNUMBER($N125),INT($N125)=CAI_DAT!$B$4,LEFT(UPPER(TRIM($L125)),2)=LEFT(UPPER(TRIM(CAI_DAT!$B$5)),2),$Q125=1,OR(AND($M125="SO",ISNUMBER($P125),$P125&gt;0),AND($M125="MO",ISNUMBER($O125),$O125&gt;0))),1,0)),0)</f>
        <v>0</v>
      </c>
      <c r="U125" t="str">
        <f t="shared" si="21"/>
        <v/>
      </c>
      <c r="V125" t="str">
        <f t="shared" si="22"/>
        <v/>
      </c>
      <c r="W125" t="str">
        <f>IFERROR(IF($T125=0,"",COUNTIFS($T$3:$T$202,1,$V$3:$V$202,"&lt;"&amp;$V125)+COUNTIFS($T$3:$T125,1,$V$3:$V125,$V125)),"")</f>
        <v/>
      </c>
      <c r="X125" t="str">
        <f t="shared" si="23"/>
        <v/>
      </c>
    </row>
    <row r="126" spans="10:24">
      <c r="J126" t="str">
        <f>IF(LENH_GOC!A127="","",127)</f>
        <v/>
      </c>
      <c r="K126" t="str">
        <f>IF(LENH_GOC!A127="","",LENH_GOC!A127)</f>
        <v/>
      </c>
      <c r="L126" t="str">
        <f>IF($K126="","",IFERROR(TRIM(LENH_GOC!C127),""))</f>
        <v/>
      </c>
      <c r="M126" t="str">
        <f>IF($K126="","",IFERROR(UPPER(TRIM(LENH_GOC!Y127)),""))</f>
        <v/>
      </c>
      <c r="N126" s="43" t="str">
        <f>IFERROR(IF($K126="","",IF(LENH_GOC!G127="","",IF(ISNUMBER(LENH_GOC!G127),LENH_GOC!G127,DATE(VALUE(MID(LENH_GOC!G127,7,4)),VALUE(MID(LENH_GOC!G127,4,2)),VALUE(LEFT(LENH_GOC!G127,2)))+TIME(VALUE(MID(LENH_GOC!G127,12,2)),VALUE(MID(LENH_GOC!G127,15,2)),VALUE(MID(LENH_GOC!G127,18,2)))))), "")</f>
        <v/>
      </c>
      <c r="O126" t="str">
        <f>IF($K126="","",IF(LENH_GOC!E127="","",LENH_GOC!E127))</f>
        <v/>
      </c>
      <c r="P126" t="str">
        <f>IF($K126="","",IF(LENH_GOC!F127="","",LENH_GOC!F127))</f>
        <v/>
      </c>
      <c r="Q126" t="str">
        <f>IFERROR(IF($K126="","",IF(LENH_GOC!P127="","",IFERROR(VALUE(LENH_GOC!P127),IF(OR(LENH_GOC!P127=TRUE,UPPER(TRIM(LENH_GOC!P127))="TRUE"),1,0)))),"")</f>
        <v/>
      </c>
      <c r="R126" t="str">
        <f>IF($K126="","",IF(LENH_GOC!Q127="","",LENH_GOC!Q127))</f>
        <v/>
      </c>
      <c r="S126" s="43" t="str">
        <f>IF($K126="","",IF(LENH_GOC!R127="","",LENH_GOC!R127))</f>
        <v/>
      </c>
      <c r="T126">
        <f>IFERROR(IF($K126="",0,IF(AND(ISNUMBER($N126),INT($N126)=CAI_DAT!$B$4,LEFT(UPPER(TRIM($L126)),2)=LEFT(UPPER(TRIM(CAI_DAT!$B$5)),2),$Q126=1,OR(AND($M126="SO",ISNUMBER($P126),$P126&gt;0),AND($M126="MO",ISNUMBER($O126),$O126&gt;0))),1,0)),0)</f>
        <v>0</v>
      </c>
      <c r="U126" t="str">
        <f t="shared" si="21"/>
        <v/>
      </c>
      <c r="V126" t="str">
        <f t="shared" si="22"/>
        <v/>
      </c>
      <c r="W126" t="str">
        <f>IFERROR(IF($T126=0,"",COUNTIFS($T$3:$T$202,1,$V$3:$V$202,"&lt;"&amp;$V126)+COUNTIFS($T$3:$T126,1,$V$3:$V126,$V126)),"")</f>
        <v/>
      </c>
      <c r="X126" t="str">
        <f t="shared" si="23"/>
        <v/>
      </c>
    </row>
    <row r="127" spans="10:24">
      <c r="J127" t="str">
        <f>IF(LENH_GOC!A128="","",128)</f>
        <v/>
      </c>
      <c r="K127" t="str">
        <f>IF(LENH_GOC!A128="","",LENH_GOC!A128)</f>
        <v/>
      </c>
      <c r="L127" t="str">
        <f>IF($K127="","",IFERROR(TRIM(LENH_GOC!C128),""))</f>
        <v/>
      </c>
      <c r="M127" t="str">
        <f>IF($K127="","",IFERROR(UPPER(TRIM(LENH_GOC!Y128)),""))</f>
        <v/>
      </c>
      <c r="N127" s="43" t="str">
        <f>IFERROR(IF($K127="","",IF(LENH_GOC!G128="","",IF(ISNUMBER(LENH_GOC!G128),LENH_GOC!G128,DATE(VALUE(MID(LENH_GOC!G128,7,4)),VALUE(MID(LENH_GOC!G128,4,2)),VALUE(LEFT(LENH_GOC!G128,2)))+TIME(VALUE(MID(LENH_GOC!G128,12,2)),VALUE(MID(LENH_GOC!G128,15,2)),VALUE(MID(LENH_GOC!G128,18,2)))))), "")</f>
        <v/>
      </c>
      <c r="O127" t="str">
        <f>IF($K127="","",IF(LENH_GOC!E128="","",LENH_GOC!E128))</f>
        <v/>
      </c>
      <c r="P127" t="str">
        <f>IF($K127="","",IF(LENH_GOC!F128="","",LENH_GOC!F128))</f>
        <v/>
      </c>
      <c r="Q127" t="str">
        <f>IFERROR(IF($K127="","",IF(LENH_GOC!P128="","",IFERROR(VALUE(LENH_GOC!P128),IF(OR(LENH_GOC!P128=TRUE,UPPER(TRIM(LENH_GOC!P128))="TRUE"),1,0)))),"")</f>
        <v/>
      </c>
      <c r="R127" t="str">
        <f>IF($K127="","",IF(LENH_GOC!Q128="","",LENH_GOC!Q128))</f>
        <v/>
      </c>
      <c r="S127" s="43" t="str">
        <f>IF($K127="","",IF(LENH_GOC!R128="","",LENH_GOC!R128))</f>
        <v/>
      </c>
      <c r="T127">
        <f>IFERROR(IF($K127="",0,IF(AND(ISNUMBER($N127),INT($N127)=CAI_DAT!$B$4,LEFT(UPPER(TRIM($L127)),2)=LEFT(UPPER(TRIM(CAI_DAT!$B$5)),2),$Q127=1,OR(AND($M127="SO",ISNUMBER($P127),$P127&gt;0),AND($M127="MO",ISNUMBER($O127),$O127&gt;0))),1,0)),0)</f>
        <v>0</v>
      </c>
      <c r="U127" t="str">
        <f t="shared" si="21"/>
        <v/>
      </c>
      <c r="V127" t="str">
        <f t="shared" si="22"/>
        <v/>
      </c>
      <c r="W127" t="str">
        <f>IFERROR(IF($T127=0,"",COUNTIFS($T$3:$T$202,1,$V$3:$V$202,"&lt;"&amp;$V127)+COUNTIFS($T$3:$T127,1,$V$3:$V127,$V127)),"")</f>
        <v/>
      </c>
      <c r="X127" t="str">
        <f t="shared" si="23"/>
        <v/>
      </c>
    </row>
    <row r="128" spans="10:24">
      <c r="J128" t="str">
        <f>IF(LENH_GOC!A129="","",129)</f>
        <v/>
      </c>
      <c r="K128" t="str">
        <f>IF(LENH_GOC!A129="","",LENH_GOC!A129)</f>
        <v/>
      </c>
      <c r="L128" t="str">
        <f>IF($K128="","",IFERROR(TRIM(LENH_GOC!C129),""))</f>
        <v/>
      </c>
      <c r="M128" t="str">
        <f>IF($K128="","",IFERROR(UPPER(TRIM(LENH_GOC!Y129)),""))</f>
        <v/>
      </c>
      <c r="N128" s="43" t="str">
        <f>IFERROR(IF($K128="","",IF(LENH_GOC!G129="","",IF(ISNUMBER(LENH_GOC!G129),LENH_GOC!G129,DATE(VALUE(MID(LENH_GOC!G129,7,4)),VALUE(MID(LENH_GOC!G129,4,2)),VALUE(LEFT(LENH_GOC!G129,2)))+TIME(VALUE(MID(LENH_GOC!G129,12,2)),VALUE(MID(LENH_GOC!G129,15,2)),VALUE(MID(LENH_GOC!G129,18,2)))))), "")</f>
        <v/>
      </c>
      <c r="O128" t="str">
        <f>IF($K128="","",IF(LENH_GOC!E129="","",LENH_GOC!E129))</f>
        <v/>
      </c>
      <c r="P128" t="str">
        <f>IF($K128="","",IF(LENH_GOC!F129="","",LENH_GOC!F129))</f>
        <v/>
      </c>
      <c r="Q128" t="str">
        <f>IFERROR(IF($K128="","",IF(LENH_GOC!P129="","",IFERROR(VALUE(LENH_GOC!P129),IF(OR(LENH_GOC!P129=TRUE,UPPER(TRIM(LENH_GOC!P129))="TRUE"),1,0)))),"")</f>
        <v/>
      </c>
      <c r="R128" t="str">
        <f>IF($K128="","",IF(LENH_GOC!Q129="","",LENH_GOC!Q129))</f>
        <v/>
      </c>
      <c r="S128" s="43" t="str">
        <f>IF($K128="","",IF(LENH_GOC!R129="","",LENH_GOC!R129))</f>
        <v/>
      </c>
      <c r="T128">
        <f>IFERROR(IF($K128="",0,IF(AND(ISNUMBER($N128),INT($N128)=CAI_DAT!$B$4,LEFT(UPPER(TRIM($L128)),2)=LEFT(UPPER(TRIM(CAI_DAT!$B$5)),2),$Q128=1,OR(AND($M128="SO",ISNUMBER($P128),$P128&gt;0),AND($M128="MO",ISNUMBER($O128),$O128&gt;0))),1,0)),0)</f>
        <v>0</v>
      </c>
      <c r="U128" t="str">
        <f t="shared" si="21"/>
        <v/>
      </c>
      <c r="V128" t="str">
        <f t="shared" si="22"/>
        <v/>
      </c>
      <c r="W128" t="str">
        <f>IFERROR(IF($T128=0,"",COUNTIFS($T$3:$T$202,1,$V$3:$V$202,"&lt;"&amp;$V128)+COUNTIFS($T$3:$T128,1,$V$3:$V128,$V128)),"")</f>
        <v/>
      </c>
      <c r="X128" t="str">
        <f t="shared" si="23"/>
        <v/>
      </c>
    </row>
    <row r="129" spans="10:24">
      <c r="J129" t="str">
        <f>IF(LENH_GOC!A130="","",130)</f>
        <v/>
      </c>
      <c r="K129" t="str">
        <f>IF(LENH_GOC!A130="","",LENH_GOC!A130)</f>
        <v/>
      </c>
      <c r="L129" t="str">
        <f>IF($K129="","",IFERROR(TRIM(LENH_GOC!C130),""))</f>
        <v/>
      </c>
      <c r="M129" t="str">
        <f>IF($K129="","",IFERROR(UPPER(TRIM(LENH_GOC!Y130)),""))</f>
        <v/>
      </c>
      <c r="N129" s="43" t="str">
        <f>IFERROR(IF($K129="","",IF(LENH_GOC!G130="","",IF(ISNUMBER(LENH_GOC!G130),LENH_GOC!G130,DATE(VALUE(MID(LENH_GOC!G130,7,4)),VALUE(MID(LENH_GOC!G130,4,2)),VALUE(LEFT(LENH_GOC!G130,2)))+TIME(VALUE(MID(LENH_GOC!G130,12,2)),VALUE(MID(LENH_GOC!G130,15,2)),VALUE(MID(LENH_GOC!G130,18,2)))))), "")</f>
        <v/>
      </c>
      <c r="O129" t="str">
        <f>IF($K129="","",IF(LENH_GOC!E130="","",LENH_GOC!E130))</f>
        <v/>
      </c>
      <c r="P129" t="str">
        <f>IF($K129="","",IF(LENH_GOC!F130="","",LENH_GOC!F130))</f>
        <v/>
      </c>
      <c r="Q129" t="str">
        <f>IFERROR(IF($K129="","",IF(LENH_GOC!P130="","",IFERROR(VALUE(LENH_GOC!P130),IF(OR(LENH_GOC!P130=TRUE,UPPER(TRIM(LENH_GOC!P130))="TRUE"),1,0)))),"")</f>
        <v/>
      </c>
      <c r="R129" t="str">
        <f>IF($K129="","",IF(LENH_GOC!Q130="","",LENH_GOC!Q130))</f>
        <v/>
      </c>
      <c r="S129" s="43" t="str">
        <f>IF($K129="","",IF(LENH_GOC!R130="","",LENH_GOC!R130))</f>
        <v/>
      </c>
      <c r="T129">
        <f>IFERROR(IF($K129="",0,IF(AND(ISNUMBER($N129),INT($N129)=CAI_DAT!$B$4,LEFT(UPPER(TRIM($L129)),2)=LEFT(UPPER(TRIM(CAI_DAT!$B$5)),2),$Q129=1,OR(AND($M129="SO",ISNUMBER($P129),$P129&gt;0),AND($M129="MO",ISNUMBER($O129),$O129&gt;0))),1,0)),0)</f>
        <v>0</v>
      </c>
      <c r="U129" t="str">
        <f t="shared" si="21"/>
        <v/>
      </c>
      <c r="V129" t="str">
        <f t="shared" si="22"/>
        <v/>
      </c>
      <c r="W129" t="str">
        <f>IFERROR(IF($T129=0,"",COUNTIFS($T$3:$T$202,1,$V$3:$V$202,"&lt;"&amp;$V129)+COUNTIFS($T$3:$T129,1,$V$3:$V129,$V129)),"")</f>
        <v/>
      </c>
      <c r="X129" t="str">
        <f t="shared" si="23"/>
        <v/>
      </c>
    </row>
    <row r="130" spans="10:24">
      <c r="J130" t="str">
        <f>IF(LENH_GOC!A131="","",131)</f>
        <v/>
      </c>
      <c r="K130" t="str">
        <f>IF(LENH_GOC!A131="","",LENH_GOC!A131)</f>
        <v/>
      </c>
      <c r="L130" t="str">
        <f>IF($K130="","",IFERROR(TRIM(LENH_GOC!C131),""))</f>
        <v/>
      </c>
      <c r="M130" t="str">
        <f>IF($K130="","",IFERROR(UPPER(TRIM(LENH_GOC!Y131)),""))</f>
        <v/>
      </c>
      <c r="N130" s="43" t="str">
        <f>IFERROR(IF($K130="","",IF(LENH_GOC!G131="","",IF(ISNUMBER(LENH_GOC!G131),LENH_GOC!G131,DATE(VALUE(MID(LENH_GOC!G131,7,4)),VALUE(MID(LENH_GOC!G131,4,2)),VALUE(LEFT(LENH_GOC!G131,2)))+TIME(VALUE(MID(LENH_GOC!G131,12,2)),VALUE(MID(LENH_GOC!G131,15,2)),VALUE(MID(LENH_GOC!G131,18,2)))))), "")</f>
        <v/>
      </c>
      <c r="O130" t="str">
        <f>IF($K130="","",IF(LENH_GOC!E131="","",LENH_GOC!E131))</f>
        <v/>
      </c>
      <c r="P130" t="str">
        <f>IF($K130="","",IF(LENH_GOC!F131="","",LENH_GOC!F131))</f>
        <v/>
      </c>
      <c r="Q130" t="str">
        <f>IFERROR(IF($K130="","",IF(LENH_GOC!P131="","",IFERROR(VALUE(LENH_GOC!P131),IF(OR(LENH_GOC!P131=TRUE,UPPER(TRIM(LENH_GOC!P131))="TRUE"),1,0)))),"")</f>
        <v/>
      </c>
      <c r="R130" t="str">
        <f>IF($K130="","",IF(LENH_GOC!Q131="","",LENH_GOC!Q131))</f>
        <v/>
      </c>
      <c r="S130" s="43" t="str">
        <f>IF($K130="","",IF(LENH_GOC!R131="","",LENH_GOC!R131))</f>
        <v/>
      </c>
      <c r="T130">
        <f>IFERROR(IF($K130="",0,IF(AND(ISNUMBER($N130),INT($N130)=CAI_DAT!$B$4,LEFT(UPPER(TRIM($L130)),2)=LEFT(UPPER(TRIM(CAI_DAT!$B$5)),2),$Q130=1,OR(AND($M130="SO",ISNUMBER($P130),$P130&gt;0),AND($M130="MO",ISNUMBER($O130),$O130&gt;0))),1,0)),0)</f>
        <v>0</v>
      </c>
      <c r="U130" t="str">
        <f t="shared" si="21"/>
        <v/>
      </c>
      <c r="V130" t="str">
        <f t="shared" si="22"/>
        <v/>
      </c>
      <c r="W130" t="str">
        <f>IFERROR(IF($T130=0,"",COUNTIFS($T$3:$T$202,1,$V$3:$V$202,"&lt;"&amp;$V130)+COUNTIFS($T$3:$T130,1,$V$3:$V130,$V130)),"")</f>
        <v/>
      </c>
      <c r="X130" t="str">
        <f t="shared" si="23"/>
        <v/>
      </c>
    </row>
    <row r="131" spans="10:24">
      <c r="J131" t="str">
        <f>IF(LENH_GOC!A132="","",132)</f>
        <v/>
      </c>
      <c r="K131" t="str">
        <f>IF(LENH_GOC!A132="","",LENH_GOC!A132)</f>
        <v/>
      </c>
      <c r="L131" t="str">
        <f>IF($K131="","",IFERROR(TRIM(LENH_GOC!C132),""))</f>
        <v/>
      </c>
      <c r="M131" t="str">
        <f>IF($K131="","",IFERROR(UPPER(TRIM(LENH_GOC!Y132)),""))</f>
        <v/>
      </c>
      <c r="N131" s="43" t="str">
        <f>IFERROR(IF($K131="","",IF(LENH_GOC!G132="","",IF(ISNUMBER(LENH_GOC!G132),LENH_GOC!G132,DATE(VALUE(MID(LENH_GOC!G132,7,4)),VALUE(MID(LENH_GOC!G132,4,2)),VALUE(LEFT(LENH_GOC!G132,2)))+TIME(VALUE(MID(LENH_GOC!G132,12,2)),VALUE(MID(LENH_GOC!G132,15,2)),VALUE(MID(LENH_GOC!G132,18,2)))))), "")</f>
        <v/>
      </c>
      <c r="O131" t="str">
        <f>IF($K131="","",IF(LENH_GOC!E132="","",LENH_GOC!E132))</f>
        <v/>
      </c>
      <c r="P131" t="str">
        <f>IF($K131="","",IF(LENH_GOC!F132="","",LENH_GOC!F132))</f>
        <v/>
      </c>
      <c r="Q131" t="str">
        <f>IFERROR(IF($K131="","",IF(LENH_GOC!P132="","",IFERROR(VALUE(LENH_GOC!P132),IF(OR(LENH_GOC!P132=TRUE,UPPER(TRIM(LENH_GOC!P132))="TRUE"),1,0)))),"")</f>
        <v/>
      </c>
      <c r="R131" t="str">
        <f>IF($K131="","",IF(LENH_GOC!Q132="","",LENH_GOC!Q132))</f>
        <v/>
      </c>
      <c r="S131" s="43" t="str">
        <f>IF($K131="","",IF(LENH_GOC!R132="","",LENH_GOC!R132))</f>
        <v/>
      </c>
      <c r="T131">
        <f>IFERROR(IF($K131="",0,IF(AND(ISNUMBER($N131),INT($N131)=CAI_DAT!$B$4,LEFT(UPPER(TRIM($L131)),2)=LEFT(UPPER(TRIM(CAI_DAT!$B$5)),2),$Q131=1,OR(AND($M131="SO",ISNUMBER($P131),$P131&gt;0),AND($M131="MO",ISNUMBER($O131),$O131&gt;0))),1,0)),0)</f>
        <v>0</v>
      </c>
      <c r="U131" t="str">
        <f t="shared" ref="U131:U162" si="24">IFERROR(IF($T131=0,"",IF($M131="SO",$P131,IF(AND($M131="MO",OR($R131=TRUE,$R131="TRUE"),ISNUMBER($P131),$P131&gt;0),$P131,$O131))),"")</f>
        <v/>
      </c>
      <c r="V131" t="str">
        <f t="shared" ref="V131:V162" si="25">IFERROR(IF($T131=0,"",MOD($N131,1)*86400),"")</f>
        <v/>
      </c>
      <c r="W131" t="str">
        <f>IFERROR(IF($T131=0,"",COUNTIFS($T$3:$T$202,1,$V$3:$V$202,"&lt;"&amp;$V131)+COUNTIFS($T$3:$T131,1,$V$3:$V131,$V131)),"")</f>
        <v/>
      </c>
      <c r="X131" t="str">
        <f t="shared" ref="X131:X162" si="26">IFERROR(IF($T131=0,"",IF($M131="SO","SO: dùng CS hoàn thành",IF(AND($M131="MO",OR($R131=TRUE,$R131="TRUE"),ISNUMBER($P131),$P131&gt;0),"MO dừng sớm: dùng CS hoàn thành","MO: dùng CS ra lệnh"))),"")</f>
        <v/>
      </c>
    </row>
    <row r="132" spans="10:24">
      <c r="J132" t="str">
        <f>IF(LENH_GOC!A133="","",133)</f>
        <v/>
      </c>
      <c r="K132" t="str">
        <f>IF(LENH_GOC!A133="","",LENH_GOC!A133)</f>
        <v/>
      </c>
      <c r="L132" t="str">
        <f>IF($K132="","",IFERROR(TRIM(LENH_GOC!C133),""))</f>
        <v/>
      </c>
      <c r="M132" t="str">
        <f>IF($K132="","",IFERROR(UPPER(TRIM(LENH_GOC!Y133)),""))</f>
        <v/>
      </c>
      <c r="N132" s="43" t="str">
        <f>IFERROR(IF($K132="","",IF(LENH_GOC!G133="","",IF(ISNUMBER(LENH_GOC!G133),LENH_GOC!G133,DATE(VALUE(MID(LENH_GOC!G133,7,4)),VALUE(MID(LENH_GOC!G133,4,2)),VALUE(LEFT(LENH_GOC!G133,2)))+TIME(VALUE(MID(LENH_GOC!G133,12,2)),VALUE(MID(LENH_GOC!G133,15,2)),VALUE(MID(LENH_GOC!G133,18,2)))))), "")</f>
        <v/>
      </c>
      <c r="O132" t="str">
        <f>IF($K132="","",IF(LENH_GOC!E133="","",LENH_GOC!E133))</f>
        <v/>
      </c>
      <c r="P132" t="str">
        <f>IF($K132="","",IF(LENH_GOC!F133="","",LENH_GOC!F133))</f>
        <v/>
      </c>
      <c r="Q132" t="str">
        <f>IFERROR(IF($K132="","",IF(LENH_GOC!P133="","",IFERROR(VALUE(LENH_GOC!P133),IF(OR(LENH_GOC!P133=TRUE,UPPER(TRIM(LENH_GOC!P133))="TRUE"),1,0)))),"")</f>
        <v/>
      </c>
      <c r="R132" t="str">
        <f>IF($K132="","",IF(LENH_GOC!Q133="","",LENH_GOC!Q133))</f>
        <v/>
      </c>
      <c r="S132" s="43" t="str">
        <f>IF($K132="","",IF(LENH_GOC!R133="","",LENH_GOC!R133))</f>
        <v/>
      </c>
      <c r="T132">
        <f>IFERROR(IF($K132="",0,IF(AND(ISNUMBER($N132),INT($N132)=CAI_DAT!$B$4,LEFT(UPPER(TRIM($L132)),2)=LEFT(UPPER(TRIM(CAI_DAT!$B$5)),2),$Q132=1,OR(AND($M132="SO",ISNUMBER($P132),$P132&gt;0),AND($M132="MO",ISNUMBER($O132),$O132&gt;0))),1,0)),0)</f>
        <v>0</v>
      </c>
      <c r="U132" t="str">
        <f t="shared" si="24"/>
        <v/>
      </c>
      <c r="V132" t="str">
        <f t="shared" si="25"/>
        <v/>
      </c>
      <c r="W132" t="str">
        <f>IFERROR(IF($T132=0,"",COUNTIFS($T$3:$T$202,1,$V$3:$V$202,"&lt;"&amp;$V132)+COUNTIFS($T$3:$T132,1,$V$3:$V132,$V132)),"")</f>
        <v/>
      </c>
      <c r="X132" t="str">
        <f t="shared" si="26"/>
        <v/>
      </c>
    </row>
    <row r="133" spans="10:24">
      <c r="J133" t="str">
        <f>IF(LENH_GOC!A134="","",134)</f>
        <v/>
      </c>
      <c r="K133" t="str">
        <f>IF(LENH_GOC!A134="","",LENH_GOC!A134)</f>
        <v/>
      </c>
      <c r="L133" t="str">
        <f>IF($K133="","",IFERROR(TRIM(LENH_GOC!C134),""))</f>
        <v/>
      </c>
      <c r="M133" t="str">
        <f>IF($K133="","",IFERROR(UPPER(TRIM(LENH_GOC!Y134)),""))</f>
        <v/>
      </c>
      <c r="N133" s="43" t="str">
        <f>IFERROR(IF($K133="","",IF(LENH_GOC!G134="","",IF(ISNUMBER(LENH_GOC!G134),LENH_GOC!G134,DATE(VALUE(MID(LENH_GOC!G134,7,4)),VALUE(MID(LENH_GOC!G134,4,2)),VALUE(LEFT(LENH_GOC!G134,2)))+TIME(VALUE(MID(LENH_GOC!G134,12,2)),VALUE(MID(LENH_GOC!G134,15,2)),VALUE(MID(LENH_GOC!G134,18,2)))))), "")</f>
        <v/>
      </c>
      <c r="O133" t="str">
        <f>IF($K133="","",IF(LENH_GOC!E134="","",LENH_GOC!E134))</f>
        <v/>
      </c>
      <c r="P133" t="str">
        <f>IF($K133="","",IF(LENH_GOC!F134="","",LENH_GOC!F134))</f>
        <v/>
      </c>
      <c r="Q133" t="str">
        <f>IFERROR(IF($K133="","",IF(LENH_GOC!P134="","",IFERROR(VALUE(LENH_GOC!P134),IF(OR(LENH_GOC!P134=TRUE,UPPER(TRIM(LENH_GOC!P134))="TRUE"),1,0)))),"")</f>
        <v/>
      </c>
      <c r="R133" t="str">
        <f>IF($K133="","",IF(LENH_GOC!Q134="","",LENH_GOC!Q134))</f>
        <v/>
      </c>
      <c r="S133" s="43" t="str">
        <f>IF($K133="","",IF(LENH_GOC!R134="","",LENH_GOC!R134))</f>
        <v/>
      </c>
      <c r="T133">
        <f>IFERROR(IF($K133="",0,IF(AND(ISNUMBER($N133),INT($N133)=CAI_DAT!$B$4,LEFT(UPPER(TRIM($L133)),2)=LEFT(UPPER(TRIM(CAI_DAT!$B$5)),2),$Q133=1,OR(AND($M133="SO",ISNUMBER($P133),$P133&gt;0),AND($M133="MO",ISNUMBER($O133),$O133&gt;0))),1,0)),0)</f>
        <v>0</v>
      </c>
      <c r="U133" t="str">
        <f t="shared" si="24"/>
        <v/>
      </c>
      <c r="V133" t="str">
        <f t="shared" si="25"/>
        <v/>
      </c>
      <c r="W133" t="str">
        <f>IFERROR(IF($T133=0,"",COUNTIFS($T$3:$T$202,1,$V$3:$V$202,"&lt;"&amp;$V133)+COUNTIFS($T$3:$T133,1,$V$3:$V133,$V133)),"")</f>
        <v/>
      </c>
      <c r="X133" t="str">
        <f t="shared" si="26"/>
        <v/>
      </c>
    </row>
    <row r="134" spans="10:24">
      <c r="J134" t="str">
        <f>IF(LENH_GOC!A135="","",135)</f>
        <v/>
      </c>
      <c r="K134" t="str">
        <f>IF(LENH_GOC!A135="","",LENH_GOC!A135)</f>
        <v/>
      </c>
      <c r="L134" t="str">
        <f>IF($K134="","",IFERROR(TRIM(LENH_GOC!C135),""))</f>
        <v/>
      </c>
      <c r="M134" t="str">
        <f>IF($K134="","",IFERROR(UPPER(TRIM(LENH_GOC!Y135)),""))</f>
        <v/>
      </c>
      <c r="N134" s="43" t="str">
        <f>IFERROR(IF($K134="","",IF(LENH_GOC!G135="","",IF(ISNUMBER(LENH_GOC!G135),LENH_GOC!G135,DATE(VALUE(MID(LENH_GOC!G135,7,4)),VALUE(MID(LENH_GOC!G135,4,2)),VALUE(LEFT(LENH_GOC!G135,2)))+TIME(VALUE(MID(LENH_GOC!G135,12,2)),VALUE(MID(LENH_GOC!G135,15,2)),VALUE(MID(LENH_GOC!G135,18,2)))))), "")</f>
        <v/>
      </c>
      <c r="O134" t="str">
        <f>IF($K134="","",IF(LENH_GOC!E135="","",LENH_GOC!E135))</f>
        <v/>
      </c>
      <c r="P134" t="str">
        <f>IF($K134="","",IF(LENH_GOC!F135="","",LENH_GOC!F135))</f>
        <v/>
      </c>
      <c r="Q134" t="str">
        <f>IFERROR(IF($K134="","",IF(LENH_GOC!P135="","",IFERROR(VALUE(LENH_GOC!P135),IF(OR(LENH_GOC!P135=TRUE,UPPER(TRIM(LENH_GOC!P135))="TRUE"),1,0)))),"")</f>
        <v/>
      </c>
      <c r="R134" t="str">
        <f>IF($K134="","",IF(LENH_GOC!Q135="","",LENH_GOC!Q135))</f>
        <v/>
      </c>
      <c r="S134" s="43" t="str">
        <f>IF($K134="","",IF(LENH_GOC!R135="","",LENH_GOC!R135))</f>
        <v/>
      </c>
      <c r="T134">
        <f>IFERROR(IF($K134="",0,IF(AND(ISNUMBER($N134),INT($N134)=CAI_DAT!$B$4,LEFT(UPPER(TRIM($L134)),2)=LEFT(UPPER(TRIM(CAI_DAT!$B$5)),2),$Q134=1,OR(AND($M134="SO",ISNUMBER($P134),$P134&gt;0),AND($M134="MO",ISNUMBER($O134),$O134&gt;0))),1,0)),0)</f>
        <v>0</v>
      </c>
      <c r="U134" t="str">
        <f t="shared" si="24"/>
        <v/>
      </c>
      <c r="V134" t="str">
        <f t="shared" si="25"/>
        <v/>
      </c>
      <c r="W134" t="str">
        <f>IFERROR(IF($T134=0,"",COUNTIFS($T$3:$T$202,1,$V$3:$V$202,"&lt;"&amp;$V134)+COUNTIFS($T$3:$T134,1,$V$3:$V134,$V134)),"")</f>
        <v/>
      </c>
      <c r="X134" t="str">
        <f t="shared" si="26"/>
        <v/>
      </c>
    </row>
    <row r="135" spans="10:24">
      <c r="J135" t="str">
        <f>IF(LENH_GOC!A136="","",136)</f>
        <v/>
      </c>
      <c r="K135" t="str">
        <f>IF(LENH_GOC!A136="","",LENH_GOC!A136)</f>
        <v/>
      </c>
      <c r="L135" t="str">
        <f>IF($K135="","",IFERROR(TRIM(LENH_GOC!C136),""))</f>
        <v/>
      </c>
      <c r="M135" t="str">
        <f>IF($K135="","",IFERROR(UPPER(TRIM(LENH_GOC!Y136)),""))</f>
        <v/>
      </c>
      <c r="N135" s="43" t="str">
        <f>IFERROR(IF($K135="","",IF(LENH_GOC!G136="","",IF(ISNUMBER(LENH_GOC!G136),LENH_GOC!G136,DATE(VALUE(MID(LENH_GOC!G136,7,4)),VALUE(MID(LENH_GOC!G136,4,2)),VALUE(LEFT(LENH_GOC!G136,2)))+TIME(VALUE(MID(LENH_GOC!G136,12,2)),VALUE(MID(LENH_GOC!G136,15,2)),VALUE(MID(LENH_GOC!G136,18,2)))))), "")</f>
        <v/>
      </c>
      <c r="O135" t="str">
        <f>IF($K135="","",IF(LENH_GOC!E136="","",LENH_GOC!E136))</f>
        <v/>
      </c>
      <c r="P135" t="str">
        <f>IF($K135="","",IF(LENH_GOC!F136="","",LENH_GOC!F136))</f>
        <v/>
      </c>
      <c r="Q135" t="str">
        <f>IFERROR(IF($K135="","",IF(LENH_GOC!P136="","",IFERROR(VALUE(LENH_GOC!P136),IF(OR(LENH_GOC!P136=TRUE,UPPER(TRIM(LENH_GOC!P136))="TRUE"),1,0)))),"")</f>
        <v/>
      </c>
      <c r="R135" t="str">
        <f>IF($K135="","",IF(LENH_GOC!Q136="","",LENH_GOC!Q136))</f>
        <v/>
      </c>
      <c r="S135" s="43" t="str">
        <f>IF($K135="","",IF(LENH_GOC!R136="","",LENH_GOC!R136))</f>
        <v/>
      </c>
      <c r="T135">
        <f>IFERROR(IF($K135="",0,IF(AND(ISNUMBER($N135),INT($N135)=CAI_DAT!$B$4,LEFT(UPPER(TRIM($L135)),2)=LEFT(UPPER(TRIM(CAI_DAT!$B$5)),2),$Q135=1,OR(AND($M135="SO",ISNUMBER($P135),$P135&gt;0),AND($M135="MO",ISNUMBER($O135),$O135&gt;0))),1,0)),0)</f>
        <v>0</v>
      </c>
      <c r="U135" t="str">
        <f t="shared" si="24"/>
        <v/>
      </c>
      <c r="V135" t="str">
        <f t="shared" si="25"/>
        <v/>
      </c>
      <c r="W135" t="str">
        <f>IFERROR(IF($T135=0,"",COUNTIFS($T$3:$T$202,1,$V$3:$V$202,"&lt;"&amp;$V135)+COUNTIFS($T$3:$T135,1,$V$3:$V135,$V135)),"")</f>
        <v/>
      </c>
      <c r="X135" t="str">
        <f t="shared" si="26"/>
        <v/>
      </c>
    </row>
    <row r="136" spans="10:24">
      <c r="J136" t="str">
        <f>IF(LENH_GOC!A137="","",137)</f>
        <v/>
      </c>
      <c r="K136" t="str">
        <f>IF(LENH_GOC!A137="","",LENH_GOC!A137)</f>
        <v/>
      </c>
      <c r="L136" t="str">
        <f>IF($K136="","",IFERROR(TRIM(LENH_GOC!C137),""))</f>
        <v/>
      </c>
      <c r="M136" t="str">
        <f>IF($K136="","",IFERROR(UPPER(TRIM(LENH_GOC!Y137)),""))</f>
        <v/>
      </c>
      <c r="N136" s="43" t="str">
        <f>IFERROR(IF($K136="","",IF(LENH_GOC!G137="","",IF(ISNUMBER(LENH_GOC!G137),LENH_GOC!G137,DATE(VALUE(MID(LENH_GOC!G137,7,4)),VALUE(MID(LENH_GOC!G137,4,2)),VALUE(LEFT(LENH_GOC!G137,2)))+TIME(VALUE(MID(LENH_GOC!G137,12,2)),VALUE(MID(LENH_GOC!G137,15,2)),VALUE(MID(LENH_GOC!G137,18,2)))))), "")</f>
        <v/>
      </c>
      <c r="O136" t="str">
        <f>IF($K136="","",IF(LENH_GOC!E137="","",LENH_GOC!E137))</f>
        <v/>
      </c>
      <c r="P136" t="str">
        <f>IF($K136="","",IF(LENH_GOC!F137="","",LENH_GOC!F137))</f>
        <v/>
      </c>
      <c r="Q136" t="str">
        <f>IFERROR(IF($K136="","",IF(LENH_GOC!P137="","",IFERROR(VALUE(LENH_GOC!P137),IF(OR(LENH_GOC!P137=TRUE,UPPER(TRIM(LENH_GOC!P137))="TRUE"),1,0)))),"")</f>
        <v/>
      </c>
      <c r="R136" t="str">
        <f>IF($K136="","",IF(LENH_GOC!Q137="","",LENH_GOC!Q137))</f>
        <v/>
      </c>
      <c r="S136" s="43" t="str">
        <f>IF($K136="","",IF(LENH_GOC!R137="","",LENH_GOC!R137))</f>
        <v/>
      </c>
      <c r="T136">
        <f>IFERROR(IF($K136="",0,IF(AND(ISNUMBER($N136),INT($N136)=CAI_DAT!$B$4,LEFT(UPPER(TRIM($L136)),2)=LEFT(UPPER(TRIM(CAI_DAT!$B$5)),2),$Q136=1,OR(AND($M136="SO",ISNUMBER($P136),$P136&gt;0),AND($M136="MO",ISNUMBER($O136),$O136&gt;0))),1,0)),0)</f>
        <v>0</v>
      </c>
      <c r="U136" t="str">
        <f t="shared" si="24"/>
        <v/>
      </c>
      <c r="V136" t="str">
        <f t="shared" si="25"/>
        <v/>
      </c>
      <c r="W136" t="str">
        <f>IFERROR(IF($T136=0,"",COUNTIFS($T$3:$T$202,1,$V$3:$V$202,"&lt;"&amp;$V136)+COUNTIFS($T$3:$T136,1,$V$3:$V136,$V136)),"")</f>
        <v/>
      </c>
      <c r="X136" t="str">
        <f t="shared" si="26"/>
        <v/>
      </c>
    </row>
    <row r="137" spans="10:24">
      <c r="J137" t="str">
        <f>IF(LENH_GOC!A138="","",138)</f>
        <v/>
      </c>
      <c r="K137" t="str">
        <f>IF(LENH_GOC!A138="","",LENH_GOC!A138)</f>
        <v/>
      </c>
      <c r="L137" t="str">
        <f>IF($K137="","",IFERROR(TRIM(LENH_GOC!C138),""))</f>
        <v/>
      </c>
      <c r="M137" t="str">
        <f>IF($K137="","",IFERROR(UPPER(TRIM(LENH_GOC!Y138)),""))</f>
        <v/>
      </c>
      <c r="N137" s="43" t="str">
        <f>IFERROR(IF($K137="","",IF(LENH_GOC!G138="","",IF(ISNUMBER(LENH_GOC!G138),LENH_GOC!G138,DATE(VALUE(MID(LENH_GOC!G138,7,4)),VALUE(MID(LENH_GOC!G138,4,2)),VALUE(LEFT(LENH_GOC!G138,2)))+TIME(VALUE(MID(LENH_GOC!G138,12,2)),VALUE(MID(LENH_GOC!G138,15,2)),VALUE(MID(LENH_GOC!G138,18,2)))))), "")</f>
        <v/>
      </c>
      <c r="O137" t="str">
        <f>IF($K137="","",IF(LENH_GOC!E138="","",LENH_GOC!E138))</f>
        <v/>
      </c>
      <c r="P137" t="str">
        <f>IF($K137="","",IF(LENH_GOC!F138="","",LENH_GOC!F138))</f>
        <v/>
      </c>
      <c r="Q137" t="str">
        <f>IFERROR(IF($K137="","",IF(LENH_GOC!P138="","",IFERROR(VALUE(LENH_GOC!P138),IF(OR(LENH_GOC!P138=TRUE,UPPER(TRIM(LENH_GOC!P138))="TRUE"),1,0)))),"")</f>
        <v/>
      </c>
      <c r="R137" t="str">
        <f>IF($K137="","",IF(LENH_GOC!Q138="","",LENH_GOC!Q138))</f>
        <v/>
      </c>
      <c r="S137" s="43" t="str">
        <f>IF($K137="","",IF(LENH_GOC!R138="","",LENH_GOC!R138))</f>
        <v/>
      </c>
      <c r="T137">
        <f>IFERROR(IF($K137="",0,IF(AND(ISNUMBER($N137),INT($N137)=CAI_DAT!$B$4,LEFT(UPPER(TRIM($L137)),2)=LEFT(UPPER(TRIM(CAI_DAT!$B$5)),2),$Q137=1,OR(AND($M137="SO",ISNUMBER($P137),$P137&gt;0),AND($M137="MO",ISNUMBER($O137),$O137&gt;0))),1,0)),0)</f>
        <v>0</v>
      </c>
      <c r="U137" t="str">
        <f t="shared" si="24"/>
        <v/>
      </c>
      <c r="V137" t="str">
        <f t="shared" si="25"/>
        <v/>
      </c>
      <c r="W137" t="str">
        <f>IFERROR(IF($T137=0,"",COUNTIFS($T$3:$T$202,1,$V$3:$V$202,"&lt;"&amp;$V137)+COUNTIFS($T$3:$T137,1,$V$3:$V137,$V137)),"")</f>
        <v/>
      </c>
      <c r="X137" t="str">
        <f t="shared" si="26"/>
        <v/>
      </c>
    </row>
    <row r="138" spans="10:24">
      <c r="J138" t="str">
        <f>IF(LENH_GOC!A139="","",139)</f>
        <v/>
      </c>
      <c r="K138" t="str">
        <f>IF(LENH_GOC!A139="","",LENH_GOC!A139)</f>
        <v/>
      </c>
      <c r="L138" t="str">
        <f>IF($K138="","",IFERROR(TRIM(LENH_GOC!C139),""))</f>
        <v/>
      </c>
      <c r="M138" t="str">
        <f>IF($K138="","",IFERROR(UPPER(TRIM(LENH_GOC!Y139)),""))</f>
        <v/>
      </c>
      <c r="N138" s="43" t="str">
        <f>IFERROR(IF($K138="","",IF(LENH_GOC!G139="","",IF(ISNUMBER(LENH_GOC!G139),LENH_GOC!G139,DATE(VALUE(MID(LENH_GOC!G139,7,4)),VALUE(MID(LENH_GOC!G139,4,2)),VALUE(LEFT(LENH_GOC!G139,2)))+TIME(VALUE(MID(LENH_GOC!G139,12,2)),VALUE(MID(LENH_GOC!G139,15,2)),VALUE(MID(LENH_GOC!G139,18,2)))))), "")</f>
        <v/>
      </c>
      <c r="O138" t="str">
        <f>IF($K138="","",IF(LENH_GOC!E139="","",LENH_GOC!E139))</f>
        <v/>
      </c>
      <c r="P138" t="str">
        <f>IF($K138="","",IF(LENH_GOC!F139="","",LENH_GOC!F139))</f>
        <v/>
      </c>
      <c r="Q138" t="str">
        <f>IFERROR(IF($K138="","",IF(LENH_GOC!P139="","",IFERROR(VALUE(LENH_GOC!P139),IF(OR(LENH_GOC!P139=TRUE,UPPER(TRIM(LENH_GOC!P139))="TRUE"),1,0)))),"")</f>
        <v/>
      </c>
      <c r="R138" t="str">
        <f>IF($K138="","",IF(LENH_GOC!Q139="","",LENH_GOC!Q139))</f>
        <v/>
      </c>
      <c r="S138" s="43" t="str">
        <f>IF($K138="","",IF(LENH_GOC!R139="","",LENH_GOC!R139))</f>
        <v/>
      </c>
      <c r="T138">
        <f>IFERROR(IF($K138="",0,IF(AND(ISNUMBER($N138),INT($N138)=CAI_DAT!$B$4,LEFT(UPPER(TRIM($L138)),2)=LEFT(UPPER(TRIM(CAI_DAT!$B$5)),2),$Q138=1,OR(AND($M138="SO",ISNUMBER($P138),$P138&gt;0),AND($M138="MO",ISNUMBER($O138),$O138&gt;0))),1,0)),0)</f>
        <v>0</v>
      </c>
      <c r="U138" t="str">
        <f t="shared" si="24"/>
        <v/>
      </c>
      <c r="V138" t="str">
        <f t="shared" si="25"/>
        <v/>
      </c>
      <c r="W138" t="str">
        <f>IFERROR(IF($T138=0,"",COUNTIFS($T$3:$T$202,1,$V$3:$V$202,"&lt;"&amp;$V138)+COUNTIFS($T$3:$T138,1,$V$3:$V138,$V138)),"")</f>
        <v/>
      </c>
      <c r="X138" t="str">
        <f t="shared" si="26"/>
        <v/>
      </c>
    </row>
    <row r="139" spans="10:24">
      <c r="J139" t="str">
        <f>IF(LENH_GOC!A140="","",140)</f>
        <v/>
      </c>
      <c r="K139" t="str">
        <f>IF(LENH_GOC!A140="","",LENH_GOC!A140)</f>
        <v/>
      </c>
      <c r="L139" t="str">
        <f>IF($K139="","",IFERROR(TRIM(LENH_GOC!C140),""))</f>
        <v/>
      </c>
      <c r="M139" t="str">
        <f>IF($K139="","",IFERROR(UPPER(TRIM(LENH_GOC!Y140)),""))</f>
        <v/>
      </c>
      <c r="N139" s="43" t="str">
        <f>IFERROR(IF($K139="","",IF(LENH_GOC!G140="","",IF(ISNUMBER(LENH_GOC!G140),LENH_GOC!G140,DATE(VALUE(MID(LENH_GOC!G140,7,4)),VALUE(MID(LENH_GOC!G140,4,2)),VALUE(LEFT(LENH_GOC!G140,2)))+TIME(VALUE(MID(LENH_GOC!G140,12,2)),VALUE(MID(LENH_GOC!G140,15,2)),VALUE(MID(LENH_GOC!G140,18,2)))))), "")</f>
        <v/>
      </c>
      <c r="O139" t="str">
        <f>IF($K139="","",IF(LENH_GOC!E140="","",LENH_GOC!E140))</f>
        <v/>
      </c>
      <c r="P139" t="str">
        <f>IF($K139="","",IF(LENH_GOC!F140="","",LENH_GOC!F140))</f>
        <v/>
      </c>
      <c r="Q139" t="str">
        <f>IFERROR(IF($K139="","",IF(LENH_GOC!P140="","",IFERROR(VALUE(LENH_GOC!P140),IF(OR(LENH_GOC!P140=TRUE,UPPER(TRIM(LENH_GOC!P140))="TRUE"),1,0)))),"")</f>
        <v/>
      </c>
      <c r="R139" t="str">
        <f>IF($K139="","",IF(LENH_GOC!Q140="","",LENH_GOC!Q140))</f>
        <v/>
      </c>
      <c r="S139" s="43" t="str">
        <f>IF($K139="","",IF(LENH_GOC!R140="","",LENH_GOC!R140))</f>
        <v/>
      </c>
      <c r="T139">
        <f>IFERROR(IF($K139="",0,IF(AND(ISNUMBER($N139),INT($N139)=CAI_DAT!$B$4,LEFT(UPPER(TRIM($L139)),2)=LEFT(UPPER(TRIM(CAI_DAT!$B$5)),2),$Q139=1,OR(AND($M139="SO",ISNUMBER($P139),$P139&gt;0),AND($M139="MO",ISNUMBER($O139),$O139&gt;0))),1,0)),0)</f>
        <v>0</v>
      </c>
      <c r="U139" t="str">
        <f t="shared" si="24"/>
        <v/>
      </c>
      <c r="V139" t="str">
        <f t="shared" si="25"/>
        <v/>
      </c>
      <c r="W139" t="str">
        <f>IFERROR(IF($T139=0,"",COUNTIFS($T$3:$T$202,1,$V$3:$V$202,"&lt;"&amp;$V139)+COUNTIFS($T$3:$T139,1,$V$3:$V139,$V139)),"")</f>
        <v/>
      </c>
      <c r="X139" t="str">
        <f t="shared" si="26"/>
        <v/>
      </c>
    </row>
    <row r="140" spans="10:24">
      <c r="J140" t="str">
        <f>IF(LENH_GOC!A141="","",141)</f>
        <v/>
      </c>
      <c r="K140" t="str">
        <f>IF(LENH_GOC!A141="","",LENH_GOC!A141)</f>
        <v/>
      </c>
      <c r="L140" t="str">
        <f>IF($K140="","",IFERROR(TRIM(LENH_GOC!C141),""))</f>
        <v/>
      </c>
      <c r="M140" t="str">
        <f>IF($K140="","",IFERROR(UPPER(TRIM(LENH_GOC!Y141)),""))</f>
        <v/>
      </c>
      <c r="N140" s="43" t="str">
        <f>IFERROR(IF($K140="","",IF(LENH_GOC!G141="","",IF(ISNUMBER(LENH_GOC!G141),LENH_GOC!G141,DATE(VALUE(MID(LENH_GOC!G141,7,4)),VALUE(MID(LENH_GOC!G141,4,2)),VALUE(LEFT(LENH_GOC!G141,2)))+TIME(VALUE(MID(LENH_GOC!G141,12,2)),VALUE(MID(LENH_GOC!G141,15,2)),VALUE(MID(LENH_GOC!G141,18,2)))))), "")</f>
        <v/>
      </c>
      <c r="O140" t="str">
        <f>IF($K140="","",IF(LENH_GOC!E141="","",LENH_GOC!E141))</f>
        <v/>
      </c>
      <c r="P140" t="str">
        <f>IF($K140="","",IF(LENH_GOC!F141="","",LENH_GOC!F141))</f>
        <v/>
      </c>
      <c r="Q140" t="str">
        <f>IFERROR(IF($K140="","",IF(LENH_GOC!P141="","",IFERROR(VALUE(LENH_GOC!P141),IF(OR(LENH_GOC!P141=TRUE,UPPER(TRIM(LENH_GOC!P141))="TRUE"),1,0)))),"")</f>
        <v/>
      </c>
      <c r="R140" t="str">
        <f>IF($K140="","",IF(LENH_GOC!Q141="","",LENH_GOC!Q141))</f>
        <v/>
      </c>
      <c r="S140" s="43" t="str">
        <f>IF($K140="","",IF(LENH_GOC!R141="","",LENH_GOC!R141))</f>
        <v/>
      </c>
      <c r="T140">
        <f>IFERROR(IF($K140="",0,IF(AND(ISNUMBER($N140),INT($N140)=CAI_DAT!$B$4,LEFT(UPPER(TRIM($L140)),2)=LEFT(UPPER(TRIM(CAI_DAT!$B$5)),2),$Q140=1,OR(AND($M140="SO",ISNUMBER($P140),$P140&gt;0),AND($M140="MO",ISNUMBER($O140),$O140&gt;0))),1,0)),0)</f>
        <v>0</v>
      </c>
      <c r="U140" t="str">
        <f t="shared" si="24"/>
        <v/>
      </c>
      <c r="V140" t="str">
        <f t="shared" si="25"/>
        <v/>
      </c>
      <c r="W140" t="str">
        <f>IFERROR(IF($T140=0,"",COUNTIFS($T$3:$T$202,1,$V$3:$V$202,"&lt;"&amp;$V140)+COUNTIFS($T$3:$T140,1,$V$3:$V140,$V140)),"")</f>
        <v/>
      </c>
      <c r="X140" t="str">
        <f t="shared" si="26"/>
        <v/>
      </c>
    </row>
    <row r="141" spans="10:24">
      <c r="J141" t="str">
        <f>IF(LENH_GOC!A142="","",142)</f>
        <v/>
      </c>
      <c r="K141" t="str">
        <f>IF(LENH_GOC!A142="","",LENH_GOC!A142)</f>
        <v/>
      </c>
      <c r="L141" t="str">
        <f>IF($K141="","",IFERROR(TRIM(LENH_GOC!C142),""))</f>
        <v/>
      </c>
      <c r="M141" t="str">
        <f>IF($K141="","",IFERROR(UPPER(TRIM(LENH_GOC!Y142)),""))</f>
        <v/>
      </c>
      <c r="N141" s="43" t="str">
        <f>IFERROR(IF($K141="","",IF(LENH_GOC!G142="","",IF(ISNUMBER(LENH_GOC!G142),LENH_GOC!G142,DATE(VALUE(MID(LENH_GOC!G142,7,4)),VALUE(MID(LENH_GOC!G142,4,2)),VALUE(LEFT(LENH_GOC!G142,2)))+TIME(VALUE(MID(LENH_GOC!G142,12,2)),VALUE(MID(LENH_GOC!G142,15,2)),VALUE(MID(LENH_GOC!G142,18,2)))))), "")</f>
        <v/>
      </c>
      <c r="O141" t="str">
        <f>IF($K141="","",IF(LENH_GOC!E142="","",LENH_GOC!E142))</f>
        <v/>
      </c>
      <c r="P141" t="str">
        <f>IF($K141="","",IF(LENH_GOC!F142="","",LENH_GOC!F142))</f>
        <v/>
      </c>
      <c r="Q141" t="str">
        <f>IFERROR(IF($K141="","",IF(LENH_GOC!P142="","",IFERROR(VALUE(LENH_GOC!P142),IF(OR(LENH_GOC!P142=TRUE,UPPER(TRIM(LENH_GOC!P142))="TRUE"),1,0)))),"")</f>
        <v/>
      </c>
      <c r="R141" t="str">
        <f>IF($K141="","",IF(LENH_GOC!Q142="","",LENH_GOC!Q142))</f>
        <v/>
      </c>
      <c r="S141" s="43" t="str">
        <f>IF($K141="","",IF(LENH_GOC!R142="","",LENH_GOC!R142))</f>
        <v/>
      </c>
      <c r="T141">
        <f>IFERROR(IF($K141="",0,IF(AND(ISNUMBER($N141),INT($N141)=CAI_DAT!$B$4,LEFT(UPPER(TRIM($L141)),2)=LEFT(UPPER(TRIM(CAI_DAT!$B$5)),2),$Q141=1,OR(AND($M141="SO",ISNUMBER($P141),$P141&gt;0),AND($M141="MO",ISNUMBER($O141),$O141&gt;0))),1,0)),0)</f>
        <v>0</v>
      </c>
      <c r="U141" t="str">
        <f t="shared" si="24"/>
        <v/>
      </c>
      <c r="V141" t="str">
        <f t="shared" si="25"/>
        <v/>
      </c>
      <c r="W141" t="str">
        <f>IFERROR(IF($T141=0,"",COUNTIFS($T$3:$T$202,1,$V$3:$V$202,"&lt;"&amp;$V141)+COUNTIFS($T$3:$T141,1,$V$3:$V141,$V141)),"")</f>
        <v/>
      </c>
      <c r="X141" t="str">
        <f t="shared" si="26"/>
        <v/>
      </c>
    </row>
    <row r="142" spans="10:24">
      <c r="J142" t="str">
        <f>IF(LENH_GOC!A143="","",143)</f>
        <v/>
      </c>
      <c r="K142" t="str">
        <f>IF(LENH_GOC!A143="","",LENH_GOC!A143)</f>
        <v/>
      </c>
      <c r="L142" t="str">
        <f>IF($K142="","",IFERROR(TRIM(LENH_GOC!C143),""))</f>
        <v/>
      </c>
      <c r="M142" t="str">
        <f>IF($K142="","",IFERROR(UPPER(TRIM(LENH_GOC!Y143)),""))</f>
        <v/>
      </c>
      <c r="N142" s="43" t="str">
        <f>IFERROR(IF($K142="","",IF(LENH_GOC!G143="","",IF(ISNUMBER(LENH_GOC!G143),LENH_GOC!G143,DATE(VALUE(MID(LENH_GOC!G143,7,4)),VALUE(MID(LENH_GOC!G143,4,2)),VALUE(LEFT(LENH_GOC!G143,2)))+TIME(VALUE(MID(LENH_GOC!G143,12,2)),VALUE(MID(LENH_GOC!G143,15,2)),VALUE(MID(LENH_GOC!G143,18,2)))))), "")</f>
        <v/>
      </c>
      <c r="O142" t="str">
        <f>IF($K142="","",IF(LENH_GOC!E143="","",LENH_GOC!E143))</f>
        <v/>
      </c>
      <c r="P142" t="str">
        <f>IF($K142="","",IF(LENH_GOC!F143="","",LENH_GOC!F143))</f>
        <v/>
      </c>
      <c r="Q142" t="str">
        <f>IFERROR(IF($K142="","",IF(LENH_GOC!P143="","",IFERROR(VALUE(LENH_GOC!P143),IF(OR(LENH_GOC!P143=TRUE,UPPER(TRIM(LENH_GOC!P143))="TRUE"),1,0)))),"")</f>
        <v/>
      </c>
      <c r="R142" t="str">
        <f>IF($K142="","",IF(LENH_GOC!Q143="","",LENH_GOC!Q143))</f>
        <v/>
      </c>
      <c r="S142" s="43" t="str">
        <f>IF($K142="","",IF(LENH_GOC!R143="","",LENH_GOC!R143))</f>
        <v/>
      </c>
      <c r="T142">
        <f>IFERROR(IF($K142="",0,IF(AND(ISNUMBER($N142),INT($N142)=CAI_DAT!$B$4,LEFT(UPPER(TRIM($L142)),2)=LEFT(UPPER(TRIM(CAI_DAT!$B$5)),2),$Q142=1,OR(AND($M142="SO",ISNUMBER($P142),$P142&gt;0),AND($M142="MO",ISNUMBER($O142),$O142&gt;0))),1,0)),0)</f>
        <v>0</v>
      </c>
      <c r="U142" t="str">
        <f t="shared" si="24"/>
        <v/>
      </c>
      <c r="V142" t="str">
        <f t="shared" si="25"/>
        <v/>
      </c>
      <c r="W142" t="str">
        <f>IFERROR(IF($T142=0,"",COUNTIFS($T$3:$T$202,1,$V$3:$V$202,"&lt;"&amp;$V142)+COUNTIFS($T$3:$T142,1,$V$3:$V142,$V142)),"")</f>
        <v/>
      </c>
      <c r="X142" t="str">
        <f t="shared" si="26"/>
        <v/>
      </c>
    </row>
    <row r="143" spans="10:24">
      <c r="J143" t="str">
        <f>IF(LENH_GOC!A144="","",144)</f>
        <v/>
      </c>
      <c r="K143" t="str">
        <f>IF(LENH_GOC!A144="","",LENH_GOC!A144)</f>
        <v/>
      </c>
      <c r="L143" t="str">
        <f>IF($K143="","",IFERROR(TRIM(LENH_GOC!C144),""))</f>
        <v/>
      </c>
      <c r="M143" t="str">
        <f>IF($K143="","",IFERROR(UPPER(TRIM(LENH_GOC!Y144)),""))</f>
        <v/>
      </c>
      <c r="N143" s="43" t="str">
        <f>IFERROR(IF($K143="","",IF(LENH_GOC!G144="","",IF(ISNUMBER(LENH_GOC!G144),LENH_GOC!G144,DATE(VALUE(MID(LENH_GOC!G144,7,4)),VALUE(MID(LENH_GOC!G144,4,2)),VALUE(LEFT(LENH_GOC!G144,2)))+TIME(VALUE(MID(LENH_GOC!G144,12,2)),VALUE(MID(LENH_GOC!G144,15,2)),VALUE(MID(LENH_GOC!G144,18,2)))))), "")</f>
        <v/>
      </c>
      <c r="O143" t="str">
        <f>IF($K143="","",IF(LENH_GOC!E144="","",LENH_GOC!E144))</f>
        <v/>
      </c>
      <c r="P143" t="str">
        <f>IF($K143="","",IF(LENH_GOC!F144="","",LENH_GOC!F144))</f>
        <v/>
      </c>
      <c r="Q143" t="str">
        <f>IFERROR(IF($K143="","",IF(LENH_GOC!P144="","",IFERROR(VALUE(LENH_GOC!P144),IF(OR(LENH_GOC!P144=TRUE,UPPER(TRIM(LENH_GOC!P144))="TRUE"),1,0)))),"")</f>
        <v/>
      </c>
      <c r="R143" t="str">
        <f>IF($K143="","",IF(LENH_GOC!Q144="","",LENH_GOC!Q144))</f>
        <v/>
      </c>
      <c r="S143" s="43" t="str">
        <f>IF($K143="","",IF(LENH_GOC!R144="","",LENH_GOC!R144))</f>
        <v/>
      </c>
      <c r="T143">
        <f>IFERROR(IF($K143="",0,IF(AND(ISNUMBER($N143),INT($N143)=CAI_DAT!$B$4,LEFT(UPPER(TRIM($L143)),2)=LEFT(UPPER(TRIM(CAI_DAT!$B$5)),2),$Q143=1,OR(AND($M143="SO",ISNUMBER($P143),$P143&gt;0),AND($M143="MO",ISNUMBER($O143),$O143&gt;0))),1,0)),0)</f>
        <v>0</v>
      </c>
      <c r="U143" t="str">
        <f t="shared" si="24"/>
        <v/>
      </c>
      <c r="V143" t="str">
        <f t="shared" si="25"/>
        <v/>
      </c>
      <c r="W143" t="str">
        <f>IFERROR(IF($T143=0,"",COUNTIFS($T$3:$T$202,1,$V$3:$V$202,"&lt;"&amp;$V143)+COUNTIFS($T$3:$T143,1,$V$3:$V143,$V143)),"")</f>
        <v/>
      </c>
      <c r="X143" t="str">
        <f t="shared" si="26"/>
        <v/>
      </c>
    </row>
    <row r="144" spans="10:24">
      <c r="J144" t="str">
        <f>IF(LENH_GOC!A145="","",145)</f>
        <v/>
      </c>
      <c r="K144" t="str">
        <f>IF(LENH_GOC!A145="","",LENH_GOC!A145)</f>
        <v/>
      </c>
      <c r="L144" t="str">
        <f>IF($K144="","",IFERROR(TRIM(LENH_GOC!C145),""))</f>
        <v/>
      </c>
      <c r="M144" t="str">
        <f>IF($K144="","",IFERROR(UPPER(TRIM(LENH_GOC!Y145)),""))</f>
        <v/>
      </c>
      <c r="N144" s="43" t="str">
        <f>IFERROR(IF($K144="","",IF(LENH_GOC!G145="","",IF(ISNUMBER(LENH_GOC!G145),LENH_GOC!G145,DATE(VALUE(MID(LENH_GOC!G145,7,4)),VALUE(MID(LENH_GOC!G145,4,2)),VALUE(LEFT(LENH_GOC!G145,2)))+TIME(VALUE(MID(LENH_GOC!G145,12,2)),VALUE(MID(LENH_GOC!G145,15,2)),VALUE(MID(LENH_GOC!G145,18,2)))))), "")</f>
        <v/>
      </c>
      <c r="O144" t="str">
        <f>IF($K144="","",IF(LENH_GOC!E145="","",LENH_GOC!E145))</f>
        <v/>
      </c>
      <c r="P144" t="str">
        <f>IF($K144="","",IF(LENH_GOC!F145="","",LENH_GOC!F145))</f>
        <v/>
      </c>
      <c r="Q144" t="str">
        <f>IFERROR(IF($K144="","",IF(LENH_GOC!P145="","",IFERROR(VALUE(LENH_GOC!P145),IF(OR(LENH_GOC!P145=TRUE,UPPER(TRIM(LENH_GOC!P145))="TRUE"),1,0)))),"")</f>
        <v/>
      </c>
      <c r="R144" t="str">
        <f>IF($K144="","",IF(LENH_GOC!Q145="","",LENH_GOC!Q145))</f>
        <v/>
      </c>
      <c r="S144" s="43" t="str">
        <f>IF($K144="","",IF(LENH_GOC!R145="","",LENH_GOC!R145))</f>
        <v/>
      </c>
      <c r="T144">
        <f>IFERROR(IF($K144="",0,IF(AND(ISNUMBER($N144),INT($N144)=CAI_DAT!$B$4,LEFT(UPPER(TRIM($L144)),2)=LEFT(UPPER(TRIM(CAI_DAT!$B$5)),2),$Q144=1,OR(AND($M144="SO",ISNUMBER($P144),$P144&gt;0),AND($M144="MO",ISNUMBER($O144),$O144&gt;0))),1,0)),0)</f>
        <v>0</v>
      </c>
      <c r="U144" t="str">
        <f t="shared" si="24"/>
        <v/>
      </c>
      <c r="V144" t="str">
        <f t="shared" si="25"/>
        <v/>
      </c>
      <c r="W144" t="str">
        <f>IFERROR(IF($T144=0,"",COUNTIFS($T$3:$T$202,1,$V$3:$V$202,"&lt;"&amp;$V144)+COUNTIFS($T$3:$T144,1,$V$3:$V144,$V144)),"")</f>
        <v/>
      </c>
      <c r="X144" t="str">
        <f t="shared" si="26"/>
        <v/>
      </c>
    </row>
    <row r="145" spans="10:24">
      <c r="J145" t="str">
        <f>IF(LENH_GOC!A146="","",146)</f>
        <v/>
      </c>
      <c r="K145" t="str">
        <f>IF(LENH_GOC!A146="","",LENH_GOC!A146)</f>
        <v/>
      </c>
      <c r="L145" t="str">
        <f>IF($K145="","",IFERROR(TRIM(LENH_GOC!C146),""))</f>
        <v/>
      </c>
      <c r="M145" t="str">
        <f>IF($K145="","",IFERROR(UPPER(TRIM(LENH_GOC!Y146)),""))</f>
        <v/>
      </c>
      <c r="N145" s="43" t="str">
        <f>IFERROR(IF($K145="","",IF(LENH_GOC!G146="","",IF(ISNUMBER(LENH_GOC!G146),LENH_GOC!G146,DATE(VALUE(MID(LENH_GOC!G146,7,4)),VALUE(MID(LENH_GOC!G146,4,2)),VALUE(LEFT(LENH_GOC!G146,2)))+TIME(VALUE(MID(LENH_GOC!G146,12,2)),VALUE(MID(LENH_GOC!G146,15,2)),VALUE(MID(LENH_GOC!G146,18,2)))))), "")</f>
        <v/>
      </c>
      <c r="O145" t="str">
        <f>IF($K145="","",IF(LENH_GOC!E146="","",LENH_GOC!E146))</f>
        <v/>
      </c>
      <c r="P145" t="str">
        <f>IF($K145="","",IF(LENH_GOC!F146="","",LENH_GOC!F146))</f>
        <v/>
      </c>
      <c r="Q145" t="str">
        <f>IFERROR(IF($K145="","",IF(LENH_GOC!P146="","",IFERROR(VALUE(LENH_GOC!P146),IF(OR(LENH_GOC!P146=TRUE,UPPER(TRIM(LENH_GOC!P146))="TRUE"),1,0)))),"")</f>
        <v/>
      </c>
      <c r="R145" t="str">
        <f>IF($K145="","",IF(LENH_GOC!Q146="","",LENH_GOC!Q146))</f>
        <v/>
      </c>
      <c r="S145" s="43" t="str">
        <f>IF($K145="","",IF(LENH_GOC!R146="","",LENH_GOC!R146))</f>
        <v/>
      </c>
      <c r="T145">
        <f>IFERROR(IF($K145="",0,IF(AND(ISNUMBER($N145),INT($N145)=CAI_DAT!$B$4,LEFT(UPPER(TRIM($L145)),2)=LEFT(UPPER(TRIM(CAI_DAT!$B$5)),2),$Q145=1,OR(AND($M145="SO",ISNUMBER($P145),$P145&gt;0),AND($M145="MO",ISNUMBER($O145),$O145&gt;0))),1,0)),0)</f>
        <v>0</v>
      </c>
      <c r="U145" t="str">
        <f t="shared" si="24"/>
        <v/>
      </c>
      <c r="V145" t="str">
        <f t="shared" si="25"/>
        <v/>
      </c>
      <c r="W145" t="str">
        <f>IFERROR(IF($T145=0,"",COUNTIFS($T$3:$T$202,1,$V$3:$V$202,"&lt;"&amp;$V145)+COUNTIFS($T$3:$T145,1,$V$3:$V145,$V145)),"")</f>
        <v/>
      </c>
      <c r="X145" t="str">
        <f t="shared" si="26"/>
        <v/>
      </c>
    </row>
    <row r="146" spans="10:24">
      <c r="J146" t="str">
        <f>IF(LENH_GOC!A147="","",147)</f>
        <v/>
      </c>
      <c r="K146" t="str">
        <f>IF(LENH_GOC!A147="","",LENH_GOC!A147)</f>
        <v/>
      </c>
      <c r="L146" t="str">
        <f>IF($K146="","",IFERROR(TRIM(LENH_GOC!C147),""))</f>
        <v/>
      </c>
      <c r="M146" t="str">
        <f>IF($K146="","",IFERROR(UPPER(TRIM(LENH_GOC!Y147)),""))</f>
        <v/>
      </c>
      <c r="N146" s="43" t="str">
        <f>IFERROR(IF($K146="","",IF(LENH_GOC!G147="","",IF(ISNUMBER(LENH_GOC!G147),LENH_GOC!G147,DATE(VALUE(MID(LENH_GOC!G147,7,4)),VALUE(MID(LENH_GOC!G147,4,2)),VALUE(LEFT(LENH_GOC!G147,2)))+TIME(VALUE(MID(LENH_GOC!G147,12,2)),VALUE(MID(LENH_GOC!G147,15,2)),VALUE(MID(LENH_GOC!G147,18,2)))))), "")</f>
        <v/>
      </c>
      <c r="O146" t="str">
        <f>IF($K146="","",IF(LENH_GOC!E147="","",LENH_GOC!E147))</f>
        <v/>
      </c>
      <c r="P146" t="str">
        <f>IF($K146="","",IF(LENH_GOC!F147="","",LENH_GOC!F147))</f>
        <v/>
      </c>
      <c r="Q146" t="str">
        <f>IFERROR(IF($K146="","",IF(LENH_GOC!P147="","",IFERROR(VALUE(LENH_GOC!P147),IF(OR(LENH_GOC!P147=TRUE,UPPER(TRIM(LENH_GOC!P147))="TRUE"),1,0)))),"")</f>
        <v/>
      </c>
      <c r="R146" t="str">
        <f>IF($K146="","",IF(LENH_GOC!Q147="","",LENH_GOC!Q147))</f>
        <v/>
      </c>
      <c r="S146" s="43" t="str">
        <f>IF($K146="","",IF(LENH_GOC!R147="","",LENH_GOC!R147))</f>
        <v/>
      </c>
      <c r="T146">
        <f>IFERROR(IF($K146="",0,IF(AND(ISNUMBER($N146),INT($N146)=CAI_DAT!$B$4,LEFT(UPPER(TRIM($L146)),2)=LEFT(UPPER(TRIM(CAI_DAT!$B$5)),2),$Q146=1,OR(AND($M146="SO",ISNUMBER($P146),$P146&gt;0),AND($M146="MO",ISNUMBER($O146),$O146&gt;0))),1,0)),0)</f>
        <v>0</v>
      </c>
      <c r="U146" t="str">
        <f t="shared" si="24"/>
        <v/>
      </c>
      <c r="V146" t="str">
        <f t="shared" si="25"/>
        <v/>
      </c>
      <c r="W146" t="str">
        <f>IFERROR(IF($T146=0,"",COUNTIFS($T$3:$T$202,1,$V$3:$V$202,"&lt;"&amp;$V146)+COUNTIFS($T$3:$T146,1,$V$3:$V146,$V146)),"")</f>
        <v/>
      </c>
      <c r="X146" t="str">
        <f t="shared" si="26"/>
        <v/>
      </c>
    </row>
    <row r="147" spans="10:24">
      <c r="J147" t="str">
        <f>IF(LENH_GOC!A148="","",148)</f>
        <v/>
      </c>
      <c r="K147" t="str">
        <f>IF(LENH_GOC!A148="","",LENH_GOC!A148)</f>
        <v/>
      </c>
      <c r="L147" t="str">
        <f>IF($K147="","",IFERROR(TRIM(LENH_GOC!C148),""))</f>
        <v/>
      </c>
      <c r="M147" t="str">
        <f>IF($K147="","",IFERROR(UPPER(TRIM(LENH_GOC!Y148)),""))</f>
        <v/>
      </c>
      <c r="N147" s="43" t="str">
        <f>IFERROR(IF($K147="","",IF(LENH_GOC!G148="","",IF(ISNUMBER(LENH_GOC!G148),LENH_GOC!G148,DATE(VALUE(MID(LENH_GOC!G148,7,4)),VALUE(MID(LENH_GOC!G148,4,2)),VALUE(LEFT(LENH_GOC!G148,2)))+TIME(VALUE(MID(LENH_GOC!G148,12,2)),VALUE(MID(LENH_GOC!G148,15,2)),VALUE(MID(LENH_GOC!G148,18,2)))))), "")</f>
        <v/>
      </c>
      <c r="O147" t="str">
        <f>IF($K147="","",IF(LENH_GOC!E148="","",LENH_GOC!E148))</f>
        <v/>
      </c>
      <c r="P147" t="str">
        <f>IF($K147="","",IF(LENH_GOC!F148="","",LENH_GOC!F148))</f>
        <v/>
      </c>
      <c r="Q147" t="str">
        <f>IFERROR(IF($K147="","",IF(LENH_GOC!P148="","",IFERROR(VALUE(LENH_GOC!P148),IF(OR(LENH_GOC!P148=TRUE,UPPER(TRIM(LENH_GOC!P148))="TRUE"),1,0)))),"")</f>
        <v/>
      </c>
      <c r="R147" t="str">
        <f>IF($K147="","",IF(LENH_GOC!Q148="","",LENH_GOC!Q148))</f>
        <v/>
      </c>
      <c r="S147" s="43" t="str">
        <f>IF($K147="","",IF(LENH_GOC!R148="","",LENH_GOC!R148))</f>
        <v/>
      </c>
      <c r="T147">
        <f>IFERROR(IF($K147="",0,IF(AND(ISNUMBER($N147),INT($N147)=CAI_DAT!$B$4,LEFT(UPPER(TRIM($L147)),2)=LEFT(UPPER(TRIM(CAI_DAT!$B$5)),2),$Q147=1,OR(AND($M147="SO",ISNUMBER($P147),$P147&gt;0),AND($M147="MO",ISNUMBER($O147),$O147&gt;0))),1,0)),0)</f>
        <v>0</v>
      </c>
      <c r="U147" t="str">
        <f t="shared" si="24"/>
        <v/>
      </c>
      <c r="V147" t="str">
        <f t="shared" si="25"/>
        <v/>
      </c>
      <c r="W147" t="str">
        <f>IFERROR(IF($T147=0,"",COUNTIFS($T$3:$T$202,1,$V$3:$V$202,"&lt;"&amp;$V147)+COUNTIFS($T$3:$T147,1,$V$3:$V147,$V147)),"")</f>
        <v/>
      </c>
      <c r="X147" t="str">
        <f t="shared" si="26"/>
        <v/>
      </c>
    </row>
    <row r="148" spans="10:24">
      <c r="J148" t="str">
        <f>IF(LENH_GOC!A149="","",149)</f>
        <v/>
      </c>
      <c r="K148" t="str">
        <f>IF(LENH_GOC!A149="","",LENH_GOC!A149)</f>
        <v/>
      </c>
      <c r="L148" t="str">
        <f>IF($K148="","",IFERROR(TRIM(LENH_GOC!C149),""))</f>
        <v/>
      </c>
      <c r="M148" t="str">
        <f>IF($K148="","",IFERROR(UPPER(TRIM(LENH_GOC!Y149)),""))</f>
        <v/>
      </c>
      <c r="N148" s="43" t="str">
        <f>IFERROR(IF($K148="","",IF(LENH_GOC!G149="","",IF(ISNUMBER(LENH_GOC!G149),LENH_GOC!G149,DATE(VALUE(MID(LENH_GOC!G149,7,4)),VALUE(MID(LENH_GOC!G149,4,2)),VALUE(LEFT(LENH_GOC!G149,2)))+TIME(VALUE(MID(LENH_GOC!G149,12,2)),VALUE(MID(LENH_GOC!G149,15,2)),VALUE(MID(LENH_GOC!G149,18,2)))))), "")</f>
        <v/>
      </c>
      <c r="O148" t="str">
        <f>IF($K148="","",IF(LENH_GOC!E149="","",LENH_GOC!E149))</f>
        <v/>
      </c>
      <c r="P148" t="str">
        <f>IF($K148="","",IF(LENH_GOC!F149="","",LENH_GOC!F149))</f>
        <v/>
      </c>
      <c r="Q148" t="str">
        <f>IFERROR(IF($K148="","",IF(LENH_GOC!P149="","",IFERROR(VALUE(LENH_GOC!P149),IF(OR(LENH_GOC!P149=TRUE,UPPER(TRIM(LENH_GOC!P149))="TRUE"),1,0)))),"")</f>
        <v/>
      </c>
      <c r="R148" t="str">
        <f>IF($K148="","",IF(LENH_GOC!Q149="","",LENH_GOC!Q149))</f>
        <v/>
      </c>
      <c r="S148" s="43" t="str">
        <f>IF($K148="","",IF(LENH_GOC!R149="","",LENH_GOC!R149))</f>
        <v/>
      </c>
      <c r="T148">
        <f>IFERROR(IF($K148="",0,IF(AND(ISNUMBER($N148),INT($N148)=CAI_DAT!$B$4,LEFT(UPPER(TRIM($L148)),2)=LEFT(UPPER(TRIM(CAI_DAT!$B$5)),2),$Q148=1,OR(AND($M148="SO",ISNUMBER($P148),$P148&gt;0),AND($M148="MO",ISNUMBER($O148),$O148&gt;0))),1,0)),0)</f>
        <v>0</v>
      </c>
      <c r="U148" t="str">
        <f t="shared" si="24"/>
        <v/>
      </c>
      <c r="V148" t="str">
        <f t="shared" si="25"/>
        <v/>
      </c>
      <c r="W148" t="str">
        <f>IFERROR(IF($T148=0,"",COUNTIFS($T$3:$T$202,1,$V$3:$V$202,"&lt;"&amp;$V148)+COUNTIFS($T$3:$T148,1,$V$3:$V148,$V148)),"")</f>
        <v/>
      </c>
      <c r="X148" t="str">
        <f t="shared" si="26"/>
        <v/>
      </c>
    </row>
    <row r="149" spans="10:24">
      <c r="J149" t="str">
        <f>IF(LENH_GOC!A150="","",150)</f>
        <v/>
      </c>
      <c r="K149" t="str">
        <f>IF(LENH_GOC!A150="","",LENH_GOC!A150)</f>
        <v/>
      </c>
      <c r="L149" t="str">
        <f>IF($K149="","",IFERROR(TRIM(LENH_GOC!C150),""))</f>
        <v/>
      </c>
      <c r="M149" t="str">
        <f>IF($K149="","",IFERROR(UPPER(TRIM(LENH_GOC!Y150)),""))</f>
        <v/>
      </c>
      <c r="N149" s="43" t="str">
        <f>IFERROR(IF($K149="","",IF(LENH_GOC!G150="","",IF(ISNUMBER(LENH_GOC!G150),LENH_GOC!G150,DATE(VALUE(MID(LENH_GOC!G150,7,4)),VALUE(MID(LENH_GOC!G150,4,2)),VALUE(LEFT(LENH_GOC!G150,2)))+TIME(VALUE(MID(LENH_GOC!G150,12,2)),VALUE(MID(LENH_GOC!G150,15,2)),VALUE(MID(LENH_GOC!G150,18,2)))))), "")</f>
        <v/>
      </c>
      <c r="O149" t="str">
        <f>IF($K149="","",IF(LENH_GOC!E150="","",LENH_GOC!E150))</f>
        <v/>
      </c>
      <c r="P149" t="str">
        <f>IF($K149="","",IF(LENH_GOC!F150="","",LENH_GOC!F150))</f>
        <v/>
      </c>
      <c r="Q149" t="str">
        <f>IFERROR(IF($K149="","",IF(LENH_GOC!P150="","",IFERROR(VALUE(LENH_GOC!P150),IF(OR(LENH_GOC!P150=TRUE,UPPER(TRIM(LENH_GOC!P150))="TRUE"),1,0)))),"")</f>
        <v/>
      </c>
      <c r="R149" t="str">
        <f>IF($K149="","",IF(LENH_GOC!Q150="","",LENH_GOC!Q150))</f>
        <v/>
      </c>
      <c r="S149" s="43" t="str">
        <f>IF($K149="","",IF(LENH_GOC!R150="","",LENH_GOC!R150))</f>
        <v/>
      </c>
      <c r="T149">
        <f>IFERROR(IF($K149="",0,IF(AND(ISNUMBER($N149),INT($N149)=CAI_DAT!$B$4,LEFT(UPPER(TRIM($L149)),2)=LEFT(UPPER(TRIM(CAI_DAT!$B$5)),2),$Q149=1,OR(AND($M149="SO",ISNUMBER($P149),$P149&gt;0),AND($M149="MO",ISNUMBER($O149),$O149&gt;0))),1,0)),0)</f>
        <v>0</v>
      </c>
      <c r="U149" t="str">
        <f t="shared" si="24"/>
        <v/>
      </c>
      <c r="V149" t="str">
        <f t="shared" si="25"/>
        <v/>
      </c>
      <c r="W149" t="str">
        <f>IFERROR(IF($T149=0,"",COUNTIFS($T$3:$T$202,1,$V$3:$V$202,"&lt;"&amp;$V149)+COUNTIFS($T$3:$T149,1,$V$3:$V149,$V149)),"")</f>
        <v/>
      </c>
      <c r="X149" t="str">
        <f t="shared" si="26"/>
        <v/>
      </c>
    </row>
    <row r="150" spans="10:24">
      <c r="J150" t="str">
        <f>IF(LENH_GOC!A151="","",151)</f>
        <v/>
      </c>
      <c r="K150" t="str">
        <f>IF(LENH_GOC!A151="","",LENH_GOC!A151)</f>
        <v/>
      </c>
      <c r="L150" t="str">
        <f>IF($K150="","",IFERROR(TRIM(LENH_GOC!C151),""))</f>
        <v/>
      </c>
      <c r="M150" t="str">
        <f>IF($K150="","",IFERROR(UPPER(TRIM(LENH_GOC!Y151)),""))</f>
        <v/>
      </c>
      <c r="N150" s="43" t="str">
        <f>IFERROR(IF($K150="","",IF(LENH_GOC!G151="","",IF(ISNUMBER(LENH_GOC!G151),LENH_GOC!G151,DATE(VALUE(MID(LENH_GOC!G151,7,4)),VALUE(MID(LENH_GOC!G151,4,2)),VALUE(LEFT(LENH_GOC!G151,2)))+TIME(VALUE(MID(LENH_GOC!G151,12,2)),VALUE(MID(LENH_GOC!G151,15,2)),VALUE(MID(LENH_GOC!G151,18,2)))))), "")</f>
        <v/>
      </c>
      <c r="O150" t="str">
        <f>IF($K150="","",IF(LENH_GOC!E151="","",LENH_GOC!E151))</f>
        <v/>
      </c>
      <c r="P150" t="str">
        <f>IF($K150="","",IF(LENH_GOC!F151="","",LENH_GOC!F151))</f>
        <v/>
      </c>
      <c r="Q150" t="str">
        <f>IFERROR(IF($K150="","",IF(LENH_GOC!P151="","",IFERROR(VALUE(LENH_GOC!P151),IF(OR(LENH_GOC!P151=TRUE,UPPER(TRIM(LENH_GOC!P151))="TRUE"),1,0)))),"")</f>
        <v/>
      </c>
      <c r="R150" t="str">
        <f>IF($K150="","",IF(LENH_GOC!Q151="","",LENH_GOC!Q151))</f>
        <v/>
      </c>
      <c r="S150" s="43" t="str">
        <f>IF($K150="","",IF(LENH_GOC!R151="","",LENH_GOC!R151))</f>
        <v/>
      </c>
      <c r="T150">
        <f>IFERROR(IF($K150="",0,IF(AND(ISNUMBER($N150),INT($N150)=CAI_DAT!$B$4,LEFT(UPPER(TRIM($L150)),2)=LEFT(UPPER(TRIM(CAI_DAT!$B$5)),2),$Q150=1,OR(AND($M150="SO",ISNUMBER($P150),$P150&gt;0),AND($M150="MO",ISNUMBER($O150),$O150&gt;0))),1,0)),0)</f>
        <v>0</v>
      </c>
      <c r="U150" t="str">
        <f t="shared" si="24"/>
        <v/>
      </c>
      <c r="V150" t="str">
        <f t="shared" si="25"/>
        <v/>
      </c>
      <c r="W150" t="str">
        <f>IFERROR(IF($T150=0,"",COUNTIFS($T$3:$T$202,1,$V$3:$V$202,"&lt;"&amp;$V150)+COUNTIFS($T$3:$T150,1,$V$3:$V150,$V150)),"")</f>
        <v/>
      </c>
      <c r="X150" t="str">
        <f t="shared" si="26"/>
        <v/>
      </c>
    </row>
    <row r="151" spans="10:24">
      <c r="J151" t="str">
        <f>IF(LENH_GOC!A152="","",152)</f>
        <v/>
      </c>
      <c r="K151" t="str">
        <f>IF(LENH_GOC!A152="","",LENH_GOC!A152)</f>
        <v/>
      </c>
      <c r="L151" t="str">
        <f>IF($K151="","",IFERROR(TRIM(LENH_GOC!C152),""))</f>
        <v/>
      </c>
      <c r="M151" t="str">
        <f>IF($K151="","",IFERROR(UPPER(TRIM(LENH_GOC!Y152)),""))</f>
        <v/>
      </c>
      <c r="N151" s="43" t="str">
        <f>IFERROR(IF($K151="","",IF(LENH_GOC!G152="","",IF(ISNUMBER(LENH_GOC!G152),LENH_GOC!G152,DATE(VALUE(MID(LENH_GOC!G152,7,4)),VALUE(MID(LENH_GOC!G152,4,2)),VALUE(LEFT(LENH_GOC!G152,2)))+TIME(VALUE(MID(LENH_GOC!G152,12,2)),VALUE(MID(LENH_GOC!G152,15,2)),VALUE(MID(LENH_GOC!G152,18,2)))))), "")</f>
        <v/>
      </c>
      <c r="O151" t="str">
        <f>IF($K151="","",IF(LENH_GOC!E152="","",LENH_GOC!E152))</f>
        <v/>
      </c>
      <c r="P151" t="str">
        <f>IF($K151="","",IF(LENH_GOC!F152="","",LENH_GOC!F152))</f>
        <v/>
      </c>
      <c r="Q151" t="str">
        <f>IFERROR(IF($K151="","",IF(LENH_GOC!P152="","",IFERROR(VALUE(LENH_GOC!P152),IF(OR(LENH_GOC!P152=TRUE,UPPER(TRIM(LENH_GOC!P152))="TRUE"),1,0)))),"")</f>
        <v/>
      </c>
      <c r="R151" t="str">
        <f>IF($K151="","",IF(LENH_GOC!Q152="","",LENH_GOC!Q152))</f>
        <v/>
      </c>
      <c r="S151" s="43" t="str">
        <f>IF($K151="","",IF(LENH_GOC!R152="","",LENH_GOC!R152))</f>
        <v/>
      </c>
      <c r="T151">
        <f>IFERROR(IF($K151="",0,IF(AND(ISNUMBER($N151),INT($N151)=CAI_DAT!$B$4,LEFT(UPPER(TRIM($L151)),2)=LEFT(UPPER(TRIM(CAI_DAT!$B$5)),2),$Q151=1,OR(AND($M151="SO",ISNUMBER($P151),$P151&gt;0),AND($M151="MO",ISNUMBER($O151),$O151&gt;0))),1,0)),0)</f>
        <v>0</v>
      </c>
      <c r="U151" t="str">
        <f t="shared" si="24"/>
        <v/>
      </c>
      <c r="V151" t="str">
        <f t="shared" si="25"/>
        <v/>
      </c>
      <c r="W151" t="str">
        <f>IFERROR(IF($T151=0,"",COUNTIFS($T$3:$T$202,1,$V$3:$V$202,"&lt;"&amp;$V151)+COUNTIFS($T$3:$T151,1,$V$3:$V151,$V151)),"")</f>
        <v/>
      </c>
      <c r="X151" t="str">
        <f t="shared" si="26"/>
        <v/>
      </c>
    </row>
    <row r="152" spans="10:24">
      <c r="J152" t="str">
        <f>IF(LENH_GOC!A153="","",153)</f>
        <v/>
      </c>
      <c r="K152" t="str">
        <f>IF(LENH_GOC!A153="","",LENH_GOC!A153)</f>
        <v/>
      </c>
      <c r="L152" t="str">
        <f>IF($K152="","",IFERROR(TRIM(LENH_GOC!C153),""))</f>
        <v/>
      </c>
      <c r="M152" t="str">
        <f>IF($K152="","",IFERROR(UPPER(TRIM(LENH_GOC!Y153)),""))</f>
        <v/>
      </c>
      <c r="N152" s="43" t="str">
        <f>IFERROR(IF($K152="","",IF(LENH_GOC!G153="","",IF(ISNUMBER(LENH_GOC!G153),LENH_GOC!G153,DATE(VALUE(MID(LENH_GOC!G153,7,4)),VALUE(MID(LENH_GOC!G153,4,2)),VALUE(LEFT(LENH_GOC!G153,2)))+TIME(VALUE(MID(LENH_GOC!G153,12,2)),VALUE(MID(LENH_GOC!G153,15,2)),VALUE(MID(LENH_GOC!G153,18,2)))))), "")</f>
        <v/>
      </c>
      <c r="O152" t="str">
        <f>IF($K152="","",IF(LENH_GOC!E153="","",LENH_GOC!E153))</f>
        <v/>
      </c>
      <c r="P152" t="str">
        <f>IF($K152="","",IF(LENH_GOC!F153="","",LENH_GOC!F153))</f>
        <v/>
      </c>
      <c r="Q152" t="str">
        <f>IFERROR(IF($K152="","",IF(LENH_GOC!P153="","",IFERROR(VALUE(LENH_GOC!P153),IF(OR(LENH_GOC!P153=TRUE,UPPER(TRIM(LENH_GOC!P153))="TRUE"),1,0)))),"")</f>
        <v/>
      </c>
      <c r="R152" t="str">
        <f>IF($K152="","",IF(LENH_GOC!Q153="","",LENH_GOC!Q153))</f>
        <v/>
      </c>
      <c r="S152" s="43" t="str">
        <f>IF($K152="","",IF(LENH_GOC!R153="","",LENH_GOC!R153))</f>
        <v/>
      </c>
      <c r="T152">
        <f>IFERROR(IF($K152="",0,IF(AND(ISNUMBER($N152),INT($N152)=CAI_DAT!$B$4,LEFT(UPPER(TRIM($L152)),2)=LEFT(UPPER(TRIM(CAI_DAT!$B$5)),2),$Q152=1,OR(AND($M152="SO",ISNUMBER($P152),$P152&gt;0),AND($M152="MO",ISNUMBER($O152),$O152&gt;0))),1,0)),0)</f>
        <v>0</v>
      </c>
      <c r="U152" t="str">
        <f t="shared" si="24"/>
        <v/>
      </c>
      <c r="V152" t="str">
        <f t="shared" si="25"/>
        <v/>
      </c>
      <c r="W152" t="str">
        <f>IFERROR(IF($T152=0,"",COUNTIFS($T$3:$T$202,1,$V$3:$V$202,"&lt;"&amp;$V152)+COUNTIFS($T$3:$T152,1,$V$3:$V152,$V152)),"")</f>
        <v/>
      </c>
      <c r="X152" t="str">
        <f t="shared" si="26"/>
        <v/>
      </c>
    </row>
    <row r="153" spans="10:24">
      <c r="J153" t="str">
        <f>IF(LENH_GOC!A154="","",154)</f>
        <v/>
      </c>
      <c r="K153" t="str">
        <f>IF(LENH_GOC!A154="","",LENH_GOC!A154)</f>
        <v/>
      </c>
      <c r="L153" t="str">
        <f>IF($K153="","",IFERROR(TRIM(LENH_GOC!C154),""))</f>
        <v/>
      </c>
      <c r="M153" t="str">
        <f>IF($K153="","",IFERROR(UPPER(TRIM(LENH_GOC!Y154)),""))</f>
        <v/>
      </c>
      <c r="N153" s="43" t="str">
        <f>IFERROR(IF($K153="","",IF(LENH_GOC!G154="","",IF(ISNUMBER(LENH_GOC!G154),LENH_GOC!G154,DATE(VALUE(MID(LENH_GOC!G154,7,4)),VALUE(MID(LENH_GOC!G154,4,2)),VALUE(LEFT(LENH_GOC!G154,2)))+TIME(VALUE(MID(LENH_GOC!G154,12,2)),VALUE(MID(LENH_GOC!G154,15,2)),VALUE(MID(LENH_GOC!G154,18,2)))))), "")</f>
        <v/>
      </c>
      <c r="O153" t="str">
        <f>IF($K153="","",IF(LENH_GOC!E154="","",LENH_GOC!E154))</f>
        <v/>
      </c>
      <c r="P153" t="str">
        <f>IF($K153="","",IF(LENH_GOC!F154="","",LENH_GOC!F154))</f>
        <v/>
      </c>
      <c r="Q153" t="str">
        <f>IFERROR(IF($K153="","",IF(LENH_GOC!P154="","",IFERROR(VALUE(LENH_GOC!P154),IF(OR(LENH_GOC!P154=TRUE,UPPER(TRIM(LENH_GOC!P154))="TRUE"),1,0)))),"")</f>
        <v/>
      </c>
      <c r="R153" t="str">
        <f>IF($K153="","",IF(LENH_GOC!Q154="","",LENH_GOC!Q154))</f>
        <v/>
      </c>
      <c r="S153" s="43" t="str">
        <f>IF($K153="","",IF(LENH_GOC!R154="","",LENH_GOC!R154))</f>
        <v/>
      </c>
      <c r="T153">
        <f>IFERROR(IF($K153="",0,IF(AND(ISNUMBER($N153),INT($N153)=CAI_DAT!$B$4,LEFT(UPPER(TRIM($L153)),2)=LEFT(UPPER(TRIM(CAI_DAT!$B$5)),2),$Q153=1,OR(AND($M153="SO",ISNUMBER($P153),$P153&gt;0),AND($M153="MO",ISNUMBER($O153),$O153&gt;0))),1,0)),0)</f>
        <v>0</v>
      </c>
      <c r="U153" t="str">
        <f t="shared" si="24"/>
        <v/>
      </c>
      <c r="V153" t="str">
        <f t="shared" si="25"/>
        <v/>
      </c>
      <c r="W153" t="str">
        <f>IFERROR(IF($T153=0,"",COUNTIFS($T$3:$T$202,1,$V$3:$V$202,"&lt;"&amp;$V153)+COUNTIFS($T$3:$T153,1,$V$3:$V153,$V153)),"")</f>
        <v/>
      </c>
      <c r="X153" t="str">
        <f t="shared" si="26"/>
        <v/>
      </c>
    </row>
    <row r="154" spans="10:24">
      <c r="J154" t="str">
        <f>IF(LENH_GOC!A155="","",155)</f>
        <v/>
      </c>
      <c r="K154" t="str">
        <f>IF(LENH_GOC!A155="","",LENH_GOC!A155)</f>
        <v/>
      </c>
      <c r="L154" t="str">
        <f>IF($K154="","",IFERROR(TRIM(LENH_GOC!C155),""))</f>
        <v/>
      </c>
      <c r="M154" t="str">
        <f>IF($K154="","",IFERROR(UPPER(TRIM(LENH_GOC!Y155)),""))</f>
        <v/>
      </c>
      <c r="N154" s="43" t="str">
        <f>IFERROR(IF($K154="","",IF(LENH_GOC!G155="","",IF(ISNUMBER(LENH_GOC!G155),LENH_GOC!G155,DATE(VALUE(MID(LENH_GOC!G155,7,4)),VALUE(MID(LENH_GOC!G155,4,2)),VALUE(LEFT(LENH_GOC!G155,2)))+TIME(VALUE(MID(LENH_GOC!G155,12,2)),VALUE(MID(LENH_GOC!G155,15,2)),VALUE(MID(LENH_GOC!G155,18,2)))))), "")</f>
        <v/>
      </c>
      <c r="O154" t="str">
        <f>IF($K154="","",IF(LENH_GOC!E155="","",LENH_GOC!E155))</f>
        <v/>
      </c>
      <c r="P154" t="str">
        <f>IF($K154="","",IF(LENH_GOC!F155="","",LENH_GOC!F155))</f>
        <v/>
      </c>
      <c r="Q154" t="str">
        <f>IFERROR(IF($K154="","",IF(LENH_GOC!P155="","",IFERROR(VALUE(LENH_GOC!P155),IF(OR(LENH_GOC!P155=TRUE,UPPER(TRIM(LENH_GOC!P155))="TRUE"),1,0)))),"")</f>
        <v/>
      </c>
      <c r="R154" t="str">
        <f>IF($K154="","",IF(LENH_GOC!Q155="","",LENH_GOC!Q155))</f>
        <v/>
      </c>
      <c r="S154" s="43" t="str">
        <f>IF($K154="","",IF(LENH_GOC!R155="","",LENH_GOC!R155))</f>
        <v/>
      </c>
      <c r="T154">
        <f>IFERROR(IF($K154="",0,IF(AND(ISNUMBER($N154),INT($N154)=CAI_DAT!$B$4,LEFT(UPPER(TRIM($L154)),2)=LEFT(UPPER(TRIM(CAI_DAT!$B$5)),2),$Q154=1,OR(AND($M154="SO",ISNUMBER($P154),$P154&gt;0),AND($M154="MO",ISNUMBER($O154),$O154&gt;0))),1,0)),0)</f>
        <v>0</v>
      </c>
      <c r="U154" t="str">
        <f t="shared" si="24"/>
        <v/>
      </c>
      <c r="V154" t="str">
        <f t="shared" si="25"/>
        <v/>
      </c>
      <c r="W154" t="str">
        <f>IFERROR(IF($T154=0,"",COUNTIFS($T$3:$T$202,1,$V$3:$V$202,"&lt;"&amp;$V154)+COUNTIFS($T$3:$T154,1,$V$3:$V154,$V154)),"")</f>
        <v/>
      </c>
      <c r="X154" t="str">
        <f t="shared" si="26"/>
        <v/>
      </c>
    </row>
    <row r="155" spans="10:24">
      <c r="J155" t="str">
        <f>IF(LENH_GOC!A156="","",156)</f>
        <v/>
      </c>
      <c r="K155" t="str">
        <f>IF(LENH_GOC!A156="","",LENH_GOC!A156)</f>
        <v/>
      </c>
      <c r="L155" t="str">
        <f>IF($K155="","",IFERROR(TRIM(LENH_GOC!C156),""))</f>
        <v/>
      </c>
      <c r="M155" t="str">
        <f>IF($K155="","",IFERROR(UPPER(TRIM(LENH_GOC!Y156)),""))</f>
        <v/>
      </c>
      <c r="N155" s="43" t="str">
        <f>IFERROR(IF($K155="","",IF(LENH_GOC!G156="","",IF(ISNUMBER(LENH_GOC!G156),LENH_GOC!G156,DATE(VALUE(MID(LENH_GOC!G156,7,4)),VALUE(MID(LENH_GOC!G156,4,2)),VALUE(LEFT(LENH_GOC!G156,2)))+TIME(VALUE(MID(LENH_GOC!G156,12,2)),VALUE(MID(LENH_GOC!G156,15,2)),VALUE(MID(LENH_GOC!G156,18,2)))))), "")</f>
        <v/>
      </c>
      <c r="O155" t="str">
        <f>IF($K155="","",IF(LENH_GOC!E156="","",LENH_GOC!E156))</f>
        <v/>
      </c>
      <c r="P155" t="str">
        <f>IF($K155="","",IF(LENH_GOC!F156="","",LENH_GOC!F156))</f>
        <v/>
      </c>
      <c r="Q155" t="str">
        <f>IFERROR(IF($K155="","",IF(LENH_GOC!P156="","",IFERROR(VALUE(LENH_GOC!P156),IF(OR(LENH_GOC!P156=TRUE,UPPER(TRIM(LENH_GOC!P156))="TRUE"),1,0)))),"")</f>
        <v/>
      </c>
      <c r="R155" t="str">
        <f>IF($K155="","",IF(LENH_GOC!Q156="","",LENH_GOC!Q156))</f>
        <v/>
      </c>
      <c r="S155" s="43" t="str">
        <f>IF($K155="","",IF(LENH_GOC!R156="","",LENH_GOC!R156))</f>
        <v/>
      </c>
      <c r="T155">
        <f>IFERROR(IF($K155="",0,IF(AND(ISNUMBER($N155),INT($N155)=CAI_DAT!$B$4,LEFT(UPPER(TRIM($L155)),2)=LEFT(UPPER(TRIM(CAI_DAT!$B$5)),2),$Q155=1,OR(AND($M155="SO",ISNUMBER($P155),$P155&gt;0),AND($M155="MO",ISNUMBER($O155),$O155&gt;0))),1,0)),0)</f>
        <v>0</v>
      </c>
      <c r="U155" t="str">
        <f t="shared" si="24"/>
        <v/>
      </c>
      <c r="V155" t="str">
        <f t="shared" si="25"/>
        <v/>
      </c>
      <c r="W155" t="str">
        <f>IFERROR(IF($T155=0,"",COUNTIFS($T$3:$T$202,1,$V$3:$V$202,"&lt;"&amp;$V155)+COUNTIFS($T$3:$T155,1,$V$3:$V155,$V155)),"")</f>
        <v/>
      </c>
      <c r="X155" t="str">
        <f t="shared" si="26"/>
        <v/>
      </c>
    </row>
    <row r="156" spans="10:24">
      <c r="J156" t="str">
        <f>IF(LENH_GOC!A157="","",157)</f>
        <v/>
      </c>
      <c r="K156" t="str">
        <f>IF(LENH_GOC!A157="","",LENH_GOC!A157)</f>
        <v/>
      </c>
      <c r="L156" t="str">
        <f>IF($K156="","",IFERROR(TRIM(LENH_GOC!C157),""))</f>
        <v/>
      </c>
      <c r="M156" t="str">
        <f>IF($K156="","",IFERROR(UPPER(TRIM(LENH_GOC!Y157)),""))</f>
        <v/>
      </c>
      <c r="N156" s="43" t="str">
        <f>IFERROR(IF($K156="","",IF(LENH_GOC!G157="","",IF(ISNUMBER(LENH_GOC!G157),LENH_GOC!G157,DATE(VALUE(MID(LENH_GOC!G157,7,4)),VALUE(MID(LENH_GOC!G157,4,2)),VALUE(LEFT(LENH_GOC!G157,2)))+TIME(VALUE(MID(LENH_GOC!G157,12,2)),VALUE(MID(LENH_GOC!G157,15,2)),VALUE(MID(LENH_GOC!G157,18,2)))))), "")</f>
        <v/>
      </c>
      <c r="O156" t="str">
        <f>IF($K156="","",IF(LENH_GOC!E157="","",LENH_GOC!E157))</f>
        <v/>
      </c>
      <c r="P156" t="str">
        <f>IF($K156="","",IF(LENH_GOC!F157="","",LENH_GOC!F157))</f>
        <v/>
      </c>
      <c r="Q156" t="str">
        <f>IFERROR(IF($K156="","",IF(LENH_GOC!P157="","",IFERROR(VALUE(LENH_GOC!P157),IF(OR(LENH_GOC!P157=TRUE,UPPER(TRIM(LENH_GOC!P157))="TRUE"),1,0)))),"")</f>
        <v/>
      </c>
      <c r="R156" t="str">
        <f>IF($K156="","",IF(LENH_GOC!Q157="","",LENH_GOC!Q157))</f>
        <v/>
      </c>
      <c r="S156" s="43" t="str">
        <f>IF($K156="","",IF(LENH_GOC!R157="","",LENH_GOC!R157))</f>
        <v/>
      </c>
      <c r="T156">
        <f>IFERROR(IF($K156="",0,IF(AND(ISNUMBER($N156),INT($N156)=CAI_DAT!$B$4,LEFT(UPPER(TRIM($L156)),2)=LEFT(UPPER(TRIM(CAI_DAT!$B$5)),2),$Q156=1,OR(AND($M156="SO",ISNUMBER($P156),$P156&gt;0),AND($M156="MO",ISNUMBER($O156),$O156&gt;0))),1,0)),0)</f>
        <v>0</v>
      </c>
      <c r="U156" t="str">
        <f t="shared" si="24"/>
        <v/>
      </c>
      <c r="V156" t="str">
        <f t="shared" si="25"/>
        <v/>
      </c>
      <c r="W156" t="str">
        <f>IFERROR(IF($T156=0,"",COUNTIFS($T$3:$T$202,1,$V$3:$V$202,"&lt;"&amp;$V156)+COUNTIFS($T$3:$T156,1,$V$3:$V156,$V156)),"")</f>
        <v/>
      </c>
      <c r="X156" t="str">
        <f t="shared" si="26"/>
        <v/>
      </c>
    </row>
    <row r="157" spans="10:24">
      <c r="J157" t="str">
        <f>IF(LENH_GOC!A158="","",158)</f>
        <v/>
      </c>
      <c r="K157" t="str">
        <f>IF(LENH_GOC!A158="","",LENH_GOC!A158)</f>
        <v/>
      </c>
      <c r="L157" t="str">
        <f>IF($K157="","",IFERROR(TRIM(LENH_GOC!C158),""))</f>
        <v/>
      </c>
      <c r="M157" t="str">
        <f>IF($K157="","",IFERROR(UPPER(TRIM(LENH_GOC!Y158)),""))</f>
        <v/>
      </c>
      <c r="N157" s="43" t="str">
        <f>IFERROR(IF($K157="","",IF(LENH_GOC!G158="","",IF(ISNUMBER(LENH_GOC!G158),LENH_GOC!G158,DATE(VALUE(MID(LENH_GOC!G158,7,4)),VALUE(MID(LENH_GOC!G158,4,2)),VALUE(LEFT(LENH_GOC!G158,2)))+TIME(VALUE(MID(LENH_GOC!G158,12,2)),VALUE(MID(LENH_GOC!G158,15,2)),VALUE(MID(LENH_GOC!G158,18,2)))))), "")</f>
        <v/>
      </c>
      <c r="O157" t="str">
        <f>IF($K157="","",IF(LENH_GOC!E158="","",LENH_GOC!E158))</f>
        <v/>
      </c>
      <c r="P157" t="str">
        <f>IF($K157="","",IF(LENH_GOC!F158="","",LENH_GOC!F158))</f>
        <v/>
      </c>
      <c r="Q157" t="str">
        <f>IFERROR(IF($K157="","",IF(LENH_GOC!P158="","",IFERROR(VALUE(LENH_GOC!P158),IF(OR(LENH_GOC!P158=TRUE,UPPER(TRIM(LENH_GOC!P158))="TRUE"),1,0)))),"")</f>
        <v/>
      </c>
      <c r="R157" t="str">
        <f>IF($K157="","",IF(LENH_GOC!Q158="","",LENH_GOC!Q158))</f>
        <v/>
      </c>
      <c r="S157" s="43" t="str">
        <f>IF($K157="","",IF(LENH_GOC!R158="","",LENH_GOC!R158))</f>
        <v/>
      </c>
      <c r="T157">
        <f>IFERROR(IF($K157="",0,IF(AND(ISNUMBER($N157),INT($N157)=CAI_DAT!$B$4,LEFT(UPPER(TRIM($L157)),2)=LEFT(UPPER(TRIM(CAI_DAT!$B$5)),2),$Q157=1,OR(AND($M157="SO",ISNUMBER($P157),$P157&gt;0),AND($M157="MO",ISNUMBER($O157),$O157&gt;0))),1,0)),0)</f>
        <v>0</v>
      </c>
      <c r="U157" t="str">
        <f t="shared" si="24"/>
        <v/>
      </c>
      <c r="V157" t="str">
        <f t="shared" si="25"/>
        <v/>
      </c>
      <c r="W157" t="str">
        <f>IFERROR(IF($T157=0,"",COUNTIFS($T$3:$T$202,1,$V$3:$V$202,"&lt;"&amp;$V157)+COUNTIFS($T$3:$T157,1,$V$3:$V157,$V157)),"")</f>
        <v/>
      </c>
      <c r="X157" t="str">
        <f t="shared" si="26"/>
        <v/>
      </c>
    </row>
    <row r="158" spans="10:24">
      <c r="J158" t="str">
        <f>IF(LENH_GOC!A159="","",159)</f>
        <v/>
      </c>
      <c r="K158" t="str">
        <f>IF(LENH_GOC!A159="","",LENH_GOC!A159)</f>
        <v/>
      </c>
      <c r="L158" t="str">
        <f>IF($K158="","",IFERROR(TRIM(LENH_GOC!C159),""))</f>
        <v/>
      </c>
      <c r="M158" t="str">
        <f>IF($K158="","",IFERROR(UPPER(TRIM(LENH_GOC!Y159)),""))</f>
        <v/>
      </c>
      <c r="N158" s="43" t="str">
        <f>IFERROR(IF($K158="","",IF(LENH_GOC!G159="","",IF(ISNUMBER(LENH_GOC!G159),LENH_GOC!G159,DATE(VALUE(MID(LENH_GOC!G159,7,4)),VALUE(MID(LENH_GOC!G159,4,2)),VALUE(LEFT(LENH_GOC!G159,2)))+TIME(VALUE(MID(LENH_GOC!G159,12,2)),VALUE(MID(LENH_GOC!G159,15,2)),VALUE(MID(LENH_GOC!G159,18,2)))))), "")</f>
        <v/>
      </c>
      <c r="O158" t="str">
        <f>IF($K158="","",IF(LENH_GOC!E159="","",LENH_GOC!E159))</f>
        <v/>
      </c>
      <c r="P158" t="str">
        <f>IF($K158="","",IF(LENH_GOC!F159="","",LENH_GOC!F159))</f>
        <v/>
      </c>
      <c r="Q158" t="str">
        <f>IFERROR(IF($K158="","",IF(LENH_GOC!P159="","",IFERROR(VALUE(LENH_GOC!P159),IF(OR(LENH_GOC!P159=TRUE,UPPER(TRIM(LENH_GOC!P159))="TRUE"),1,0)))),"")</f>
        <v/>
      </c>
      <c r="R158" t="str">
        <f>IF($K158="","",IF(LENH_GOC!Q159="","",LENH_GOC!Q159))</f>
        <v/>
      </c>
      <c r="S158" s="43" t="str">
        <f>IF($K158="","",IF(LENH_GOC!R159="","",LENH_GOC!R159))</f>
        <v/>
      </c>
      <c r="T158">
        <f>IFERROR(IF($K158="",0,IF(AND(ISNUMBER($N158),INT($N158)=CAI_DAT!$B$4,LEFT(UPPER(TRIM($L158)),2)=LEFT(UPPER(TRIM(CAI_DAT!$B$5)),2),$Q158=1,OR(AND($M158="SO",ISNUMBER($P158),$P158&gt;0),AND($M158="MO",ISNUMBER($O158),$O158&gt;0))),1,0)),0)</f>
        <v>0</v>
      </c>
      <c r="U158" t="str">
        <f t="shared" si="24"/>
        <v/>
      </c>
      <c r="V158" t="str">
        <f t="shared" si="25"/>
        <v/>
      </c>
      <c r="W158" t="str">
        <f>IFERROR(IF($T158=0,"",COUNTIFS($T$3:$T$202,1,$V$3:$V$202,"&lt;"&amp;$V158)+COUNTIFS($T$3:$T158,1,$V$3:$V158,$V158)),"")</f>
        <v/>
      </c>
      <c r="X158" t="str">
        <f t="shared" si="26"/>
        <v/>
      </c>
    </row>
    <row r="159" spans="10:24">
      <c r="J159" t="str">
        <f>IF(LENH_GOC!A160="","",160)</f>
        <v/>
      </c>
      <c r="K159" t="str">
        <f>IF(LENH_GOC!A160="","",LENH_GOC!A160)</f>
        <v/>
      </c>
      <c r="L159" t="str">
        <f>IF($K159="","",IFERROR(TRIM(LENH_GOC!C160),""))</f>
        <v/>
      </c>
      <c r="M159" t="str">
        <f>IF($K159="","",IFERROR(UPPER(TRIM(LENH_GOC!Y160)),""))</f>
        <v/>
      </c>
      <c r="N159" s="43" t="str">
        <f>IFERROR(IF($K159="","",IF(LENH_GOC!G160="","",IF(ISNUMBER(LENH_GOC!G160),LENH_GOC!G160,DATE(VALUE(MID(LENH_GOC!G160,7,4)),VALUE(MID(LENH_GOC!G160,4,2)),VALUE(LEFT(LENH_GOC!G160,2)))+TIME(VALUE(MID(LENH_GOC!G160,12,2)),VALUE(MID(LENH_GOC!G160,15,2)),VALUE(MID(LENH_GOC!G160,18,2)))))), "")</f>
        <v/>
      </c>
      <c r="O159" t="str">
        <f>IF($K159="","",IF(LENH_GOC!E160="","",LENH_GOC!E160))</f>
        <v/>
      </c>
      <c r="P159" t="str">
        <f>IF($K159="","",IF(LENH_GOC!F160="","",LENH_GOC!F160))</f>
        <v/>
      </c>
      <c r="Q159" t="str">
        <f>IFERROR(IF($K159="","",IF(LENH_GOC!P160="","",IFERROR(VALUE(LENH_GOC!P160),IF(OR(LENH_GOC!P160=TRUE,UPPER(TRIM(LENH_GOC!P160))="TRUE"),1,0)))),"")</f>
        <v/>
      </c>
      <c r="R159" t="str">
        <f>IF($K159="","",IF(LENH_GOC!Q160="","",LENH_GOC!Q160))</f>
        <v/>
      </c>
      <c r="S159" s="43" t="str">
        <f>IF($K159="","",IF(LENH_GOC!R160="","",LENH_GOC!R160))</f>
        <v/>
      </c>
      <c r="T159">
        <f>IFERROR(IF($K159="",0,IF(AND(ISNUMBER($N159),INT($N159)=CAI_DAT!$B$4,LEFT(UPPER(TRIM($L159)),2)=LEFT(UPPER(TRIM(CAI_DAT!$B$5)),2),$Q159=1,OR(AND($M159="SO",ISNUMBER($P159),$P159&gt;0),AND($M159="MO",ISNUMBER($O159),$O159&gt;0))),1,0)),0)</f>
        <v>0</v>
      </c>
      <c r="U159" t="str">
        <f t="shared" si="24"/>
        <v/>
      </c>
      <c r="V159" t="str">
        <f t="shared" si="25"/>
        <v/>
      </c>
      <c r="W159" t="str">
        <f>IFERROR(IF($T159=0,"",COUNTIFS($T$3:$T$202,1,$V$3:$V$202,"&lt;"&amp;$V159)+COUNTIFS($T$3:$T159,1,$V$3:$V159,$V159)),"")</f>
        <v/>
      </c>
      <c r="X159" t="str">
        <f t="shared" si="26"/>
        <v/>
      </c>
    </row>
    <row r="160" spans="10:24">
      <c r="J160" t="str">
        <f>IF(LENH_GOC!A161="","",161)</f>
        <v/>
      </c>
      <c r="K160" t="str">
        <f>IF(LENH_GOC!A161="","",LENH_GOC!A161)</f>
        <v/>
      </c>
      <c r="L160" t="str">
        <f>IF($K160="","",IFERROR(TRIM(LENH_GOC!C161),""))</f>
        <v/>
      </c>
      <c r="M160" t="str">
        <f>IF($K160="","",IFERROR(UPPER(TRIM(LENH_GOC!Y161)),""))</f>
        <v/>
      </c>
      <c r="N160" s="43" t="str">
        <f>IFERROR(IF($K160="","",IF(LENH_GOC!G161="","",IF(ISNUMBER(LENH_GOC!G161),LENH_GOC!G161,DATE(VALUE(MID(LENH_GOC!G161,7,4)),VALUE(MID(LENH_GOC!G161,4,2)),VALUE(LEFT(LENH_GOC!G161,2)))+TIME(VALUE(MID(LENH_GOC!G161,12,2)),VALUE(MID(LENH_GOC!G161,15,2)),VALUE(MID(LENH_GOC!G161,18,2)))))), "")</f>
        <v/>
      </c>
      <c r="O160" t="str">
        <f>IF($K160="","",IF(LENH_GOC!E161="","",LENH_GOC!E161))</f>
        <v/>
      </c>
      <c r="P160" t="str">
        <f>IF($K160="","",IF(LENH_GOC!F161="","",LENH_GOC!F161))</f>
        <v/>
      </c>
      <c r="Q160" t="str">
        <f>IFERROR(IF($K160="","",IF(LENH_GOC!P161="","",IFERROR(VALUE(LENH_GOC!P161),IF(OR(LENH_GOC!P161=TRUE,UPPER(TRIM(LENH_GOC!P161))="TRUE"),1,0)))),"")</f>
        <v/>
      </c>
      <c r="R160" t="str">
        <f>IF($K160="","",IF(LENH_GOC!Q161="","",LENH_GOC!Q161))</f>
        <v/>
      </c>
      <c r="S160" s="43" t="str">
        <f>IF($K160="","",IF(LENH_GOC!R161="","",LENH_GOC!R161))</f>
        <v/>
      </c>
      <c r="T160">
        <f>IFERROR(IF($K160="",0,IF(AND(ISNUMBER($N160),INT($N160)=CAI_DAT!$B$4,LEFT(UPPER(TRIM($L160)),2)=LEFT(UPPER(TRIM(CAI_DAT!$B$5)),2),$Q160=1,OR(AND($M160="SO",ISNUMBER($P160),$P160&gt;0),AND($M160="MO",ISNUMBER($O160),$O160&gt;0))),1,0)),0)</f>
        <v>0</v>
      </c>
      <c r="U160" t="str">
        <f t="shared" si="24"/>
        <v/>
      </c>
      <c r="V160" t="str">
        <f t="shared" si="25"/>
        <v/>
      </c>
      <c r="W160" t="str">
        <f>IFERROR(IF($T160=0,"",COUNTIFS($T$3:$T$202,1,$V$3:$V$202,"&lt;"&amp;$V160)+COUNTIFS($T$3:$T160,1,$V$3:$V160,$V160)),"")</f>
        <v/>
      </c>
      <c r="X160" t="str">
        <f t="shared" si="26"/>
        <v/>
      </c>
    </row>
    <row r="161" spans="10:24">
      <c r="J161" t="str">
        <f>IF(LENH_GOC!A162="","",162)</f>
        <v/>
      </c>
      <c r="K161" t="str">
        <f>IF(LENH_GOC!A162="","",LENH_GOC!A162)</f>
        <v/>
      </c>
      <c r="L161" t="str">
        <f>IF($K161="","",IFERROR(TRIM(LENH_GOC!C162),""))</f>
        <v/>
      </c>
      <c r="M161" t="str">
        <f>IF($K161="","",IFERROR(UPPER(TRIM(LENH_GOC!Y162)),""))</f>
        <v/>
      </c>
      <c r="N161" s="43" t="str">
        <f>IFERROR(IF($K161="","",IF(LENH_GOC!G162="","",IF(ISNUMBER(LENH_GOC!G162),LENH_GOC!G162,DATE(VALUE(MID(LENH_GOC!G162,7,4)),VALUE(MID(LENH_GOC!G162,4,2)),VALUE(LEFT(LENH_GOC!G162,2)))+TIME(VALUE(MID(LENH_GOC!G162,12,2)),VALUE(MID(LENH_GOC!G162,15,2)),VALUE(MID(LENH_GOC!G162,18,2)))))), "")</f>
        <v/>
      </c>
      <c r="O161" t="str">
        <f>IF($K161="","",IF(LENH_GOC!E162="","",LENH_GOC!E162))</f>
        <v/>
      </c>
      <c r="P161" t="str">
        <f>IF($K161="","",IF(LENH_GOC!F162="","",LENH_GOC!F162))</f>
        <v/>
      </c>
      <c r="Q161" t="str">
        <f>IFERROR(IF($K161="","",IF(LENH_GOC!P162="","",IFERROR(VALUE(LENH_GOC!P162),IF(OR(LENH_GOC!P162=TRUE,UPPER(TRIM(LENH_GOC!P162))="TRUE"),1,0)))),"")</f>
        <v/>
      </c>
      <c r="R161" t="str">
        <f>IF($K161="","",IF(LENH_GOC!Q162="","",LENH_GOC!Q162))</f>
        <v/>
      </c>
      <c r="S161" s="43" t="str">
        <f>IF($K161="","",IF(LENH_GOC!R162="","",LENH_GOC!R162))</f>
        <v/>
      </c>
      <c r="T161">
        <f>IFERROR(IF($K161="",0,IF(AND(ISNUMBER($N161),INT($N161)=CAI_DAT!$B$4,LEFT(UPPER(TRIM($L161)),2)=LEFT(UPPER(TRIM(CAI_DAT!$B$5)),2),$Q161=1,OR(AND($M161="SO",ISNUMBER($P161),$P161&gt;0),AND($M161="MO",ISNUMBER($O161),$O161&gt;0))),1,0)),0)</f>
        <v>0</v>
      </c>
      <c r="U161" t="str">
        <f t="shared" si="24"/>
        <v/>
      </c>
      <c r="V161" t="str">
        <f t="shared" si="25"/>
        <v/>
      </c>
      <c r="W161" t="str">
        <f>IFERROR(IF($T161=0,"",COUNTIFS($T$3:$T$202,1,$V$3:$V$202,"&lt;"&amp;$V161)+COUNTIFS($T$3:$T161,1,$V$3:$V161,$V161)),"")</f>
        <v/>
      </c>
      <c r="X161" t="str">
        <f t="shared" si="26"/>
        <v/>
      </c>
    </row>
    <row r="162" spans="10:24">
      <c r="J162" t="str">
        <f>IF(LENH_GOC!A163="","",163)</f>
        <v/>
      </c>
      <c r="K162" t="str">
        <f>IF(LENH_GOC!A163="","",LENH_GOC!A163)</f>
        <v/>
      </c>
      <c r="L162" t="str">
        <f>IF($K162="","",IFERROR(TRIM(LENH_GOC!C163),""))</f>
        <v/>
      </c>
      <c r="M162" t="str">
        <f>IF($K162="","",IFERROR(UPPER(TRIM(LENH_GOC!Y163)),""))</f>
        <v/>
      </c>
      <c r="N162" s="43" t="str">
        <f>IFERROR(IF($K162="","",IF(LENH_GOC!G163="","",IF(ISNUMBER(LENH_GOC!G163),LENH_GOC!G163,DATE(VALUE(MID(LENH_GOC!G163,7,4)),VALUE(MID(LENH_GOC!G163,4,2)),VALUE(LEFT(LENH_GOC!G163,2)))+TIME(VALUE(MID(LENH_GOC!G163,12,2)),VALUE(MID(LENH_GOC!G163,15,2)),VALUE(MID(LENH_GOC!G163,18,2)))))), "")</f>
        <v/>
      </c>
      <c r="O162" t="str">
        <f>IF($K162="","",IF(LENH_GOC!E163="","",LENH_GOC!E163))</f>
        <v/>
      </c>
      <c r="P162" t="str">
        <f>IF($K162="","",IF(LENH_GOC!F163="","",LENH_GOC!F163))</f>
        <v/>
      </c>
      <c r="Q162" t="str">
        <f>IFERROR(IF($K162="","",IF(LENH_GOC!P163="","",IFERROR(VALUE(LENH_GOC!P163),IF(OR(LENH_GOC!P163=TRUE,UPPER(TRIM(LENH_GOC!P163))="TRUE"),1,0)))),"")</f>
        <v/>
      </c>
      <c r="R162" t="str">
        <f>IF($K162="","",IF(LENH_GOC!Q163="","",LENH_GOC!Q163))</f>
        <v/>
      </c>
      <c r="S162" s="43" t="str">
        <f>IF($K162="","",IF(LENH_GOC!R163="","",LENH_GOC!R163))</f>
        <v/>
      </c>
      <c r="T162">
        <f>IFERROR(IF($K162="",0,IF(AND(ISNUMBER($N162),INT($N162)=CAI_DAT!$B$4,LEFT(UPPER(TRIM($L162)),2)=LEFT(UPPER(TRIM(CAI_DAT!$B$5)),2),$Q162=1,OR(AND($M162="SO",ISNUMBER($P162),$P162&gt;0),AND($M162="MO",ISNUMBER($O162),$O162&gt;0))),1,0)),0)</f>
        <v>0</v>
      </c>
      <c r="U162" t="str">
        <f t="shared" si="24"/>
        <v/>
      </c>
      <c r="V162" t="str">
        <f t="shared" si="25"/>
        <v/>
      </c>
      <c r="W162" t="str">
        <f>IFERROR(IF($T162=0,"",COUNTIFS($T$3:$T$202,1,$V$3:$V$202,"&lt;"&amp;$V162)+COUNTIFS($T$3:$T162,1,$V$3:$V162,$V162)),"")</f>
        <v/>
      </c>
      <c r="X162" t="str">
        <f t="shared" si="26"/>
        <v/>
      </c>
    </row>
    <row r="163" spans="10:24">
      <c r="J163" t="str">
        <f>IF(LENH_GOC!A164="","",164)</f>
        <v/>
      </c>
      <c r="K163" t="str">
        <f>IF(LENH_GOC!A164="","",LENH_GOC!A164)</f>
        <v/>
      </c>
      <c r="L163" t="str">
        <f>IF($K163="","",IFERROR(TRIM(LENH_GOC!C164),""))</f>
        <v/>
      </c>
      <c r="M163" t="str">
        <f>IF($K163="","",IFERROR(UPPER(TRIM(LENH_GOC!Y164)),""))</f>
        <v/>
      </c>
      <c r="N163" s="43" t="str">
        <f>IFERROR(IF($K163="","",IF(LENH_GOC!G164="","",IF(ISNUMBER(LENH_GOC!G164),LENH_GOC!G164,DATE(VALUE(MID(LENH_GOC!G164,7,4)),VALUE(MID(LENH_GOC!G164,4,2)),VALUE(LEFT(LENH_GOC!G164,2)))+TIME(VALUE(MID(LENH_GOC!G164,12,2)),VALUE(MID(LENH_GOC!G164,15,2)),VALUE(MID(LENH_GOC!G164,18,2)))))), "")</f>
        <v/>
      </c>
      <c r="O163" t="str">
        <f>IF($K163="","",IF(LENH_GOC!E164="","",LENH_GOC!E164))</f>
        <v/>
      </c>
      <c r="P163" t="str">
        <f>IF($K163="","",IF(LENH_GOC!F164="","",LENH_GOC!F164))</f>
        <v/>
      </c>
      <c r="Q163" t="str">
        <f>IFERROR(IF($K163="","",IF(LENH_GOC!P164="","",IFERROR(VALUE(LENH_GOC!P164),IF(OR(LENH_GOC!P164=TRUE,UPPER(TRIM(LENH_GOC!P164))="TRUE"),1,0)))),"")</f>
        <v/>
      </c>
      <c r="R163" t="str">
        <f>IF($K163="","",IF(LENH_GOC!Q164="","",LENH_GOC!Q164))</f>
        <v/>
      </c>
      <c r="S163" s="43" t="str">
        <f>IF($K163="","",IF(LENH_GOC!R164="","",LENH_GOC!R164))</f>
        <v/>
      </c>
      <c r="T163">
        <f>IFERROR(IF($K163="",0,IF(AND(ISNUMBER($N163),INT($N163)=CAI_DAT!$B$4,LEFT(UPPER(TRIM($L163)),2)=LEFT(UPPER(TRIM(CAI_DAT!$B$5)),2),$Q163=1,OR(AND($M163="SO",ISNUMBER($P163),$P163&gt;0),AND($M163="MO",ISNUMBER($O163),$O163&gt;0))),1,0)),0)</f>
        <v>0</v>
      </c>
      <c r="U163" t="str">
        <f t="shared" ref="U163:U194" si="27">IFERROR(IF($T163=0,"",IF($M163="SO",$P163,IF(AND($M163="MO",OR($R163=TRUE,$R163="TRUE"),ISNUMBER($P163),$P163&gt;0),$P163,$O163))),"")</f>
        <v/>
      </c>
      <c r="V163" t="str">
        <f t="shared" ref="V163:V194" si="28">IFERROR(IF($T163=0,"",MOD($N163,1)*86400),"")</f>
        <v/>
      </c>
      <c r="W163" t="str">
        <f>IFERROR(IF($T163=0,"",COUNTIFS($T$3:$T$202,1,$V$3:$V$202,"&lt;"&amp;$V163)+COUNTIFS($T$3:$T163,1,$V$3:$V163,$V163)),"")</f>
        <v/>
      </c>
      <c r="X163" t="str">
        <f t="shared" ref="X163:X194" si="29">IFERROR(IF($T163=0,"",IF($M163="SO","SO: dùng CS hoàn thành",IF(AND($M163="MO",OR($R163=TRUE,$R163="TRUE"),ISNUMBER($P163),$P163&gt;0),"MO dừng sớm: dùng CS hoàn thành","MO: dùng CS ra lệnh"))),"")</f>
        <v/>
      </c>
    </row>
    <row r="164" spans="10:24">
      <c r="J164" t="str">
        <f>IF(LENH_GOC!A165="","",165)</f>
        <v/>
      </c>
      <c r="K164" t="str">
        <f>IF(LENH_GOC!A165="","",LENH_GOC!A165)</f>
        <v/>
      </c>
      <c r="L164" t="str">
        <f>IF($K164="","",IFERROR(TRIM(LENH_GOC!C165),""))</f>
        <v/>
      </c>
      <c r="M164" t="str">
        <f>IF($K164="","",IFERROR(UPPER(TRIM(LENH_GOC!Y165)),""))</f>
        <v/>
      </c>
      <c r="N164" s="43" t="str">
        <f>IFERROR(IF($K164="","",IF(LENH_GOC!G165="","",IF(ISNUMBER(LENH_GOC!G165),LENH_GOC!G165,DATE(VALUE(MID(LENH_GOC!G165,7,4)),VALUE(MID(LENH_GOC!G165,4,2)),VALUE(LEFT(LENH_GOC!G165,2)))+TIME(VALUE(MID(LENH_GOC!G165,12,2)),VALUE(MID(LENH_GOC!G165,15,2)),VALUE(MID(LENH_GOC!G165,18,2)))))), "")</f>
        <v/>
      </c>
      <c r="O164" t="str">
        <f>IF($K164="","",IF(LENH_GOC!E165="","",LENH_GOC!E165))</f>
        <v/>
      </c>
      <c r="P164" t="str">
        <f>IF($K164="","",IF(LENH_GOC!F165="","",LENH_GOC!F165))</f>
        <v/>
      </c>
      <c r="Q164" t="str">
        <f>IFERROR(IF($K164="","",IF(LENH_GOC!P165="","",IFERROR(VALUE(LENH_GOC!P165),IF(OR(LENH_GOC!P165=TRUE,UPPER(TRIM(LENH_GOC!P165))="TRUE"),1,0)))),"")</f>
        <v/>
      </c>
      <c r="R164" t="str">
        <f>IF($K164="","",IF(LENH_GOC!Q165="","",LENH_GOC!Q165))</f>
        <v/>
      </c>
      <c r="S164" s="43" t="str">
        <f>IF($K164="","",IF(LENH_GOC!R165="","",LENH_GOC!R165))</f>
        <v/>
      </c>
      <c r="T164">
        <f>IFERROR(IF($K164="",0,IF(AND(ISNUMBER($N164),INT($N164)=CAI_DAT!$B$4,LEFT(UPPER(TRIM($L164)),2)=LEFT(UPPER(TRIM(CAI_DAT!$B$5)),2),$Q164=1,OR(AND($M164="SO",ISNUMBER($P164),$P164&gt;0),AND($M164="MO",ISNUMBER($O164),$O164&gt;0))),1,0)),0)</f>
        <v>0</v>
      </c>
      <c r="U164" t="str">
        <f t="shared" si="27"/>
        <v/>
      </c>
      <c r="V164" t="str">
        <f t="shared" si="28"/>
        <v/>
      </c>
      <c r="W164" t="str">
        <f>IFERROR(IF($T164=0,"",COUNTIFS($T$3:$T$202,1,$V$3:$V$202,"&lt;"&amp;$V164)+COUNTIFS($T$3:$T164,1,$V$3:$V164,$V164)),"")</f>
        <v/>
      </c>
      <c r="X164" t="str">
        <f t="shared" si="29"/>
        <v/>
      </c>
    </row>
    <row r="165" spans="10:24">
      <c r="J165" t="str">
        <f>IF(LENH_GOC!A166="","",166)</f>
        <v/>
      </c>
      <c r="K165" t="str">
        <f>IF(LENH_GOC!A166="","",LENH_GOC!A166)</f>
        <v/>
      </c>
      <c r="L165" t="str">
        <f>IF($K165="","",IFERROR(TRIM(LENH_GOC!C166),""))</f>
        <v/>
      </c>
      <c r="M165" t="str">
        <f>IF($K165="","",IFERROR(UPPER(TRIM(LENH_GOC!Y166)),""))</f>
        <v/>
      </c>
      <c r="N165" s="43" t="str">
        <f>IFERROR(IF($K165="","",IF(LENH_GOC!G166="","",IF(ISNUMBER(LENH_GOC!G166),LENH_GOC!G166,DATE(VALUE(MID(LENH_GOC!G166,7,4)),VALUE(MID(LENH_GOC!G166,4,2)),VALUE(LEFT(LENH_GOC!G166,2)))+TIME(VALUE(MID(LENH_GOC!G166,12,2)),VALUE(MID(LENH_GOC!G166,15,2)),VALUE(MID(LENH_GOC!G166,18,2)))))), "")</f>
        <v/>
      </c>
      <c r="O165" t="str">
        <f>IF($K165="","",IF(LENH_GOC!E166="","",LENH_GOC!E166))</f>
        <v/>
      </c>
      <c r="P165" t="str">
        <f>IF($K165="","",IF(LENH_GOC!F166="","",LENH_GOC!F166))</f>
        <v/>
      </c>
      <c r="Q165" t="str">
        <f>IFERROR(IF($K165="","",IF(LENH_GOC!P166="","",IFERROR(VALUE(LENH_GOC!P166),IF(OR(LENH_GOC!P166=TRUE,UPPER(TRIM(LENH_GOC!P166))="TRUE"),1,0)))),"")</f>
        <v/>
      </c>
      <c r="R165" t="str">
        <f>IF($K165="","",IF(LENH_GOC!Q166="","",LENH_GOC!Q166))</f>
        <v/>
      </c>
      <c r="S165" s="43" t="str">
        <f>IF($K165="","",IF(LENH_GOC!R166="","",LENH_GOC!R166))</f>
        <v/>
      </c>
      <c r="T165">
        <f>IFERROR(IF($K165="",0,IF(AND(ISNUMBER($N165),INT($N165)=CAI_DAT!$B$4,LEFT(UPPER(TRIM($L165)),2)=LEFT(UPPER(TRIM(CAI_DAT!$B$5)),2),$Q165=1,OR(AND($M165="SO",ISNUMBER($P165),$P165&gt;0),AND($M165="MO",ISNUMBER($O165),$O165&gt;0))),1,0)),0)</f>
        <v>0</v>
      </c>
      <c r="U165" t="str">
        <f t="shared" si="27"/>
        <v/>
      </c>
      <c r="V165" t="str">
        <f t="shared" si="28"/>
        <v/>
      </c>
      <c r="W165" t="str">
        <f>IFERROR(IF($T165=0,"",COUNTIFS($T$3:$T$202,1,$V$3:$V$202,"&lt;"&amp;$V165)+COUNTIFS($T$3:$T165,1,$V$3:$V165,$V165)),"")</f>
        <v/>
      </c>
      <c r="X165" t="str">
        <f t="shared" si="29"/>
        <v/>
      </c>
    </row>
    <row r="166" spans="10:24">
      <c r="J166" t="str">
        <f>IF(LENH_GOC!A167="","",167)</f>
        <v/>
      </c>
      <c r="K166" t="str">
        <f>IF(LENH_GOC!A167="","",LENH_GOC!A167)</f>
        <v/>
      </c>
      <c r="L166" t="str">
        <f>IF($K166="","",IFERROR(TRIM(LENH_GOC!C167),""))</f>
        <v/>
      </c>
      <c r="M166" t="str">
        <f>IF($K166="","",IFERROR(UPPER(TRIM(LENH_GOC!Y167)),""))</f>
        <v/>
      </c>
      <c r="N166" s="43" t="str">
        <f>IFERROR(IF($K166="","",IF(LENH_GOC!G167="","",IF(ISNUMBER(LENH_GOC!G167),LENH_GOC!G167,DATE(VALUE(MID(LENH_GOC!G167,7,4)),VALUE(MID(LENH_GOC!G167,4,2)),VALUE(LEFT(LENH_GOC!G167,2)))+TIME(VALUE(MID(LENH_GOC!G167,12,2)),VALUE(MID(LENH_GOC!G167,15,2)),VALUE(MID(LENH_GOC!G167,18,2)))))), "")</f>
        <v/>
      </c>
      <c r="O166" t="str">
        <f>IF($K166="","",IF(LENH_GOC!E167="","",LENH_GOC!E167))</f>
        <v/>
      </c>
      <c r="P166" t="str">
        <f>IF($K166="","",IF(LENH_GOC!F167="","",LENH_GOC!F167))</f>
        <v/>
      </c>
      <c r="Q166" t="str">
        <f>IFERROR(IF($K166="","",IF(LENH_GOC!P167="","",IFERROR(VALUE(LENH_GOC!P167),IF(OR(LENH_GOC!P167=TRUE,UPPER(TRIM(LENH_GOC!P167))="TRUE"),1,0)))),"")</f>
        <v/>
      </c>
      <c r="R166" t="str">
        <f>IF($K166="","",IF(LENH_GOC!Q167="","",LENH_GOC!Q167))</f>
        <v/>
      </c>
      <c r="S166" s="43" t="str">
        <f>IF($K166="","",IF(LENH_GOC!R167="","",LENH_GOC!R167))</f>
        <v/>
      </c>
      <c r="T166">
        <f>IFERROR(IF($K166="",0,IF(AND(ISNUMBER($N166),INT($N166)=CAI_DAT!$B$4,LEFT(UPPER(TRIM($L166)),2)=LEFT(UPPER(TRIM(CAI_DAT!$B$5)),2),$Q166=1,OR(AND($M166="SO",ISNUMBER($P166),$P166&gt;0),AND($M166="MO",ISNUMBER($O166),$O166&gt;0))),1,0)),0)</f>
        <v>0</v>
      </c>
      <c r="U166" t="str">
        <f t="shared" si="27"/>
        <v/>
      </c>
      <c r="V166" t="str">
        <f t="shared" si="28"/>
        <v/>
      </c>
      <c r="W166" t="str">
        <f>IFERROR(IF($T166=0,"",COUNTIFS($T$3:$T$202,1,$V$3:$V$202,"&lt;"&amp;$V166)+COUNTIFS($T$3:$T166,1,$V$3:$V166,$V166)),"")</f>
        <v/>
      </c>
      <c r="X166" t="str">
        <f t="shared" si="29"/>
        <v/>
      </c>
    </row>
    <row r="167" spans="10:24">
      <c r="J167" t="str">
        <f>IF(LENH_GOC!A168="","",168)</f>
        <v/>
      </c>
      <c r="K167" t="str">
        <f>IF(LENH_GOC!A168="","",LENH_GOC!A168)</f>
        <v/>
      </c>
      <c r="L167" t="str">
        <f>IF($K167="","",IFERROR(TRIM(LENH_GOC!C168),""))</f>
        <v/>
      </c>
      <c r="M167" t="str">
        <f>IF($K167="","",IFERROR(UPPER(TRIM(LENH_GOC!Y168)),""))</f>
        <v/>
      </c>
      <c r="N167" s="43" t="str">
        <f>IFERROR(IF($K167="","",IF(LENH_GOC!G168="","",IF(ISNUMBER(LENH_GOC!G168),LENH_GOC!G168,DATE(VALUE(MID(LENH_GOC!G168,7,4)),VALUE(MID(LENH_GOC!G168,4,2)),VALUE(LEFT(LENH_GOC!G168,2)))+TIME(VALUE(MID(LENH_GOC!G168,12,2)),VALUE(MID(LENH_GOC!G168,15,2)),VALUE(MID(LENH_GOC!G168,18,2)))))), "")</f>
        <v/>
      </c>
      <c r="O167" t="str">
        <f>IF($K167="","",IF(LENH_GOC!E168="","",LENH_GOC!E168))</f>
        <v/>
      </c>
      <c r="P167" t="str">
        <f>IF($K167="","",IF(LENH_GOC!F168="","",LENH_GOC!F168))</f>
        <v/>
      </c>
      <c r="Q167" t="str">
        <f>IFERROR(IF($K167="","",IF(LENH_GOC!P168="","",IFERROR(VALUE(LENH_GOC!P168),IF(OR(LENH_GOC!P168=TRUE,UPPER(TRIM(LENH_GOC!P168))="TRUE"),1,0)))),"")</f>
        <v/>
      </c>
      <c r="R167" t="str">
        <f>IF($K167="","",IF(LENH_GOC!Q168="","",LENH_GOC!Q168))</f>
        <v/>
      </c>
      <c r="S167" s="43" t="str">
        <f>IF($K167="","",IF(LENH_GOC!R168="","",LENH_GOC!R168))</f>
        <v/>
      </c>
      <c r="T167">
        <f>IFERROR(IF($K167="",0,IF(AND(ISNUMBER($N167),INT($N167)=CAI_DAT!$B$4,LEFT(UPPER(TRIM($L167)),2)=LEFT(UPPER(TRIM(CAI_DAT!$B$5)),2),$Q167=1,OR(AND($M167="SO",ISNUMBER($P167),$P167&gt;0),AND($M167="MO",ISNUMBER($O167),$O167&gt;0))),1,0)),0)</f>
        <v>0</v>
      </c>
      <c r="U167" t="str">
        <f t="shared" si="27"/>
        <v/>
      </c>
      <c r="V167" t="str">
        <f t="shared" si="28"/>
        <v/>
      </c>
      <c r="W167" t="str">
        <f>IFERROR(IF($T167=0,"",COUNTIFS($T$3:$T$202,1,$V$3:$V$202,"&lt;"&amp;$V167)+COUNTIFS($T$3:$T167,1,$V$3:$V167,$V167)),"")</f>
        <v/>
      </c>
      <c r="X167" t="str">
        <f t="shared" si="29"/>
        <v/>
      </c>
    </row>
    <row r="168" spans="10:24">
      <c r="J168" t="str">
        <f>IF(LENH_GOC!A169="","",169)</f>
        <v/>
      </c>
      <c r="K168" t="str">
        <f>IF(LENH_GOC!A169="","",LENH_GOC!A169)</f>
        <v/>
      </c>
      <c r="L168" t="str">
        <f>IF($K168="","",IFERROR(TRIM(LENH_GOC!C169),""))</f>
        <v/>
      </c>
      <c r="M168" t="str">
        <f>IF($K168="","",IFERROR(UPPER(TRIM(LENH_GOC!Y169)),""))</f>
        <v/>
      </c>
      <c r="N168" s="43" t="str">
        <f>IFERROR(IF($K168="","",IF(LENH_GOC!G169="","",IF(ISNUMBER(LENH_GOC!G169),LENH_GOC!G169,DATE(VALUE(MID(LENH_GOC!G169,7,4)),VALUE(MID(LENH_GOC!G169,4,2)),VALUE(LEFT(LENH_GOC!G169,2)))+TIME(VALUE(MID(LENH_GOC!G169,12,2)),VALUE(MID(LENH_GOC!G169,15,2)),VALUE(MID(LENH_GOC!G169,18,2)))))), "")</f>
        <v/>
      </c>
      <c r="O168" t="str">
        <f>IF($K168="","",IF(LENH_GOC!E169="","",LENH_GOC!E169))</f>
        <v/>
      </c>
      <c r="P168" t="str">
        <f>IF($K168="","",IF(LENH_GOC!F169="","",LENH_GOC!F169))</f>
        <v/>
      </c>
      <c r="Q168" t="str">
        <f>IFERROR(IF($K168="","",IF(LENH_GOC!P169="","",IFERROR(VALUE(LENH_GOC!P169),IF(OR(LENH_GOC!P169=TRUE,UPPER(TRIM(LENH_GOC!P169))="TRUE"),1,0)))),"")</f>
        <v/>
      </c>
      <c r="R168" t="str">
        <f>IF($K168="","",IF(LENH_GOC!Q169="","",LENH_GOC!Q169))</f>
        <v/>
      </c>
      <c r="S168" s="43" t="str">
        <f>IF($K168="","",IF(LENH_GOC!R169="","",LENH_GOC!R169))</f>
        <v/>
      </c>
      <c r="T168">
        <f>IFERROR(IF($K168="",0,IF(AND(ISNUMBER($N168),INT($N168)=CAI_DAT!$B$4,LEFT(UPPER(TRIM($L168)),2)=LEFT(UPPER(TRIM(CAI_DAT!$B$5)),2),$Q168=1,OR(AND($M168="SO",ISNUMBER($P168),$P168&gt;0),AND($M168="MO",ISNUMBER($O168),$O168&gt;0))),1,0)),0)</f>
        <v>0</v>
      </c>
      <c r="U168" t="str">
        <f t="shared" si="27"/>
        <v/>
      </c>
      <c r="V168" t="str">
        <f t="shared" si="28"/>
        <v/>
      </c>
      <c r="W168" t="str">
        <f>IFERROR(IF($T168=0,"",COUNTIFS($T$3:$T$202,1,$V$3:$V$202,"&lt;"&amp;$V168)+COUNTIFS($T$3:$T168,1,$V$3:$V168,$V168)),"")</f>
        <v/>
      </c>
      <c r="X168" t="str">
        <f t="shared" si="29"/>
        <v/>
      </c>
    </row>
    <row r="169" spans="10:24">
      <c r="J169" t="str">
        <f>IF(LENH_GOC!A170="","",170)</f>
        <v/>
      </c>
      <c r="K169" t="str">
        <f>IF(LENH_GOC!A170="","",LENH_GOC!A170)</f>
        <v/>
      </c>
      <c r="L169" t="str">
        <f>IF($K169="","",IFERROR(TRIM(LENH_GOC!C170),""))</f>
        <v/>
      </c>
      <c r="M169" t="str">
        <f>IF($K169="","",IFERROR(UPPER(TRIM(LENH_GOC!Y170)),""))</f>
        <v/>
      </c>
      <c r="N169" s="43" t="str">
        <f>IFERROR(IF($K169="","",IF(LENH_GOC!G170="","",IF(ISNUMBER(LENH_GOC!G170),LENH_GOC!G170,DATE(VALUE(MID(LENH_GOC!G170,7,4)),VALUE(MID(LENH_GOC!G170,4,2)),VALUE(LEFT(LENH_GOC!G170,2)))+TIME(VALUE(MID(LENH_GOC!G170,12,2)),VALUE(MID(LENH_GOC!G170,15,2)),VALUE(MID(LENH_GOC!G170,18,2)))))), "")</f>
        <v/>
      </c>
      <c r="O169" t="str">
        <f>IF($K169="","",IF(LENH_GOC!E170="","",LENH_GOC!E170))</f>
        <v/>
      </c>
      <c r="P169" t="str">
        <f>IF($K169="","",IF(LENH_GOC!F170="","",LENH_GOC!F170))</f>
        <v/>
      </c>
      <c r="Q169" t="str">
        <f>IFERROR(IF($K169="","",IF(LENH_GOC!P170="","",IFERROR(VALUE(LENH_GOC!P170),IF(OR(LENH_GOC!P170=TRUE,UPPER(TRIM(LENH_GOC!P170))="TRUE"),1,0)))),"")</f>
        <v/>
      </c>
      <c r="R169" t="str">
        <f>IF($K169="","",IF(LENH_GOC!Q170="","",LENH_GOC!Q170))</f>
        <v/>
      </c>
      <c r="S169" s="43" t="str">
        <f>IF($K169="","",IF(LENH_GOC!R170="","",LENH_GOC!R170))</f>
        <v/>
      </c>
      <c r="T169">
        <f>IFERROR(IF($K169="",0,IF(AND(ISNUMBER($N169),INT($N169)=CAI_DAT!$B$4,LEFT(UPPER(TRIM($L169)),2)=LEFT(UPPER(TRIM(CAI_DAT!$B$5)),2),$Q169=1,OR(AND($M169="SO",ISNUMBER($P169),$P169&gt;0),AND($M169="MO",ISNUMBER($O169),$O169&gt;0))),1,0)),0)</f>
        <v>0</v>
      </c>
      <c r="U169" t="str">
        <f t="shared" si="27"/>
        <v/>
      </c>
      <c r="V169" t="str">
        <f t="shared" si="28"/>
        <v/>
      </c>
      <c r="W169" t="str">
        <f>IFERROR(IF($T169=0,"",COUNTIFS($T$3:$T$202,1,$V$3:$V$202,"&lt;"&amp;$V169)+COUNTIFS($T$3:$T169,1,$V$3:$V169,$V169)),"")</f>
        <v/>
      </c>
      <c r="X169" t="str">
        <f t="shared" si="29"/>
        <v/>
      </c>
    </row>
    <row r="170" spans="10:24">
      <c r="J170" t="str">
        <f>IF(LENH_GOC!A171="","",171)</f>
        <v/>
      </c>
      <c r="K170" t="str">
        <f>IF(LENH_GOC!A171="","",LENH_GOC!A171)</f>
        <v/>
      </c>
      <c r="L170" t="str">
        <f>IF($K170="","",IFERROR(TRIM(LENH_GOC!C171),""))</f>
        <v/>
      </c>
      <c r="M170" t="str">
        <f>IF($K170="","",IFERROR(UPPER(TRIM(LENH_GOC!Y171)),""))</f>
        <v/>
      </c>
      <c r="N170" s="43" t="str">
        <f>IFERROR(IF($K170="","",IF(LENH_GOC!G171="","",IF(ISNUMBER(LENH_GOC!G171),LENH_GOC!G171,DATE(VALUE(MID(LENH_GOC!G171,7,4)),VALUE(MID(LENH_GOC!G171,4,2)),VALUE(LEFT(LENH_GOC!G171,2)))+TIME(VALUE(MID(LENH_GOC!G171,12,2)),VALUE(MID(LENH_GOC!G171,15,2)),VALUE(MID(LENH_GOC!G171,18,2)))))), "")</f>
        <v/>
      </c>
      <c r="O170" t="str">
        <f>IF($K170="","",IF(LENH_GOC!E171="","",LENH_GOC!E171))</f>
        <v/>
      </c>
      <c r="P170" t="str">
        <f>IF($K170="","",IF(LENH_GOC!F171="","",LENH_GOC!F171))</f>
        <v/>
      </c>
      <c r="Q170" t="str">
        <f>IFERROR(IF($K170="","",IF(LENH_GOC!P171="","",IFERROR(VALUE(LENH_GOC!P171),IF(OR(LENH_GOC!P171=TRUE,UPPER(TRIM(LENH_GOC!P171))="TRUE"),1,0)))),"")</f>
        <v/>
      </c>
      <c r="R170" t="str">
        <f>IF($K170="","",IF(LENH_GOC!Q171="","",LENH_GOC!Q171))</f>
        <v/>
      </c>
      <c r="S170" s="43" t="str">
        <f>IF($K170="","",IF(LENH_GOC!R171="","",LENH_GOC!R171))</f>
        <v/>
      </c>
      <c r="T170">
        <f>IFERROR(IF($K170="",0,IF(AND(ISNUMBER($N170),INT($N170)=CAI_DAT!$B$4,LEFT(UPPER(TRIM($L170)),2)=LEFT(UPPER(TRIM(CAI_DAT!$B$5)),2),$Q170=1,OR(AND($M170="SO",ISNUMBER($P170),$P170&gt;0),AND($M170="MO",ISNUMBER($O170),$O170&gt;0))),1,0)),0)</f>
        <v>0</v>
      </c>
      <c r="U170" t="str">
        <f t="shared" si="27"/>
        <v/>
      </c>
      <c r="V170" t="str">
        <f t="shared" si="28"/>
        <v/>
      </c>
      <c r="W170" t="str">
        <f>IFERROR(IF($T170=0,"",COUNTIFS($T$3:$T$202,1,$V$3:$V$202,"&lt;"&amp;$V170)+COUNTIFS($T$3:$T170,1,$V$3:$V170,$V170)),"")</f>
        <v/>
      </c>
      <c r="X170" t="str">
        <f t="shared" si="29"/>
        <v/>
      </c>
    </row>
    <row r="171" spans="10:24">
      <c r="J171" t="str">
        <f>IF(LENH_GOC!A172="","",172)</f>
        <v/>
      </c>
      <c r="K171" t="str">
        <f>IF(LENH_GOC!A172="","",LENH_GOC!A172)</f>
        <v/>
      </c>
      <c r="L171" t="str">
        <f>IF($K171="","",IFERROR(TRIM(LENH_GOC!C172),""))</f>
        <v/>
      </c>
      <c r="M171" t="str">
        <f>IF($K171="","",IFERROR(UPPER(TRIM(LENH_GOC!Y172)),""))</f>
        <v/>
      </c>
      <c r="N171" s="43" t="str">
        <f>IFERROR(IF($K171="","",IF(LENH_GOC!G172="","",IF(ISNUMBER(LENH_GOC!G172),LENH_GOC!G172,DATE(VALUE(MID(LENH_GOC!G172,7,4)),VALUE(MID(LENH_GOC!G172,4,2)),VALUE(LEFT(LENH_GOC!G172,2)))+TIME(VALUE(MID(LENH_GOC!G172,12,2)),VALUE(MID(LENH_GOC!G172,15,2)),VALUE(MID(LENH_GOC!G172,18,2)))))), "")</f>
        <v/>
      </c>
      <c r="O171" t="str">
        <f>IF($K171="","",IF(LENH_GOC!E172="","",LENH_GOC!E172))</f>
        <v/>
      </c>
      <c r="P171" t="str">
        <f>IF($K171="","",IF(LENH_GOC!F172="","",LENH_GOC!F172))</f>
        <v/>
      </c>
      <c r="Q171" t="str">
        <f>IFERROR(IF($K171="","",IF(LENH_GOC!P172="","",IFERROR(VALUE(LENH_GOC!P172),IF(OR(LENH_GOC!P172=TRUE,UPPER(TRIM(LENH_GOC!P172))="TRUE"),1,0)))),"")</f>
        <v/>
      </c>
      <c r="R171" t="str">
        <f>IF($K171="","",IF(LENH_GOC!Q172="","",LENH_GOC!Q172))</f>
        <v/>
      </c>
      <c r="S171" s="43" t="str">
        <f>IF($K171="","",IF(LENH_GOC!R172="","",LENH_GOC!R172))</f>
        <v/>
      </c>
      <c r="T171">
        <f>IFERROR(IF($K171="",0,IF(AND(ISNUMBER($N171),INT($N171)=CAI_DAT!$B$4,LEFT(UPPER(TRIM($L171)),2)=LEFT(UPPER(TRIM(CAI_DAT!$B$5)),2),$Q171=1,OR(AND($M171="SO",ISNUMBER($P171),$P171&gt;0),AND($M171="MO",ISNUMBER($O171),$O171&gt;0))),1,0)),0)</f>
        <v>0</v>
      </c>
      <c r="U171" t="str">
        <f t="shared" si="27"/>
        <v/>
      </c>
      <c r="V171" t="str">
        <f t="shared" si="28"/>
        <v/>
      </c>
      <c r="W171" t="str">
        <f>IFERROR(IF($T171=0,"",COUNTIFS($T$3:$T$202,1,$V$3:$V$202,"&lt;"&amp;$V171)+COUNTIFS($T$3:$T171,1,$V$3:$V171,$V171)),"")</f>
        <v/>
      </c>
      <c r="X171" t="str">
        <f t="shared" si="29"/>
        <v/>
      </c>
    </row>
    <row r="172" spans="10:24">
      <c r="J172" t="str">
        <f>IF(LENH_GOC!A173="","",173)</f>
        <v/>
      </c>
      <c r="K172" t="str">
        <f>IF(LENH_GOC!A173="","",LENH_GOC!A173)</f>
        <v/>
      </c>
      <c r="L172" t="str">
        <f>IF($K172="","",IFERROR(TRIM(LENH_GOC!C173),""))</f>
        <v/>
      </c>
      <c r="M172" t="str">
        <f>IF($K172="","",IFERROR(UPPER(TRIM(LENH_GOC!Y173)),""))</f>
        <v/>
      </c>
      <c r="N172" s="43" t="str">
        <f>IFERROR(IF($K172="","",IF(LENH_GOC!G173="","",IF(ISNUMBER(LENH_GOC!G173),LENH_GOC!G173,DATE(VALUE(MID(LENH_GOC!G173,7,4)),VALUE(MID(LENH_GOC!G173,4,2)),VALUE(LEFT(LENH_GOC!G173,2)))+TIME(VALUE(MID(LENH_GOC!G173,12,2)),VALUE(MID(LENH_GOC!G173,15,2)),VALUE(MID(LENH_GOC!G173,18,2)))))), "")</f>
        <v/>
      </c>
      <c r="O172" t="str">
        <f>IF($K172="","",IF(LENH_GOC!E173="","",LENH_GOC!E173))</f>
        <v/>
      </c>
      <c r="P172" t="str">
        <f>IF($K172="","",IF(LENH_GOC!F173="","",LENH_GOC!F173))</f>
        <v/>
      </c>
      <c r="Q172" t="str">
        <f>IFERROR(IF($K172="","",IF(LENH_GOC!P173="","",IFERROR(VALUE(LENH_GOC!P173),IF(OR(LENH_GOC!P173=TRUE,UPPER(TRIM(LENH_GOC!P173))="TRUE"),1,0)))),"")</f>
        <v/>
      </c>
      <c r="R172" t="str">
        <f>IF($K172="","",IF(LENH_GOC!Q173="","",LENH_GOC!Q173))</f>
        <v/>
      </c>
      <c r="S172" s="43" t="str">
        <f>IF($K172="","",IF(LENH_GOC!R173="","",LENH_GOC!R173))</f>
        <v/>
      </c>
      <c r="T172">
        <f>IFERROR(IF($K172="",0,IF(AND(ISNUMBER($N172),INT($N172)=CAI_DAT!$B$4,LEFT(UPPER(TRIM($L172)),2)=LEFT(UPPER(TRIM(CAI_DAT!$B$5)),2),$Q172=1,OR(AND($M172="SO",ISNUMBER($P172),$P172&gt;0),AND($M172="MO",ISNUMBER($O172),$O172&gt;0))),1,0)),0)</f>
        <v>0</v>
      </c>
      <c r="U172" t="str">
        <f t="shared" si="27"/>
        <v/>
      </c>
      <c r="V172" t="str">
        <f t="shared" si="28"/>
        <v/>
      </c>
      <c r="W172" t="str">
        <f>IFERROR(IF($T172=0,"",COUNTIFS($T$3:$T$202,1,$V$3:$V$202,"&lt;"&amp;$V172)+COUNTIFS($T$3:$T172,1,$V$3:$V172,$V172)),"")</f>
        <v/>
      </c>
      <c r="X172" t="str">
        <f t="shared" si="29"/>
        <v/>
      </c>
    </row>
    <row r="173" spans="10:24">
      <c r="J173" t="str">
        <f>IF(LENH_GOC!A174="","",174)</f>
        <v/>
      </c>
      <c r="K173" t="str">
        <f>IF(LENH_GOC!A174="","",LENH_GOC!A174)</f>
        <v/>
      </c>
      <c r="L173" t="str">
        <f>IF($K173="","",IFERROR(TRIM(LENH_GOC!C174),""))</f>
        <v/>
      </c>
      <c r="M173" t="str">
        <f>IF($K173="","",IFERROR(UPPER(TRIM(LENH_GOC!Y174)),""))</f>
        <v/>
      </c>
      <c r="N173" s="43" t="str">
        <f>IFERROR(IF($K173="","",IF(LENH_GOC!G174="","",IF(ISNUMBER(LENH_GOC!G174),LENH_GOC!G174,DATE(VALUE(MID(LENH_GOC!G174,7,4)),VALUE(MID(LENH_GOC!G174,4,2)),VALUE(LEFT(LENH_GOC!G174,2)))+TIME(VALUE(MID(LENH_GOC!G174,12,2)),VALUE(MID(LENH_GOC!G174,15,2)),VALUE(MID(LENH_GOC!G174,18,2)))))), "")</f>
        <v/>
      </c>
      <c r="O173" t="str">
        <f>IF($K173="","",IF(LENH_GOC!E174="","",LENH_GOC!E174))</f>
        <v/>
      </c>
      <c r="P173" t="str">
        <f>IF($K173="","",IF(LENH_GOC!F174="","",LENH_GOC!F174))</f>
        <v/>
      </c>
      <c r="Q173" t="str">
        <f>IFERROR(IF($K173="","",IF(LENH_GOC!P174="","",IFERROR(VALUE(LENH_GOC!P174),IF(OR(LENH_GOC!P174=TRUE,UPPER(TRIM(LENH_GOC!P174))="TRUE"),1,0)))),"")</f>
        <v/>
      </c>
      <c r="R173" t="str">
        <f>IF($K173="","",IF(LENH_GOC!Q174="","",LENH_GOC!Q174))</f>
        <v/>
      </c>
      <c r="S173" s="43" t="str">
        <f>IF($K173="","",IF(LENH_GOC!R174="","",LENH_GOC!R174))</f>
        <v/>
      </c>
      <c r="T173">
        <f>IFERROR(IF($K173="",0,IF(AND(ISNUMBER($N173),INT($N173)=CAI_DAT!$B$4,LEFT(UPPER(TRIM($L173)),2)=LEFT(UPPER(TRIM(CAI_DAT!$B$5)),2),$Q173=1,OR(AND($M173="SO",ISNUMBER($P173),$P173&gt;0),AND($M173="MO",ISNUMBER($O173),$O173&gt;0))),1,0)),0)</f>
        <v>0</v>
      </c>
      <c r="U173" t="str">
        <f t="shared" si="27"/>
        <v/>
      </c>
      <c r="V173" t="str">
        <f t="shared" si="28"/>
        <v/>
      </c>
      <c r="W173" t="str">
        <f>IFERROR(IF($T173=0,"",COUNTIFS($T$3:$T$202,1,$V$3:$V$202,"&lt;"&amp;$V173)+COUNTIFS($T$3:$T173,1,$V$3:$V173,$V173)),"")</f>
        <v/>
      </c>
      <c r="X173" t="str">
        <f t="shared" si="29"/>
        <v/>
      </c>
    </row>
    <row r="174" spans="10:24">
      <c r="J174" t="str">
        <f>IF(LENH_GOC!A175="","",175)</f>
        <v/>
      </c>
      <c r="K174" t="str">
        <f>IF(LENH_GOC!A175="","",LENH_GOC!A175)</f>
        <v/>
      </c>
      <c r="L174" t="str">
        <f>IF($K174="","",IFERROR(TRIM(LENH_GOC!C175),""))</f>
        <v/>
      </c>
      <c r="M174" t="str">
        <f>IF($K174="","",IFERROR(UPPER(TRIM(LENH_GOC!Y175)),""))</f>
        <v/>
      </c>
      <c r="N174" s="43" t="str">
        <f>IFERROR(IF($K174="","",IF(LENH_GOC!G175="","",IF(ISNUMBER(LENH_GOC!G175),LENH_GOC!G175,DATE(VALUE(MID(LENH_GOC!G175,7,4)),VALUE(MID(LENH_GOC!G175,4,2)),VALUE(LEFT(LENH_GOC!G175,2)))+TIME(VALUE(MID(LENH_GOC!G175,12,2)),VALUE(MID(LENH_GOC!G175,15,2)),VALUE(MID(LENH_GOC!G175,18,2)))))), "")</f>
        <v/>
      </c>
      <c r="O174" t="str">
        <f>IF($K174="","",IF(LENH_GOC!E175="","",LENH_GOC!E175))</f>
        <v/>
      </c>
      <c r="P174" t="str">
        <f>IF($K174="","",IF(LENH_GOC!F175="","",LENH_GOC!F175))</f>
        <v/>
      </c>
      <c r="Q174" t="str">
        <f>IFERROR(IF($K174="","",IF(LENH_GOC!P175="","",IFERROR(VALUE(LENH_GOC!P175),IF(OR(LENH_GOC!P175=TRUE,UPPER(TRIM(LENH_GOC!P175))="TRUE"),1,0)))),"")</f>
        <v/>
      </c>
      <c r="R174" t="str">
        <f>IF($K174="","",IF(LENH_GOC!Q175="","",LENH_GOC!Q175))</f>
        <v/>
      </c>
      <c r="S174" s="43" t="str">
        <f>IF($K174="","",IF(LENH_GOC!R175="","",LENH_GOC!R175))</f>
        <v/>
      </c>
      <c r="T174">
        <f>IFERROR(IF($K174="",0,IF(AND(ISNUMBER($N174),INT($N174)=CAI_DAT!$B$4,LEFT(UPPER(TRIM($L174)),2)=LEFT(UPPER(TRIM(CAI_DAT!$B$5)),2),$Q174=1,OR(AND($M174="SO",ISNUMBER($P174),$P174&gt;0),AND($M174="MO",ISNUMBER($O174),$O174&gt;0))),1,0)),0)</f>
        <v>0</v>
      </c>
      <c r="U174" t="str">
        <f t="shared" si="27"/>
        <v/>
      </c>
      <c r="V174" t="str">
        <f t="shared" si="28"/>
        <v/>
      </c>
      <c r="W174" t="str">
        <f>IFERROR(IF($T174=0,"",COUNTIFS($T$3:$T$202,1,$V$3:$V$202,"&lt;"&amp;$V174)+COUNTIFS($T$3:$T174,1,$V$3:$V174,$V174)),"")</f>
        <v/>
      </c>
      <c r="X174" t="str">
        <f t="shared" si="29"/>
        <v/>
      </c>
    </row>
    <row r="175" spans="10:24">
      <c r="J175" t="str">
        <f>IF(LENH_GOC!A176="","",176)</f>
        <v/>
      </c>
      <c r="K175" t="str">
        <f>IF(LENH_GOC!A176="","",LENH_GOC!A176)</f>
        <v/>
      </c>
      <c r="L175" t="str">
        <f>IF($K175="","",IFERROR(TRIM(LENH_GOC!C176),""))</f>
        <v/>
      </c>
      <c r="M175" t="str">
        <f>IF($K175="","",IFERROR(UPPER(TRIM(LENH_GOC!Y176)),""))</f>
        <v/>
      </c>
      <c r="N175" s="43" t="str">
        <f>IFERROR(IF($K175="","",IF(LENH_GOC!G176="","",IF(ISNUMBER(LENH_GOC!G176),LENH_GOC!G176,DATE(VALUE(MID(LENH_GOC!G176,7,4)),VALUE(MID(LENH_GOC!G176,4,2)),VALUE(LEFT(LENH_GOC!G176,2)))+TIME(VALUE(MID(LENH_GOC!G176,12,2)),VALUE(MID(LENH_GOC!G176,15,2)),VALUE(MID(LENH_GOC!G176,18,2)))))), "")</f>
        <v/>
      </c>
      <c r="O175" t="str">
        <f>IF($K175="","",IF(LENH_GOC!E176="","",LENH_GOC!E176))</f>
        <v/>
      </c>
      <c r="P175" t="str">
        <f>IF($K175="","",IF(LENH_GOC!F176="","",LENH_GOC!F176))</f>
        <v/>
      </c>
      <c r="Q175" t="str">
        <f>IFERROR(IF($K175="","",IF(LENH_GOC!P176="","",IFERROR(VALUE(LENH_GOC!P176),IF(OR(LENH_GOC!P176=TRUE,UPPER(TRIM(LENH_GOC!P176))="TRUE"),1,0)))),"")</f>
        <v/>
      </c>
      <c r="R175" t="str">
        <f>IF($K175="","",IF(LENH_GOC!Q176="","",LENH_GOC!Q176))</f>
        <v/>
      </c>
      <c r="S175" s="43" t="str">
        <f>IF($K175="","",IF(LENH_GOC!R176="","",LENH_GOC!R176))</f>
        <v/>
      </c>
      <c r="T175">
        <f>IFERROR(IF($K175="",0,IF(AND(ISNUMBER($N175),INT($N175)=CAI_DAT!$B$4,LEFT(UPPER(TRIM($L175)),2)=LEFT(UPPER(TRIM(CAI_DAT!$B$5)),2),$Q175=1,OR(AND($M175="SO",ISNUMBER($P175),$P175&gt;0),AND($M175="MO",ISNUMBER($O175),$O175&gt;0))),1,0)),0)</f>
        <v>0</v>
      </c>
      <c r="U175" t="str">
        <f t="shared" si="27"/>
        <v/>
      </c>
      <c r="V175" t="str">
        <f t="shared" si="28"/>
        <v/>
      </c>
      <c r="W175" t="str">
        <f>IFERROR(IF($T175=0,"",COUNTIFS($T$3:$T$202,1,$V$3:$V$202,"&lt;"&amp;$V175)+COUNTIFS($T$3:$T175,1,$V$3:$V175,$V175)),"")</f>
        <v/>
      </c>
      <c r="X175" t="str">
        <f t="shared" si="29"/>
        <v/>
      </c>
    </row>
    <row r="176" spans="10:24">
      <c r="J176" t="str">
        <f>IF(LENH_GOC!A177="","",177)</f>
        <v/>
      </c>
      <c r="K176" t="str">
        <f>IF(LENH_GOC!A177="","",LENH_GOC!A177)</f>
        <v/>
      </c>
      <c r="L176" t="str">
        <f>IF($K176="","",IFERROR(TRIM(LENH_GOC!C177),""))</f>
        <v/>
      </c>
      <c r="M176" t="str">
        <f>IF($K176="","",IFERROR(UPPER(TRIM(LENH_GOC!Y177)),""))</f>
        <v/>
      </c>
      <c r="N176" s="43" t="str">
        <f>IFERROR(IF($K176="","",IF(LENH_GOC!G177="","",IF(ISNUMBER(LENH_GOC!G177),LENH_GOC!G177,DATE(VALUE(MID(LENH_GOC!G177,7,4)),VALUE(MID(LENH_GOC!G177,4,2)),VALUE(LEFT(LENH_GOC!G177,2)))+TIME(VALUE(MID(LENH_GOC!G177,12,2)),VALUE(MID(LENH_GOC!G177,15,2)),VALUE(MID(LENH_GOC!G177,18,2)))))), "")</f>
        <v/>
      </c>
      <c r="O176" t="str">
        <f>IF($K176="","",IF(LENH_GOC!E177="","",LENH_GOC!E177))</f>
        <v/>
      </c>
      <c r="P176" t="str">
        <f>IF($K176="","",IF(LENH_GOC!F177="","",LENH_GOC!F177))</f>
        <v/>
      </c>
      <c r="Q176" t="str">
        <f>IFERROR(IF($K176="","",IF(LENH_GOC!P177="","",IFERROR(VALUE(LENH_GOC!P177),IF(OR(LENH_GOC!P177=TRUE,UPPER(TRIM(LENH_GOC!P177))="TRUE"),1,0)))),"")</f>
        <v/>
      </c>
      <c r="R176" t="str">
        <f>IF($K176="","",IF(LENH_GOC!Q177="","",LENH_GOC!Q177))</f>
        <v/>
      </c>
      <c r="S176" s="43" t="str">
        <f>IF($K176="","",IF(LENH_GOC!R177="","",LENH_GOC!R177))</f>
        <v/>
      </c>
      <c r="T176">
        <f>IFERROR(IF($K176="",0,IF(AND(ISNUMBER($N176),INT($N176)=CAI_DAT!$B$4,LEFT(UPPER(TRIM($L176)),2)=LEFT(UPPER(TRIM(CAI_DAT!$B$5)),2),$Q176=1,OR(AND($M176="SO",ISNUMBER($P176),$P176&gt;0),AND($M176="MO",ISNUMBER($O176),$O176&gt;0))),1,0)),0)</f>
        <v>0</v>
      </c>
      <c r="U176" t="str">
        <f t="shared" si="27"/>
        <v/>
      </c>
      <c r="V176" t="str">
        <f t="shared" si="28"/>
        <v/>
      </c>
      <c r="W176" t="str">
        <f>IFERROR(IF($T176=0,"",COUNTIFS($T$3:$T$202,1,$V$3:$V$202,"&lt;"&amp;$V176)+COUNTIFS($T$3:$T176,1,$V$3:$V176,$V176)),"")</f>
        <v/>
      </c>
      <c r="X176" t="str">
        <f t="shared" si="29"/>
        <v/>
      </c>
    </row>
    <row r="177" spans="10:24">
      <c r="J177" t="str">
        <f>IF(LENH_GOC!A178="","",178)</f>
        <v/>
      </c>
      <c r="K177" t="str">
        <f>IF(LENH_GOC!A178="","",LENH_GOC!A178)</f>
        <v/>
      </c>
      <c r="L177" t="str">
        <f>IF($K177="","",IFERROR(TRIM(LENH_GOC!C178),""))</f>
        <v/>
      </c>
      <c r="M177" t="str">
        <f>IF($K177="","",IFERROR(UPPER(TRIM(LENH_GOC!Y178)),""))</f>
        <v/>
      </c>
      <c r="N177" s="43" t="str">
        <f>IFERROR(IF($K177="","",IF(LENH_GOC!G178="","",IF(ISNUMBER(LENH_GOC!G178),LENH_GOC!G178,DATE(VALUE(MID(LENH_GOC!G178,7,4)),VALUE(MID(LENH_GOC!G178,4,2)),VALUE(LEFT(LENH_GOC!G178,2)))+TIME(VALUE(MID(LENH_GOC!G178,12,2)),VALUE(MID(LENH_GOC!G178,15,2)),VALUE(MID(LENH_GOC!G178,18,2)))))), "")</f>
        <v/>
      </c>
      <c r="O177" t="str">
        <f>IF($K177="","",IF(LENH_GOC!E178="","",LENH_GOC!E178))</f>
        <v/>
      </c>
      <c r="P177" t="str">
        <f>IF($K177="","",IF(LENH_GOC!F178="","",LENH_GOC!F178))</f>
        <v/>
      </c>
      <c r="Q177" t="str">
        <f>IFERROR(IF($K177="","",IF(LENH_GOC!P178="","",IFERROR(VALUE(LENH_GOC!P178),IF(OR(LENH_GOC!P178=TRUE,UPPER(TRIM(LENH_GOC!P178))="TRUE"),1,0)))),"")</f>
        <v/>
      </c>
      <c r="R177" t="str">
        <f>IF($K177="","",IF(LENH_GOC!Q178="","",LENH_GOC!Q178))</f>
        <v/>
      </c>
      <c r="S177" s="43" t="str">
        <f>IF($K177="","",IF(LENH_GOC!R178="","",LENH_GOC!R178))</f>
        <v/>
      </c>
      <c r="T177">
        <f>IFERROR(IF($K177="",0,IF(AND(ISNUMBER($N177),INT($N177)=CAI_DAT!$B$4,LEFT(UPPER(TRIM($L177)),2)=LEFT(UPPER(TRIM(CAI_DAT!$B$5)),2),$Q177=1,OR(AND($M177="SO",ISNUMBER($P177),$P177&gt;0),AND($M177="MO",ISNUMBER($O177),$O177&gt;0))),1,0)),0)</f>
        <v>0</v>
      </c>
      <c r="U177" t="str">
        <f t="shared" si="27"/>
        <v/>
      </c>
      <c r="V177" t="str">
        <f t="shared" si="28"/>
        <v/>
      </c>
      <c r="W177" t="str">
        <f>IFERROR(IF($T177=0,"",COUNTIFS($T$3:$T$202,1,$V$3:$V$202,"&lt;"&amp;$V177)+COUNTIFS($T$3:$T177,1,$V$3:$V177,$V177)),"")</f>
        <v/>
      </c>
      <c r="X177" t="str">
        <f t="shared" si="29"/>
        <v/>
      </c>
    </row>
    <row r="178" spans="10:24">
      <c r="J178" t="str">
        <f>IF(LENH_GOC!A179="","",179)</f>
        <v/>
      </c>
      <c r="K178" t="str">
        <f>IF(LENH_GOC!A179="","",LENH_GOC!A179)</f>
        <v/>
      </c>
      <c r="L178" t="str">
        <f>IF($K178="","",IFERROR(TRIM(LENH_GOC!C179),""))</f>
        <v/>
      </c>
      <c r="M178" t="str">
        <f>IF($K178="","",IFERROR(UPPER(TRIM(LENH_GOC!Y179)),""))</f>
        <v/>
      </c>
      <c r="N178" s="43" t="str">
        <f>IFERROR(IF($K178="","",IF(LENH_GOC!G179="","",IF(ISNUMBER(LENH_GOC!G179),LENH_GOC!G179,DATE(VALUE(MID(LENH_GOC!G179,7,4)),VALUE(MID(LENH_GOC!G179,4,2)),VALUE(LEFT(LENH_GOC!G179,2)))+TIME(VALUE(MID(LENH_GOC!G179,12,2)),VALUE(MID(LENH_GOC!G179,15,2)),VALUE(MID(LENH_GOC!G179,18,2)))))), "")</f>
        <v/>
      </c>
      <c r="O178" t="str">
        <f>IF($K178="","",IF(LENH_GOC!E179="","",LENH_GOC!E179))</f>
        <v/>
      </c>
      <c r="P178" t="str">
        <f>IF($K178="","",IF(LENH_GOC!F179="","",LENH_GOC!F179))</f>
        <v/>
      </c>
      <c r="Q178" t="str">
        <f>IFERROR(IF($K178="","",IF(LENH_GOC!P179="","",IFERROR(VALUE(LENH_GOC!P179),IF(OR(LENH_GOC!P179=TRUE,UPPER(TRIM(LENH_GOC!P179))="TRUE"),1,0)))),"")</f>
        <v/>
      </c>
      <c r="R178" t="str">
        <f>IF($K178="","",IF(LENH_GOC!Q179="","",LENH_GOC!Q179))</f>
        <v/>
      </c>
      <c r="S178" s="43" t="str">
        <f>IF($K178="","",IF(LENH_GOC!R179="","",LENH_GOC!R179))</f>
        <v/>
      </c>
      <c r="T178">
        <f>IFERROR(IF($K178="",0,IF(AND(ISNUMBER($N178),INT($N178)=CAI_DAT!$B$4,LEFT(UPPER(TRIM($L178)),2)=LEFT(UPPER(TRIM(CAI_DAT!$B$5)),2),$Q178=1,OR(AND($M178="SO",ISNUMBER($P178),$P178&gt;0),AND($M178="MO",ISNUMBER($O178),$O178&gt;0))),1,0)),0)</f>
        <v>0</v>
      </c>
      <c r="U178" t="str">
        <f t="shared" si="27"/>
        <v/>
      </c>
      <c r="V178" t="str">
        <f t="shared" si="28"/>
        <v/>
      </c>
      <c r="W178" t="str">
        <f>IFERROR(IF($T178=0,"",COUNTIFS($T$3:$T$202,1,$V$3:$V$202,"&lt;"&amp;$V178)+COUNTIFS($T$3:$T178,1,$V$3:$V178,$V178)),"")</f>
        <v/>
      </c>
      <c r="X178" t="str">
        <f t="shared" si="29"/>
        <v/>
      </c>
    </row>
    <row r="179" spans="10:24">
      <c r="J179" t="str">
        <f>IF(LENH_GOC!A180="","",180)</f>
        <v/>
      </c>
      <c r="K179" t="str">
        <f>IF(LENH_GOC!A180="","",LENH_GOC!A180)</f>
        <v/>
      </c>
      <c r="L179" t="str">
        <f>IF($K179="","",IFERROR(TRIM(LENH_GOC!C180),""))</f>
        <v/>
      </c>
      <c r="M179" t="str">
        <f>IF($K179="","",IFERROR(UPPER(TRIM(LENH_GOC!Y180)),""))</f>
        <v/>
      </c>
      <c r="N179" s="43" t="str">
        <f>IFERROR(IF($K179="","",IF(LENH_GOC!G180="","",IF(ISNUMBER(LENH_GOC!G180),LENH_GOC!G180,DATE(VALUE(MID(LENH_GOC!G180,7,4)),VALUE(MID(LENH_GOC!G180,4,2)),VALUE(LEFT(LENH_GOC!G180,2)))+TIME(VALUE(MID(LENH_GOC!G180,12,2)),VALUE(MID(LENH_GOC!G180,15,2)),VALUE(MID(LENH_GOC!G180,18,2)))))), "")</f>
        <v/>
      </c>
      <c r="O179" t="str">
        <f>IF($K179="","",IF(LENH_GOC!E180="","",LENH_GOC!E180))</f>
        <v/>
      </c>
      <c r="P179" t="str">
        <f>IF($K179="","",IF(LENH_GOC!F180="","",LENH_GOC!F180))</f>
        <v/>
      </c>
      <c r="Q179" t="str">
        <f>IFERROR(IF($K179="","",IF(LENH_GOC!P180="","",IFERROR(VALUE(LENH_GOC!P180),IF(OR(LENH_GOC!P180=TRUE,UPPER(TRIM(LENH_GOC!P180))="TRUE"),1,0)))),"")</f>
        <v/>
      </c>
      <c r="R179" t="str">
        <f>IF($K179="","",IF(LENH_GOC!Q180="","",LENH_GOC!Q180))</f>
        <v/>
      </c>
      <c r="S179" s="43" t="str">
        <f>IF($K179="","",IF(LENH_GOC!R180="","",LENH_GOC!R180))</f>
        <v/>
      </c>
      <c r="T179">
        <f>IFERROR(IF($K179="",0,IF(AND(ISNUMBER($N179),INT($N179)=CAI_DAT!$B$4,LEFT(UPPER(TRIM($L179)),2)=LEFT(UPPER(TRIM(CAI_DAT!$B$5)),2),$Q179=1,OR(AND($M179="SO",ISNUMBER($P179),$P179&gt;0),AND($M179="MO",ISNUMBER($O179),$O179&gt;0))),1,0)),0)</f>
        <v>0</v>
      </c>
      <c r="U179" t="str">
        <f t="shared" si="27"/>
        <v/>
      </c>
      <c r="V179" t="str">
        <f t="shared" si="28"/>
        <v/>
      </c>
      <c r="W179" t="str">
        <f>IFERROR(IF($T179=0,"",COUNTIFS($T$3:$T$202,1,$V$3:$V$202,"&lt;"&amp;$V179)+COUNTIFS($T$3:$T179,1,$V$3:$V179,$V179)),"")</f>
        <v/>
      </c>
      <c r="X179" t="str">
        <f t="shared" si="29"/>
        <v/>
      </c>
    </row>
    <row r="180" spans="10:24">
      <c r="J180" t="str">
        <f>IF(LENH_GOC!A181="","",181)</f>
        <v/>
      </c>
      <c r="K180" t="str">
        <f>IF(LENH_GOC!A181="","",LENH_GOC!A181)</f>
        <v/>
      </c>
      <c r="L180" t="str">
        <f>IF($K180="","",IFERROR(TRIM(LENH_GOC!C181),""))</f>
        <v/>
      </c>
      <c r="M180" t="str">
        <f>IF($K180="","",IFERROR(UPPER(TRIM(LENH_GOC!Y181)),""))</f>
        <v/>
      </c>
      <c r="N180" s="43" t="str">
        <f>IFERROR(IF($K180="","",IF(LENH_GOC!G181="","",IF(ISNUMBER(LENH_GOC!G181),LENH_GOC!G181,DATE(VALUE(MID(LENH_GOC!G181,7,4)),VALUE(MID(LENH_GOC!G181,4,2)),VALUE(LEFT(LENH_GOC!G181,2)))+TIME(VALUE(MID(LENH_GOC!G181,12,2)),VALUE(MID(LENH_GOC!G181,15,2)),VALUE(MID(LENH_GOC!G181,18,2)))))), "")</f>
        <v/>
      </c>
      <c r="O180" t="str">
        <f>IF($K180="","",IF(LENH_GOC!E181="","",LENH_GOC!E181))</f>
        <v/>
      </c>
      <c r="P180" t="str">
        <f>IF($K180="","",IF(LENH_GOC!F181="","",LENH_GOC!F181))</f>
        <v/>
      </c>
      <c r="Q180" t="str">
        <f>IFERROR(IF($K180="","",IF(LENH_GOC!P181="","",IFERROR(VALUE(LENH_GOC!P181),IF(OR(LENH_GOC!P181=TRUE,UPPER(TRIM(LENH_GOC!P181))="TRUE"),1,0)))),"")</f>
        <v/>
      </c>
      <c r="R180" t="str">
        <f>IF($K180="","",IF(LENH_GOC!Q181="","",LENH_GOC!Q181))</f>
        <v/>
      </c>
      <c r="S180" s="43" t="str">
        <f>IF($K180="","",IF(LENH_GOC!R181="","",LENH_GOC!R181))</f>
        <v/>
      </c>
      <c r="T180">
        <f>IFERROR(IF($K180="",0,IF(AND(ISNUMBER($N180),INT($N180)=CAI_DAT!$B$4,LEFT(UPPER(TRIM($L180)),2)=LEFT(UPPER(TRIM(CAI_DAT!$B$5)),2),$Q180=1,OR(AND($M180="SO",ISNUMBER($P180),$P180&gt;0),AND($M180="MO",ISNUMBER($O180),$O180&gt;0))),1,0)),0)</f>
        <v>0</v>
      </c>
      <c r="U180" t="str">
        <f t="shared" si="27"/>
        <v/>
      </c>
      <c r="V180" t="str">
        <f t="shared" si="28"/>
        <v/>
      </c>
      <c r="W180" t="str">
        <f>IFERROR(IF($T180=0,"",COUNTIFS($T$3:$T$202,1,$V$3:$V$202,"&lt;"&amp;$V180)+COUNTIFS($T$3:$T180,1,$V$3:$V180,$V180)),"")</f>
        <v/>
      </c>
      <c r="X180" t="str">
        <f t="shared" si="29"/>
        <v/>
      </c>
    </row>
    <row r="181" spans="10:24">
      <c r="J181" t="str">
        <f>IF(LENH_GOC!A182="","",182)</f>
        <v/>
      </c>
      <c r="K181" t="str">
        <f>IF(LENH_GOC!A182="","",LENH_GOC!A182)</f>
        <v/>
      </c>
      <c r="L181" t="str">
        <f>IF($K181="","",IFERROR(TRIM(LENH_GOC!C182),""))</f>
        <v/>
      </c>
      <c r="M181" t="str">
        <f>IF($K181="","",IFERROR(UPPER(TRIM(LENH_GOC!Y182)),""))</f>
        <v/>
      </c>
      <c r="N181" s="43" t="str">
        <f>IFERROR(IF($K181="","",IF(LENH_GOC!G182="","",IF(ISNUMBER(LENH_GOC!G182),LENH_GOC!G182,DATE(VALUE(MID(LENH_GOC!G182,7,4)),VALUE(MID(LENH_GOC!G182,4,2)),VALUE(LEFT(LENH_GOC!G182,2)))+TIME(VALUE(MID(LENH_GOC!G182,12,2)),VALUE(MID(LENH_GOC!G182,15,2)),VALUE(MID(LENH_GOC!G182,18,2)))))), "")</f>
        <v/>
      </c>
      <c r="O181" t="str">
        <f>IF($K181="","",IF(LENH_GOC!E182="","",LENH_GOC!E182))</f>
        <v/>
      </c>
      <c r="P181" t="str">
        <f>IF($K181="","",IF(LENH_GOC!F182="","",LENH_GOC!F182))</f>
        <v/>
      </c>
      <c r="Q181" t="str">
        <f>IFERROR(IF($K181="","",IF(LENH_GOC!P182="","",IFERROR(VALUE(LENH_GOC!P182),IF(OR(LENH_GOC!P182=TRUE,UPPER(TRIM(LENH_GOC!P182))="TRUE"),1,0)))),"")</f>
        <v/>
      </c>
      <c r="R181" t="str">
        <f>IF($K181="","",IF(LENH_GOC!Q182="","",LENH_GOC!Q182))</f>
        <v/>
      </c>
      <c r="S181" s="43" t="str">
        <f>IF($K181="","",IF(LENH_GOC!R182="","",LENH_GOC!R182))</f>
        <v/>
      </c>
      <c r="T181">
        <f>IFERROR(IF($K181="",0,IF(AND(ISNUMBER($N181),INT($N181)=CAI_DAT!$B$4,LEFT(UPPER(TRIM($L181)),2)=LEFT(UPPER(TRIM(CAI_DAT!$B$5)),2),$Q181=1,OR(AND($M181="SO",ISNUMBER($P181),$P181&gt;0),AND($M181="MO",ISNUMBER($O181),$O181&gt;0))),1,0)),0)</f>
        <v>0</v>
      </c>
      <c r="U181" t="str">
        <f t="shared" si="27"/>
        <v/>
      </c>
      <c r="V181" t="str">
        <f t="shared" si="28"/>
        <v/>
      </c>
      <c r="W181" t="str">
        <f>IFERROR(IF($T181=0,"",COUNTIFS($T$3:$T$202,1,$V$3:$V$202,"&lt;"&amp;$V181)+COUNTIFS($T$3:$T181,1,$V$3:$V181,$V181)),"")</f>
        <v/>
      </c>
      <c r="X181" t="str">
        <f t="shared" si="29"/>
        <v/>
      </c>
    </row>
    <row r="182" spans="10:24">
      <c r="J182" t="str">
        <f>IF(LENH_GOC!A183="","",183)</f>
        <v/>
      </c>
      <c r="K182" t="str">
        <f>IF(LENH_GOC!A183="","",LENH_GOC!A183)</f>
        <v/>
      </c>
      <c r="L182" t="str">
        <f>IF($K182="","",IFERROR(TRIM(LENH_GOC!C183),""))</f>
        <v/>
      </c>
      <c r="M182" t="str">
        <f>IF($K182="","",IFERROR(UPPER(TRIM(LENH_GOC!Y183)),""))</f>
        <v/>
      </c>
      <c r="N182" s="43" t="str">
        <f>IFERROR(IF($K182="","",IF(LENH_GOC!G183="","",IF(ISNUMBER(LENH_GOC!G183),LENH_GOC!G183,DATE(VALUE(MID(LENH_GOC!G183,7,4)),VALUE(MID(LENH_GOC!G183,4,2)),VALUE(LEFT(LENH_GOC!G183,2)))+TIME(VALUE(MID(LENH_GOC!G183,12,2)),VALUE(MID(LENH_GOC!G183,15,2)),VALUE(MID(LENH_GOC!G183,18,2)))))), "")</f>
        <v/>
      </c>
      <c r="O182" t="str">
        <f>IF($K182="","",IF(LENH_GOC!E183="","",LENH_GOC!E183))</f>
        <v/>
      </c>
      <c r="P182" t="str">
        <f>IF($K182="","",IF(LENH_GOC!F183="","",LENH_GOC!F183))</f>
        <v/>
      </c>
      <c r="Q182" t="str">
        <f>IFERROR(IF($K182="","",IF(LENH_GOC!P183="","",IFERROR(VALUE(LENH_GOC!P183),IF(OR(LENH_GOC!P183=TRUE,UPPER(TRIM(LENH_GOC!P183))="TRUE"),1,0)))),"")</f>
        <v/>
      </c>
      <c r="R182" t="str">
        <f>IF($K182="","",IF(LENH_GOC!Q183="","",LENH_GOC!Q183))</f>
        <v/>
      </c>
      <c r="S182" s="43" t="str">
        <f>IF($K182="","",IF(LENH_GOC!R183="","",LENH_GOC!R183))</f>
        <v/>
      </c>
      <c r="T182">
        <f>IFERROR(IF($K182="",0,IF(AND(ISNUMBER($N182),INT($N182)=CAI_DAT!$B$4,LEFT(UPPER(TRIM($L182)),2)=LEFT(UPPER(TRIM(CAI_DAT!$B$5)),2),$Q182=1,OR(AND($M182="SO",ISNUMBER($P182),$P182&gt;0),AND($M182="MO",ISNUMBER($O182),$O182&gt;0))),1,0)),0)</f>
        <v>0</v>
      </c>
      <c r="U182" t="str">
        <f t="shared" si="27"/>
        <v/>
      </c>
      <c r="V182" t="str">
        <f t="shared" si="28"/>
        <v/>
      </c>
      <c r="W182" t="str">
        <f>IFERROR(IF($T182=0,"",COUNTIFS($T$3:$T$202,1,$V$3:$V$202,"&lt;"&amp;$V182)+COUNTIFS($T$3:$T182,1,$V$3:$V182,$V182)),"")</f>
        <v/>
      </c>
      <c r="X182" t="str">
        <f t="shared" si="29"/>
        <v/>
      </c>
    </row>
    <row r="183" spans="10:24">
      <c r="J183" t="str">
        <f>IF(LENH_GOC!A184="","",184)</f>
        <v/>
      </c>
      <c r="K183" t="str">
        <f>IF(LENH_GOC!A184="","",LENH_GOC!A184)</f>
        <v/>
      </c>
      <c r="L183" t="str">
        <f>IF($K183="","",IFERROR(TRIM(LENH_GOC!C184),""))</f>
        <v/>
      </c>
      <c r="M183" t="str">
        <f>IF($K183="","",IFERROR(UPPER(TRIM(LENH_GOC!Y184)),""))</f>
        <v/>
      </c>
      <c r="N183" s="43" t="str">
        <f>IFERROR(IF($K183="","",IF(LENH_GOC!G184="","",IF(ISNUMBER(LENH_GOC!G184),LENH_GOC!G184,DATE(VALUE(MID(LENH_GOC!G184,7,4)),VALUE(MID(LENH_GOC!G184,4,2)),VALUE(LEFT(LENH_GOC!G184,2)))+TIME(VALUE(MID(LENH_GOC!G184,12,2)),VALUE(MID(LENH_GOC!G184,15,2)),VALUE(MID(LENH_GOC!G184,18,2)))))), "")</f>
        <v/>
      </c>
      <c r="O183" t="str">
        <f>IF($K183="","",IF(LENH_GOC!E184="","",LENH_GOC!E184))</f>
        <v/>
      </c>
      <c r="P183" t="str">
        <f>IF($K183="","",IF(LENH_GOC!F184="","",LENH_GOC!F184))</f>
        <v/>
      </c>
      <c r="Q183" t="str">
        <f>IFERROR(IF($K183="","",IF(LENH_GOC!P184="","",IFERROR(VALUE(LENH_GOC!P184),IF(OR(LENH_GOC!P184=TRUE,UPPER(TRIM(LENH_GOC!P184))="TRUE"),1,0)))),"")</f>
        <v/>
      </c>
      <c r="R183" t="str">
        <f>IF($K183="","",IF(LENH_GOC!Q184="","",LENH_GOC!Q184))</f>
        <v/>
      </c>
      <c r="S183" s="43" t="str">
        <f>IF($K183="","",IF(LENH_GOC!R184="","",LENH_GOC!R184))</f>
        <v/>
      </c>
      <c r="T183">
        <f>IFERROR(IF($K183="",0,IF(AND(ISNUMBER($N183),INT($N183)=CAI_DAT!$B$4,LEFT(UPPER(TRIM($L183)),2)=LEFT(UPPER(TRIM(CAI_DAT!$B$5)),2),$Q183=1,OR(AND($M183="SO",ISNUMBER($P183),$P183&gt;0),AND($M183="MO",ISNUMBER($O183),$O183&gt;0))),1,0)),0)</f>
        <v>0</v>
      </c>
      <c r="U183" t="str">
        <f t="shared" si="27"/>
        <v/>
      </c>
      <c r="V183" t="str">
        <f t="shared" si="28"/>
        <v/>
      </c>
      <c r="W183" t="str">
        <f>IFERROR(IF($T183=0,"",COUNTIFS($T$3:$T$202,1,$V$3:$V$202,"&lt;"&amp;$V183)+COUNTIFS($T$3:$T183,1,$V$3:$V183,$V183)),"")</f>
        <v/>
      </c>
      <c r="X183" t="str">
        <f t="shared" si="29"/>
        <v/>
      </c>
    </row>
    <row r="184" spans="10:24">
      <c r="J184" t="str">
        <f>IF(LENH_GOC!A185="","",185)</f>
        <v/>
      </c>
      <c r="K184" t="str">
        <f>IF(LENH_GOC!A185="","",LENH_GOC!A185)</f>
        <v/>
      </c>
      <c r="L184" t="str">
        <f>IF($K184="","",IFERROR(TRIM(LENH_GOC!C185),""))</f>
        <v/>
      </c>
      <c r="M184" t="str">
        <f>IF($K184="","",IFERROR(UPPER(TRIM(LENH_GOC!Y185)),""))</f>
        <v/>
      </c>
      <c r="N184" s="43" t="str">
        <f>IFERROR(IF($K184="","",IF(LENH_GOC!G185="","",IF(ISNUMBER(LENH_GOC!G185),LENH_GOC!G185,DATE(VALUE(MID(LENH_GOC!G185,7,4)),VALUE(MID(LENH_GOC!G185,4,2)),VALUE(LEFT(LENH_GOC!G185,2)))+TIME(VALUE(MID(LENH_GOC!G185,12,2)),VALUE(MID(LENH_GOC!G185,15,2)),VALUE(MID(LENH_GOC!G185,18,2)))))), "")</f>
        <v/>
      </c>
      <c r="O184" t="str">
        <f>IF($K184="","",IF(LENH_GOC!E185="","",LENH_GOC!E185))</f>
        <v/>
      </c>
      <c r="P184" t="str">
        <f>IF($K184="","",IF(LENH_GOC!F185="","",LENH_GOC!F185))</f>
        <v/>
      </c>
      <c r="Q184" t="str">
        <f>IFERROR(IF($K184="","",IF(LENH_GOC!P185="","",IFERROR(VALUE(LENH_GOC!P185),IF(OR(LENH_GOC!P185=TRUE,UPPER(TRIM(LENH_GOC!P185))="TRUE"),1,0)))),"")</f>
        <v/>
      </c>
      <c r="R184" t="str">
        <f>IF($K184="","",IF(LENH_GOC!Q185="","",LENH_GOC!Q185))</f>
        <v/>
      </c>
      <c r="S184" s="43" t="str">
        <f>IF($K184="","",IF(LENH_GOC!R185="","",LENH_GOC!R185))</f>
        <v/>
      </c>
      <c r="T184">
        <f>IFERROR(IF($K184="",0,IF(AND(ISNUMBER($N184),INT($N184)=CAI_DAT!$B$4,LEFT(UPPER(TRIM($L184)),2)=LEFT(UPPER(TRIM(CAI_DAT!$B$5)),2),$Q184=1,OR(AND($M184="SO",ISNUMBER($P184),$P184&gt;0),AND($M184="MO",ISNUMBER($O184),$O184&gt;0))),1,0)),0)</f>
        <v>0</v>
      </c>
      <c r="U184" t="str">
        <f t="shared" si="27"/>
        <v/>
      </c>
      <c r="V184" t="str">
        <f t="shared" si="28"/>
        <v/>
      </c>
      <c r="W184" t="str">
        <f>IFERROR(IF($T184=0,"",COUNTIFS($T$3:$T$202,1,$V$3:$V$202,"&lt;"&amp;$V184)+COUNTIFS($T$3:$T184,1,$V$3:$V184,$V184)),"")</f>
        <v/>
      </c>
      <c r="X184" t="str">
        <f t="shared" si="29"/>
        <v/>
      </c>
    </row>
    <row r="185" spans="10:24">
      <c r="J185" t="str">
        <f>IF(LENH_GOC!A186="","",186)</f>
        <v/>
      </c>
      <c r="K185" t="str">
        <f>IF(LENH_GOC!A186="","",LENH_GOC!A186)</f>
        <v/>
      </c>
      <c r="L185" t="str">
        <f>IF($K185="","",IFERROR(TRIM(LENH_GOC!C186),""))</f>
        <v/>
      </c>
      <c r="M185" t="str">
        <f>IF($K185="","",IFERROR(UPPER(TRIM(LENH_GOC!Y186)),""))</f>
        <v/>
      </c>
      <c r="N185" s="43" t="str">
        <f>IFERROR(IF($K185="","",IF(LENH_GOC!G186="","",IF(ISNUMBER(LENH_GOC!G186),LENH_GOC!G186,DATE(VALUE(MID(LENH_GOC!G186,7,4)),VALUE(MID(LENH_GOC!G186,4,2)),VALUE(LEFT(LENH_GOC!G186,2)))+TIME(VALUE(MID(LENH_GOC!G186,12,2)),VALUE(MID(LENH_GOC!G186,15,2)),VALUE(MID(LENH_GOC!G186,18,2)))))), "")</f>
        <v/>
      </c>
      <c r="O185" t="str">
        <f>IF($K185="","",IF(LENH_GOC!E186="","",LENH_GOC!E186))</f>
        <v/>
      </c>
      <c r="P185" t="str">
        <f>IF($K185="","",IF(LENH_GOC!F186="","",LENH_GOC!F186))</f>
        <v/>
      </c>
      <c r="Q185" t="str">
        <f>IFERROR(IF($K185="","",IF(LENH_GOC!P186="","",IFERROR(VALUE(LENH_GOC!P186),IF(OR(LENH_GOC!P186=TRUE,UPPER(TRIM(LENH_GOC!P186))="TRUE"),1,0)))),"")</f>
        <v/>
      </c>
      <c r="R185" t="str">
        <f>IF($K185="","",IF(LENH_GOC!Q186="","",LENH_GOC!Q186))</f>
        <v/>
      </c>
      <c r="S185" s="43" t="str">
        <f>IF($K185="","",IF(LENH_GOC!R186="","",LENH_GOC!R186))</f>
        <v/>
      </c>
      <c r="T185">
        <f>IFERROR(IF($K185="",0,IF(AND(ISNUMBER($N185),INT($N185)=CAI_DAT!$B$4,LEFT(UPPER(TRIM($L185)),2)=LEFT(UPPER(TRIM(CAI_DAT!$B$5)),2),$Q185=1,OR(AND($M185="SO",ISNUMBER($P185),$P185&gt;0),AND($M185="MO",ISNUMBER($O185),$O185&gt;0))),1,0)),0)</f>
        <v>0</v>
      </c>
      <c r="U185" t="str">
        <f t="shared" si="27"/>
        <v/>
      </c>
      <c r="V185" t="str">
        <f t="shared" si="28"/>
        <v/>
      </c>
      <c r="W185" t="str">
        <f>IFERROR(IF($T185=0,"",COUNTIFS($T$3:$T$202,1,$V$3:$V$202,"&lt;"&amp;$V185)+COUNTIFS($T$3:$T185,1,$V$3:$V185,$V185)),"")</f>
        <v/>
      </c>
      <c r="X185" t="str">
        <f t="shared" si="29"/>
        <v/>
      </c>
    </row>
    <row r="186" spans="10:24">
      <c r="J186" t="str">
        <f>IF(LENH_GOC!A187="","",187)</f>
        <v/>
      </c>
      <c r="K186" t="str">
        <f>IF(LENH_GOC!A187="","",LENH_GOC!A187)</f>
        <v/>
      </c>
      <c r="L186" t="str">
        <f>IF($K186="","",IFERROR(TRIM(LENH_GOC!C187),""))</f>
        <v/>
      </c>
      <c r="M186" t="str">
        <f>IF($K186="","",IFERROR(UPPER(TRIM(LENH_GOC!Y187)),""))</f>
        <v/>
      </c>
      <c r="N186" s="43" t="str">
        <f>IFERROR(IF($K186="","",IF(LENH_GOC!G187="","",IF(ISNUMBER(LENH_GOC!G187),LENH_GOC!G187,DATE(VALUE(MID(LENH_GOC!G187,7,4)),VALUE(MID(LENH_GOC!G187,4,2)),VALUE(LEFT(LENH_GOC!G187,2)))+TIME(VALUE(MID(LENH_GOC!G187,12,2)),VALUE(MID(LENH_GOC!G187,15,2)),VALUE(MID(LENH_GOC!G187,18,2)))))), "")</f>
        <v/>
      </c>
      <c r="O186" t="str">
        <f>IF($K186="","",IF(LENH_GOC!E187="","",LENH_GOC!E187))</f>
        <v/>
      </c>
      <c r="P186" t="str">
        <f>IF($K186="","",IF(LENH_GOC!F187="","",LENH_GOC!F187))</f>
        <v/>
      </c>
      <c r="Q186" t="str">
        <f>IFERROR(IF($K186="","",IF(LENH_GOC!P187="","",IFERROR(VALUE(LENH_GOC!P187),IF(OR(LENH_GOC!P187=TRUE,UPPER(TRIM(LENH_GOC!P187))="TRUE"),1,0)))),"")</f>
        <v/>
      </c>
      <c r="R186" t="str">
        <f>IF($K186="","",IF(LENH_GOC!Q187="","",LENH_GOC!Q187))</f>
        <v/>
      </c>
      <c r="S186" s="43" t="str">
        <f>IF($K186="","",IF(LENH_GOC!R187="","",LENH_GOC!R187))</f>
        <v/>
      </c>
      <c r="T186">
        <f>IFERROR(IF($K186="",0,IF(AND(ISNUMBER($N186),INT($N186)=CAI_DAT!$B$4,LEFT(UPPER(TRIM($L186)),2)=LEFT(UPPER(TRIM(CAI_DAT!$B$5)),2),$Q186=1,OR(AND($M186="SO",ISNUMBER($P186),$P186&gt;0),AND($M186="MO",ISNUMBER($O186),$O186&gt;0))),1,0)),0)</f>
        <v>0</v>
      </c>
      <c r="U186" t="str">
        <f t="shared" si="27"/>
        <v/>
      </c>
      <c r="V186" t="str">
        <f t="shared" si="28"/>
        <v/>
      </c>
      <c r="W186" t="str">
        <f>IFERROR(IF($T186=0,"",COUNTIFS($T$3:$T$202,1,$V$3:$V$202,"&lt;"&amp;$V186)+COUNTIFS($T$3:$T186,1,$V$3:$V186,$V186)),"")</f>
        <v/>
      </c>
      <c r="X186" t="str">
        <f t="shared" si="29"/>
        <v/>
      </c>
    </row>
    <row r="187" spans="10:24">
      <c r="J187" t="str">
        <f>IF(LENH_GOC!A188="","",188)</f>
        <v/>
      </c>
      <c r="K187" t="str">
        <f>IF(LENH_GOC!A188="","",LENH_GOC!A188)</f>
        <v/>
      </c>
      <c r="L187" t="str">
        <f>IF($K187="","",IFERROR(TRIM(LENH_GOC!C188),""))</f>
        <v/>
      </c>
      <c r="M187" t="str">
        <f>IF($K187="","",IFERROR(UPPER(TRIM(LENH_GOC!Y188)),""))</f>
        <v/>
      </c>
      <c r="N187" s="43" t="str">
        <f>IFERROR(IF($K187="","",IF(LENH_GOC!G188="","",IF(ISNUMBER(LENH_GOC!G188),LENH_GOC!G188,DATE(VALUE(MID(LENH_GOC!G188,7,4)),VALUE(MID(LENH_GOC!G188,4,2)),VALUE(LEFT(LENH_GOC!G188,2)))+TIME(VALUE(MID(LENH_GOC!G188,12,2)),VALUE(MID(LENH_GOC!G188,15,2)),VALUE(MID(LENH_GOC!G188,18,2)))))), "")</f>
        <v/>
      </c>
      <c r="O187" t="str">
        <f>IF($K187="","",IF(LENH_GOC!E188="","",LENH_GOC!E188))</f>
        <v/>
      </c>
      <c r="P187" t="str">
        <f>IF($K187="","",IF(LENH_GOC!F188="","",LENH_GOC!F188))</f>
        <v/>
      </c>
      <c r="Q187" t="str">
        <f>IFERROR(IF($K187="","",IF(LENH_GOC!P188="","",IFERROR(VALUE(LENH_GOC!P188),IF(OR(LENH_GOC!P188=TRUE,UPPER(TRIM(LENH_GOC!P188))="TRUE"),1,0)))),"")</f>
        <v/>
      </c>
      <c r="R187" t="str">
        <f>IF($K187="","",IF(LENH_GOC!Q188="","",LENH_GOC!Q188))</f>
        <v/>
      </c>
      <c r="S187" s="43" t="str">
        <f>IF($K187="","",IF(LENH_GOC!R188="","",LENH_GOC!R188))</f>
        <v/>
      </c>
      <c r="T187">
        <f>IFERROR(IF($K187="",0,IF(AND(ISNUMBER($N187),INT($N187)=CAI_DAT!$B$4,LEFT(UPPER(TRIM($L187)),2)=LEFT(UPPER(TRIM(CAI_DAT!$B$5)),2),$Q187=1,OR(AND($M187="SO",ISNUMBER($P187),$P187&gt;0),AND($M187="MO",ISNUMBER($O187),$O187&gt;0))),1,0)),0)</f>
        <v>0</v>
      </c>
      <c r="U187" t="str">
        <f t="shared" si="27"/>
        <v/>
      </c>
      <c r="V187" t="str">
        <f t="shared" si="28"/>
        <v/>
      </c>
      <c r="W187" t="str">
        <f>IFERROR(IF($T187=0,"",COUNTIFS($T$3:$T$202,1,$V$3:$V$202,"&lt;"&amp;$V187)+COUNTIFS($T$3:$T187,1,$V$3:$V187,$V187)),"")</f>
        <v/>
      </c>
      <c r="X187" t="str">
        <f t="shared" si="29"/>
        <v/>
      </c>
    </row>
    <row r="188" spans="10:24">
      <c r="J188" t="str">
        <f>IF(LENH_GOC!A189="","",189)</f>
        <v/>
      </c>
      <c r="K188" t="str">
        <f>IF(LENH_GOC!A189="","",LENH_GOC!A189)</f>
        <v/>
      </c>
      <c r="L188" t="str">
        <f>IF($K188="","",IFERROR(TRIM(LENH_GOC!C189),""))</f>
        <v/>
      </c>
      <c r="M188" t="str">
        <f>IF($K188="","",IFERROR(UPPER(TRIM(LENH_GOC!Y189)),""))</f>
        <v/>
      </c>
      <c r="N188" s="43" t="str">
        <f>IFERROR(IF($K188="","",IF(LENH_GOC!G189="","",IF(ISNUMBER(LENH_GOC!G189),LENH_GOC!G189,DATE(VALUE(MID(LENH_GOC!G189,7,4)),VALUE(MID(LENH_GOC!G189,4,2)),VALUE(LEFT(LENH_GOC!G189,2)))+TIME(VALUE(MID(LENH_GOC!G189,12,2)),VALUE(MID(LENH_GOC!G189,15,2)),VALUE(MID(LENH_GOC!G189,18,2)))))), "")</f>
        <v/>
      </c>
      <c r="O188" t="str">
        <f>IF($K188="","",IF(LENH_GOC!E189="","",LENH_GOC!E189))</f>
        <v/>
      </c>
      <c r="P188" t="str">
        <f>IF($K188="","",IF(LENH_GOC!F189="","",LENH_GOC!F189))</f>
        <v/>
      </c>
      <c r="Q188" t="str">
        <f>IFERROR(IF($K188="","",IF(LENH_GOC!P189="","",IFERROR(VALUE(LENH_GOC!P189),IF(OR(LENH_GOC!P189=TRUE,UPPER(TRIM(LENH_GOC!P189))="TRUE"),1,0)))),"")</f>
        <v/>
      </c>
      <c r="R188" t="str">
        <f>IF($K188="","",IF(LENH_GOC!Q189="","",LENH_GOC!Q189))</f>
        <v/>
      </c>
      <c r="S188" s="43" t="str">
        <f>IF($K188="","",IF(LENH_GOC!R189="","",LENH_GOC!R189))</f>
        <v/>
      </c>
      <c r="T188">
        <f>IFERROR(IF($K188="",0,IF(AND(ISNUMBER($N188),INT($N188)=CAI_DAT!$B$4,LEFT(UPPER(TRIM($L188)),2)=LEFT(UPPER(TRIM(CAI_DAT!$B$5)),2),$Q188=1,OR(AND($M188="SO",ISNUMBER($P188),$P188&gt;0),AND($M188="MO",ISNUMBER($O188),$O188&gt;0))),1,0)),0)</f>
        <v>0</v>
      </c>
      <c r="U188" t="str">
        <f t="shared" si="27"/>
        <v/>
      </c>
      <c r="V188" t="str">
        <f t="shared" si="28"/>
        <v/>
      </c>
      <c r="W188" t="str">
        <f>IFERROR(IF($T188=0,"",COUNTIFS($T$3:$T$202,1,$V$3:$V$202,"&lt;"&amp;$V188)+COUNTIFS($T$3:$T188,1,$V$3:$V188,$V188)),"")</f>
        <v/>
      </c>
      <c r="X188" t="str">
        <f t="shared" si="29"/>
        <v/>
      </c>
    </row>
    <row r="189" spans="10:24">
      <c r="J189" t="str">
        <f>IF(LENH_GOC!A190="","",190)</f>
        <v/>
      </c>
      <c r="K189" t="str">
        <f>IF(LENH_GOC!A190="","",LENH_GOC!A190)</f>
        <v/>
      </c>
      <c r="L189" t="str">
        <f>IF($K189="","",IFERROR(TRIM(LENH_GOC!C190),""))</f>
        <v/>
      </c>
      <c r="M189" t="str">
        <f>IF($K189="","",IFERROR(UPPER(TRIM(LENH_GOC!Y190)),""))</f>
        <v/>
      </c>
      <c r="N189" s="43" t="str">
        <f>IFERROR(IF($K189="","",IF(LENH_GOC!G190="","",IF(ISNUMBER(LENH_GOC!G190),LENH_GOC!G190,DATE(VALUE(MID(LENH_GOC!G190,7,4)),VALUE(MID(LENH_GOC!G190,4,2)),VALUE(LEFT(LENH_GOC!G190,2)))+TIME(VALUE(MID(LENH_GOC!G190,12,2)),VALUE(MID(LENH_GOC!G190,15,2)),VALUE(MID(LENH_GOC!G190,18,2)))))), "")</f>
        <v/>
      </c>
      <c r="O189" t="str">
        <f>IF($K189="","",IF(LENH_GOC!E190="","",LENH_GOC!E190))</f>
        <v/>
      </c>
      <c r="P189" t="str">
        <f>IF($K189="","",IF(LENH_GOC!F190="","",LENH_GOC!F190))</f>
        <v/>
      </c>
      <c r="Q189" t="str">
        <f>IFERROR(IF($K189="","",IF(LENH_GOC!P190="","",IFERROR(VALUE(LENH_GOC!P190),IF(OR(LENH_GOC!P190=TRUE,UPPER(TRIM(LENH_GOC!P190))="TRUE"),1,0)))),"")</f>
        <v/>
      </c>
      <c r="R189" t="str">
        <f>IF($K189="","",IF(LENH_GOC!Q190="","",LENH_GOC!Q190))</f>
        <v/>
      </c>
      <c r="S189" s="43" t="str">
        <f>IF($K189="","",IF(LENH_GOC!R190="","",LENH_GOC!R190))</f>
        <v/>
      </c>
      <c r="T189">
        <f>IFERROR(IF($K189="",0,IF(AND(ISNUMBER($N189),INT($N189)=CAI_DAT!$B$4,LEFT(UPPER(TRIM($L189)),2)=LEFT(UPPER(TRIM(CAI_DAT!$B$5)),2),$Q189=1,OR(AND($M189="SO",ISNUMBER($P189),$P189&gt;0),AND($M189="MO",ISNUMBER($O189),$O189&gt;0))),1,0)),0)</f>
        <v>0</v>
      </c>
      <c r="U189" t="str">
        <f t="shared" si="27"/>
        <v/>
      </c>
      <c r="V189" t="str">
        <f t="shared" si="28"/>
        <v/>
      </c>
      <c r="W189" t="str">
        <f>IFERROR(IF($T189=0,"",COUNTIFS($T$3:$T$202,1,$V$3:$V$202,"&lt;"&amp;$V189)+COUNTIFS($T$3:$T189,1,$V$3:$V189,$V189)),"")</f>
        <v/>
      </c>
      <c r="X189" t="str">
        <f t="shared" si="29"/>
        <v/>
      </c>
    </row>
    <row r="190" spans="10:24">
      <c r="J190" t="str">
        <f>IF(LENH_GOC!A191="","",191)</f>
        <v/>
      </c>
      <c r="K190" t="str">
        <f>IF(LENH_GOC!A191="","",LENH_GOC!A191)</f>
        <v/>
      </c>
      <c r="L190" t="str">
        <f>IF($K190="","",IFERROR(TRIM(LENH_GOC!C191),""))</f>
        <v/>
      </c>
      <c r="M190" t="str">
        <f>IF($K190="","",IFERROR(UPPER(TRIM(LENH_GOC!Y191)),""))</f>
        <v/>
      </c>
      <c r="N190" s="43" t="str">
        <f>IFERROR(IF($K190="","",IF(LENH_GOC!G191="","",IF(ISNUMBER(LENH_GOC!G191),LENH_GOC!G191,DATE(VALUE(MID(LENH_GOC!G191,7,4)),VALUE(MID(LENH_GOC!G191,4,2)),VALUE(LEFT(LENH_GOC!G191,2)))+TIME(VALUE(MID(LENH_GOC!G191,12,2)),VALUE(MID(LENH_GOC!G191,15,2)),VALUE(MID(LENH_GOC!G191,18,2)))))), "")</f>
        <v/>
      </c>
      <c r="O190" t="str">
        <f>IF($K190="","",IF(LENH_GOC!E191="","",LENH_GOC!E191))</f>
        <v/>
      </c>
      <c r="P190" t="str">
        <f>IF($K190="","",IF(LENH_GOC!F191="","",LENH_GOC!F191))</f>
        <v/>
      </c>
      <c r="Q190" t="str">
        <f>IFERROR(IF($K190="","",IF(LENH_GOC!P191="","",IFERROR(VALUE(LENH_GOC!P191),IF(OR(LENH_GOC!P191=TRUE,UPPER(TRIM(LENH_GOC!P191))="TRUE"),1,0)))),"")</f>
        <v/>
      </c>
      <c r="R190" t="str">
        <f>IF($K190="","",IF(LENH_GOC!Q191="","",LENH_GOC!Q191))</f>
        <v/>
      </c>
      <c r="S190" s="43" t="str">
        <f>IF($K190="","",IF(LENH_GOC!R191="","",LENH_GOC!R191))</f>
        <v/>
      </c>
      <c r="T190">
        <f>IFERROR(IF($K190="",0,IF(AND(ISNUMBER($N190),INT($N190)=CAI_DAT!$B$4,LEFT(UPPER(TRIM($L190)),2)=LEFT(UPPER(TRIM(CAI_DAT!$B$5)),2),$Q190=1,OR(AND($M190="SO",ISNUMBER($P190),$P190&gt;0),AND($M190="MO",ISNUMBER($O190),$O190&gt;0))),1,0)),0)</f>
        <v>0</v>
      </c>
      <c r="U190" t="str">
        <f t="shared" si="27"/>
        <v/>
      </c>
      <c r="V190" t="str">
        <f t="shared" si="28"/>
        <v/>
      </c>
      <c r="W190" t="str">
        <f>IFERROR(IF($T190=0,"",COUNTIFS($T$3:$T$202,1,$V$3:$V$202,"&lt;"&amp;$V190)+COUNTIFS($T$3:$T190,1,$V$3:$V190,$V190)),"")</f>
        <v/>
      </c>
      <c r="X190" t="str">
        <f t="shared" si="29"/>
        <v/>
      </c>
    </row>
    <row r="191" spans="10:24">
      <c r="J191" t="str">
        <f>IF(LENH_GOC!A192="","",192)</f>
        <v/>
      </c>
      <c r="K191" t="str">
        <f>IF(LENH_GOC!A192="","",LENH_GOC!A192)</f>
        <v/>
      </c>
      <c r="L191" t="str">
        <f>IF($K191="","",IFERROR(TRIM(LENH_GOC!C192),""))</f>
        <v/>
      </c>
      <c r="M191" t="str">
        <f>IF($K191="","",IFERROR(UPPER(TRIM(LENH_GOC!Y192)),""))</f>
        <v/>
      </c>
      <c r="N191" s="43" t="str">
        <f>IFERROR(IF($K191="","",IF(LENH_GOC!G192="","",IF(ISNUMBER(LENH_GOC!G192),LENH_GOC!G192,DATE(VALUE(MID(LENH_GOC!G192,7,4)),VALUE(MID(LENH_GOC!G192,4,2)),VALUE(LEFT(LENH_GOC!G192,2)))+TIME(VALUE(MID(LENH_GOC!G192,12,2)),VALUE(MID(LENH_GOC!G192,15,2)),VALUE(MID(LENH_GOC!G192,18,2)))))), "")</f>
        <v/>
      </c>
      <c r="O191" t="str">
        <f>IF($K191="","",IF(LENH_GOC!E192="","",LENH_GOC!E192))</f>
        <v/>
      </c>
      <c r="P191" t="str">
        <f>IF($K191="","",IF(LENH_GOC!F192="","",LENH_GOC!F192))</f>
        <v/>
      </c>
      <c r="Q191" t="str">
        <f>IFERROR(IF($K191="","",IF(LENH_GOC!P192="","",IFERROR(VALUE(LENH_GOC!P192),IF(OR(LENH_GOC!P192=TRUE,UPPER(TRIM(LENH_GOC!P192))="TRUE"),1,0)))),"")</f>
        <v/>
      </c>
      <c r="R191" t="str">
        <f>IF($K191="","",IF(LENH_GOC!Q192="","",LENH_GOC!Q192))</f>
        <v/>
      </c>
      <c r="S191" s="43" t="str">
        <f>IF($K191="","",IF(LENH_GOC!R192="","",LENH_GOC!R192))</f>
        <v/>
      </c>
      <c r="T191">
        <f>IFERROR(IF($K191="",0,IF(AND(ISNUMBER($N191),INT($N191)=CAI_DAT!$B$4,LEFT(UPPER(TRIM($L191)),2)=LEFT(UPPER(TRIM(CAI_DAT!$B$5)),2),$Q191=1,OR(AND($M191="SO",ISNUMBER($P191),$P191&gt;0),AND($M191="MO",ISNUMBER($O191),$O191&gt;0))),1,0)),0)</f>
        <v>0</v>
      </c>
      <c r="U191" t="str">
        <f t="shared" si="27"/>
        <v/>
      </c>
      <c r="V191" t="str">
        <f t="shared" si="28"/>
        <v/>
      </c>
      <c r="W191" t="str">
        <f>IFERROR(IF($T191=0,"",COUNTIFS($T$3:$T$202,1,$V$3:$V$202,"&lt;"&amp;$V191)+COUNTIFS($T$3:$T191,1,$V$3:$V191,$V191)),"")</f>
        <v/>
      </c>
      <c r="X191" t="str">
        <f t="shared" si="29"/>
        <v/>
      </c>
    </row>
    <row r="192" spans="10:24">
      <c r="J192" t="str">
        <f>IF(LENH_GOC!A193="","",193)</f>
        <v/>
      </c>
      <c r="K192" t="str">
        <f>IF(LENH_GOC!A193="","",LENH_GOC!A193)</f>
        <v/>
      </c>
      <c r="L192" t="str">
        <f>IF($K192="","",IFERROR(TRIM(LENH_GOC!C193),""))</f>
        <v/>
      </c>
      <c r="M192" t="str">
        <f>IF($K192="","",IFERROR(UPPER(TRIM(LENH_GOC!Y193)),""))</f>
        <v/>
      </c>
      <c r="N192" s="43" t="str">
        <f>IFERROR(IF($K192="","",IF(LENH_GOC!G193="","",IF(ISNUMBER(LENH_GOC!G193),LENH_GOC!G193,DATE(VALUE(MID(LENH_GOC!G193,7,4)),VALUE(MID(LENH_GOC!G193,4,2)),VALUE(LEFT(LENH_GOC!G193,2)))+TIME(VALUE(MID(LENH_GOC!G193,12,2)),VALUE(MID(LENH_GOC!G193,15,2)),VALUE(MID(LENH_GOC!G193,18,2)))))), "")</f>
        <v/>
      </c>
      <c r="O192" t="str">
        <f>IF($K192="","",IF(LENH_GOC!E193="","",LENH_GOC!E193))</f>
        <v/>
      </c>
      <c r="P192" t="str">
        <f>IF($K192="","",IF(LENH_GOC!F193="","",LENH_GOC!F193))</f>
        <v/>
      </c>
      <c r="Q192" t="str">
        <f>IFERROR(IF($K192="","",IF(LENH_GOC!P193="","",IFERROR(VALUE(LENH_GOC!P193),IF(OR(LENH_GOC!P193=TRUE,UPPER(TRIM(LENH_GOC!P193))="TRUE"),1,0)))),"")</f>
        <v/>
      </c>
      <c r="R192" t="str">
        <f>IF($K192="","",IF(LENH_GOC!Q193="","",LENH_GOC!Q193))</f>
        <v/>
      </c>
      <c r="S192" s="43" t="str">
        <f>IF($K192="","",IF(LENH_GOC!R193="","",LENH_GOC!R193))</f>
        <v/>
      </c>
      <c r="T192">
        <f>IFERROR(IF($K192="",0,IF(AND(ISNUMBER($N192),INT($N192)=CAI_DAT!$B$4,LEFT(UPPER(TRIM($L192)),2)=LEFT(UPPER(TRIM(CAI_DAT!$B$5)),2),$Q192=1,OR(AND($M192="SO",ISNUMBER($P192),$P192&gt;0),AND($M192="MO",ISNUMBER($O192),$O192&gt;0))),1,0)),0)</f>
        <v>0</v>
      </c>
      <c r="U192" t="str">
        <f t="shared" si="27"/>
        <v/>
      </c>
      <c r="V192" t="str">
        <f t="shared" si="28"/>
        <v/>
      </c>
      <c r="W192" t="str">
        <f>IFERROR(IF($T192=0,"",COUNTIFS($T$3:$T$202,1,$V$3:$V$202,"&lt;"&amp;$V192)+COUNTIFS($T$3:$T192,1,$V$3:$V192,$V192)),"")</f>
        <v/>
      </c>
      <c r="X192" t="str">
        <f t="shared" si="29"/>
        <v/>
      </c>
    </row>
    <row r="193" spans="10:24">
      <c r="J193" t="str">
        <f>IF(LENH_GOC!A194="","",194)</f>
        <v/>
      </c>
      <c r="K193" t="str">
        <f>IF(LENH_GOC!A194="","",LENH_GOC!A194)</f>
        <v/>
      </c>
      <c r="L193" t="str">
        <f>IF($K193="","",IFERROR(TRIM(LENH_GOC!C194),""))</f>
        <v/>
      </c>
      <c r="M193" t="str">
        <f>IF($K193="","",IFERROR(UPPER(TRIM(LENH_GOC!Y194)),""))</f>
        <v/>
      </c>
      <c r="N193" s="43" t="str">
        <f>IFERROR(IF($K193="","",IF(LENH_GOC!G194="","",IF(ISNUMBER(LENH_GOC!G194),LENH_GOC!G194,DATE(VALUE(MID(LENH_GOC!G194,7,4)),VALUE(MID(LENH_GOC!G194,4,2)),VALUE(LEFT(LENH_GOC!G194,2)))+TIME(VALUE(MID(LENH_GOC!G194,12,2)),VALUE(MID(LENH_GOC!G194,15,2)),VALUE(MID(LENH_GOC!G194,18,2)))))), "")</f>
        <v/>
      </c>
      <c r="O193" t="str">
        <f>IF($K193="","",IF(LENH_GOC!E194="","",LENH_GOC!E194))</f>
        <v/>
      </c>
      <c r="P193" t="str">
        <f>IF($K193="","",IF(LENH_GOC!F194="","",LENH_GOC!F194))</f>
        <v/>
      </c>
      <c r="Q193" t="str">
        <f>IFERROR(IF($K193="","",IF(LENH_GOC!P194="","",IFERROR(VALUE(LENH_GOC!P194),IF(OR(LENH_GOC!P194=TRUE,UPPER(TRIM(LENH_GOC!P194))="TRUE"),1,0)))),"")</f>
        <v/>
      </c>
      <c r="R193" t="str">
        <f>IF($K193="","",IF(LENH_GOC!Q194="","",LENH_GOC!Q194))</f>
        <v/>
      </c>
      <c r="S193" s="43" t="str">
        <f>IF($K193="","",IF(LENH_GOC!R194="","",LENH_GOC!R194))</f>
        <v/>
      </c>
      <c r="T193">
        <f>IFERROR(IF($K193="",0,IF(AND(ISNUMBER($N193),INT($N193)=CAI_DAT!$B$4,LEFT(UPPER(TRIM($L193)),2)=LEFT(UPPER(TRIM(CAI_DAT!$B$5)),2),$Q193=1,OR(AND($M193="SO",ISNUMBER($P193),$P193&gt;0),AND($M193="MO",ISNUMBER($O193),$O193&gt;0))),1,0)),0)</f>
        <v>0</v>
      </c>
      <c r="U193" t="str">
        <f t="shared" si="27"/>
        <v/>
      </c>
      <c r="V193" t="str">
        <f t="shared" si="28"/>
        <v/>
      </c>
      <c r="W193" t="str">
        <f>IFERROR(IF($T193=0,"",COUNTIFS($T$3:$T$202,1,$V$3:$V$202,"&lt;"&amp;$V193)+COUNTIFS($T$3:$T193,1,$V$3:$V193,$V193)),"")</f>
        <v/>
      </c>
      <c r="X193" t="str">
        <f t="shared" si="29"/>
        <v/>
      </c>
    </row>
    <row r="194" spans="10:24">
      <c r="J194" t="str">
        <f>IF(LENH_GOC!A195="","",195)</f>
        <v/>
      </c>
      <c r="K194" t="str">
        <f>IF(LENH_GOC!A195="","",LENH_GOC!A195)</f>
        <v/>
      </c>
      <c r="L194" t="str">
        <f>IF($K194="","",IFERROR(TRIM(LENH_GOC!C195),""))</f>
        <v/>
      </c>
      <c r="M194" t="str">
        <f>IF($K194="","",IFERROR(UPPER(TRIM(LENH_GOC!Y195)),""))</f>
        <v/>
      </c>
      <c r="N194" s="43" t="str">
        <f>IFERROR(IF($K194="","",IF(LENH_GOC!G195="","",IF(ISNUMBER(LENH_GOC!G195),LENH_GOC!G195,DATE(VALUE(MID(LENH_GOC!G195,7,4)),VALUE(MID(LENH_GOC!G195,4,2)),VALUE(LEFT(LENH_GOC!G195,2)))+TIME(VALUE(MID(LENH_GOC!G195,12,2)),VALUE(MID(LENH_GOC!G195,15,2)),VALUE(MID(LENH_GOC!G195,18,2)))))), "")</f>
        <v/>
      </c>
      <c r="O194" t="str">
        <f>IF($K194="","",IF(LENH_GOC!E195="","",LENH_GOC!E195))</f>
        <v/>
      </c>
      <c r="P194" t="str">
        <f>IF($K194="","",IF(LENH_GOC!F195="","",LENH_GOC!F195))</f>
        <v/>
      </c>
      <c r="Q194" t="str">
        <f>IFERROR(IF($K194="","",IF(LENH_GOC!P195="","",IFERROR(VALUE(LENH_GOC!P195),IF(OR(LENH_GOC!P195=TRUE,UPPER(TRIM(LENH_GOC!P195))="TRUE"),1,0)))),"")</f>
        <v/>
      </c>
      <c r="R194" t="str">
        <f>IF($K194="","",IF(LENH_GOC!Q195="","",LENH_GOC!Q195))</f>
        <v/>
      </c>
      <c r="S194" s="43" t="str">
        <f>IF($K194="","",IF(LENH_GOC!R195="","",LENH_GOC!R195))</f>
        <v/>
      </c>
      <c r="T194">
        <f>IFERROR(IF($K194="",0,IF(AND(ISNUMBER($N194),INT($N194)=CAI_DAT!$B$4,LEFT(UPPER(TRIM($L194)),2)=LEFT(UPPER(TRIM(CAI_DAT!$B$5)),2),$Q194=1,OR(AND($M194="SO",ISNUMBER($P194),$P194&gt;0),AND($M194="MO",ISNUMBER($O194),$O194&gt;0))),1,0)),0)</f>
        <v>0</v>
      </c>
      <c r="U194" t="str">
        <f t="shared" si="27"/>
        <v/>
      </c>
      <c r="V194" t="str">
        <f t="shared" si="28"/>
        <v/>
      </c>
      <c r="W194" t="str">
        <f>IFERROR(IF($T194=0,"",COUNTIFS($T$3:$T$202,1,$V$3:$V$202,"&lt;"&amp;$V194)+COUNTIFS($T$3:$T194,1,$V$3:$V194,$V194)),"")</f>
        <v/>
      </c>
      <c r="X194" t="str">
        <f t="shared" si="29"/>
        <v/>
      </c>
    </row>
    <row r="195" spans="10:24">
      <c r="J195" t="str">
        <f>IF(LENH_GOC!A196="","",196)</f>
        <v/>
      </c>
      <c r="K195" t="str">
        <f>IF(LENH_GOC!A196="","",LENH_GOC!A196)</f>
        <v/>
      </c>
      <c r="L195" t="str">
        <f>IF($K195="","",IFERROR(TRIM(LENH_GOC!C196),""))</f>
        <v/>
      </c>
      <c r="M195" t="str">
        <f>IF($K195="","",IFERROR(UPPER(TRIM(LENH_GOC!Y196)),""))</f>
        <v/>
      </c>
      <c r="N195" s="43" t="str">
        <f>IFERROR(IF($K195="","",IF(LENH_GOC!G196="","",IF(ISNUMBER(LENH_GOC!G196),LENH_GOC!G196,DATE(VALUE(MID(LENH_GOC!G196,7,4)),VALUE(MID(LENH_GOC!G196,4,2)),VALUE(LEFT(LENH_GOC!G196,2)))+TIME(VALUE(MID(LENH_GOC!G196,12,2)),VALUE(MID(LENH_GOC!G196,15,2)),VALUE(MID(LENH_GOC!G196,18,2)))))), "")</f>
        <v/>
      </c>
      <c r="O195" t="str">
        <f>IF($K195="","",IF(LENH_GOC!E196="","",LENH_GOC!E196))</f>
        <v/>
      </c>
      <c r="P195" t="str">
        <f>IF($K195="","",IF(LENH_GOC!F196="","",LENH_GOC!F196))</f>
        <v/>
      </c>
      <c r="Q195" t="str">
        <f>IFERROR(IF($K195="","",IF(LENH_GOC!P196="","",IFERROR(VALUE(LENH_GOC!P196),IF(OR(LENH_GOC!P196=TRUE,UPPER(TRIM(LENH_GOC!P196))="TRUE"),1,0)))),"")</f>
        <v/>
      </c>
      <c r="R195" t="str">
        <f>IF($K195="","",IF(LENH_GOC!Q196="","",LENH_GOC!Q196))</f>
        <v/>
      </c>
      <c r="S195" s="43" t="str">
        <f>IF($K195="","",IF(LENH_GOC!R196="","",LENH_GOC!R196))</f>
        <v/>
      </c>
      <c r="T195">
        <f>IFERROR(IF($K195="",0,IF(AND(ISNUMBER($N195),INT($N195)=CAI_DAT!$B$4,LEFT(UPPER(TRIM($L195)),2)=LEFT(UPPER(TRIM(CAI_DAT!$B$5)),2),$Q195=1,OR(AND($M195="SO",ISNUMBER($P195),$P195&gt;0),AND($M195="MO",ISNUMBER($O195),$O195&gt;0))),1,0)),0)</f>
        <v>0</v>
      </c>
      <c r="U195" t="str">
        <f t="shared" ref="U195:U202" si="30">IFERROR(IF($T195=0,"",IF($M195="SO",$P195,IF(AND($M195="MO",OR($R195=TRUE,$R195="TRUE"),ISNUMBER($P195),$P195&gt;0),$P195,$O195))),"")</f>
        <v/>
      </c>
      <c r="V195" t="str">
        <f t="shared" ref="V195:V202" si="31">IFERROR(IF($T195=0,"",MOD($N195,1)*86400),"")</f>
        <v/>
      </c>
      <c r="W195" t="str">
        <f>IFERROR(IF($T195=0,"",COUNTIFS($T$3:$T$202,1,$V$3:$V$202,"&lt;"&amp;$V195)+COUNTIFS($T$3:$T195,1,$V$3:$V195,$V195)),"")</f>
        <v/>
      </c>
      <c r="X195" t="str">
        <f t="shared" ref="X195:X202" si="32">IFERROR(IF($T195=0,"",IF($M195="SO","SO: dùng CS hoàn thành",IF(AND($M195="MO",OR($R195=TRUE,$R195="TRUE"),ISNUMBER($P195),$P195&gt;0),"MO dừng sớm: dùng CS hoàn thành","MO: dùng CS ra lệnh"))),"")</f>
        <v/>
      </c>
    </row>
    <row r="196" spans="10:24">
      <c r="J196" t="str">
        <f>IF(LENH_GOC!A197="","",197)</f>
        <v/>
      </c>
      <c r="K196" t="str">
        <f>IF(LENH_GOC!A197="","",LENH_GOC!A197)</f>
        <v/>
      </c>
      <c r="L196" t="str">
        <f>IF($K196="","",IFERROR(TRIM(LENH_GOC!C197),""))</f>
        <v/>
      </c>
      <c r="M196" t="str">
        <f>IF($K196="","",IFERROR(UPPER(TRIM(LENH_GOC!Y197)),""))</f>
        <v/>
      </c>
      <c r="N196" s="43" t="str">
        <f>IFERROR(IF($K196="","",IF(LENH_GOC!G197="","",IF(ISNUMBER(LENH_GOC!G197),LENH_GOC!G197,DATE(VALUE(MID(LENH_GOC!G197,7,4)),VALUE(MID(LENH_GOC!G197,4,2)),VALUE(LEFT(LENH_GOC!G197,2)))+TIME(VALUE(MID(LENH_GOC!G197,12,2)),VALUE(MID(LENH_GOC!G197,15,2)),VALUE(MID(LENH_GOC!G197,18,2)))))), "")</f>
        <v/>
      </c>
      <c r="O196" t="str">
        <f>IF($K196="","",IF(LENH_GOC!E197="","",LENH_GOC!E197))</f>
        <v/>
      </c>
      <c r="P196" t="str">
        <f>IF($K196="","",IF(LENH_GOC!F197="","",LENH_GOC!F197))</f>
        <v/>
      </c>
      <c r="Q196" t="str">
        <f>IFERROR(IF($K196="","",IF(LENH_GOC!P197="","",IFERROR(VALUE(LENH_GOC!P197),IF(OR(LENH_GOC!P197=TRUE,UPPER(TRIM(LENH_GOC!P197))="TRUE"),1,0)))),"")</f>
        <v/>
      </c>
      <c r="R196" t="str">
        <f>IF($K196="","",IF(LENH_GOC!Q197="","",LENH_GOC!Q197))</f>
        <v/>
      </c>
      <c r="S196" s="43" t="str">
        <f>IF($K196="","",IF(LENH_GOC!R197="","",LENH_GOC!R197))</f>
        <v/>
      </c>
      <c r="T196">
        <f>IFERROR(IF($K196="",0,IF(AND(ISNUMBER($N196),INT($N196)=CAI_DAT!$B$4,LEFT(UPPER(TRIM($L196)),2)=LEFT(UPPER(TRIM(CAI_DAT!$B$5)),2),$Q196=1,OR(AND($M196="SO",ISNUMBER($P196),$P196&gt;0),AND($M196="MO",ISNUMBER($O196),$O196&gt;0))),1,0)),0)</f>
        <v>0</v>
      </c>
      <c r="U196" t="str">
        <f t="shared" si="30"/>
        <v/>
      </c>
      <c r="V196" t="str">
        <f t="shared" si="31"/>
        <v/>
      </c>
      <c r="W196" t="str">
        <f>IFERROR(IF($T196=0,"",COUNTIFS($T$3:$T$202,1,$V$3:$V$202,"&lt;"&amp;$V196)+COUNTIFS($T$3:$T196,1,$V$3:$V196,$V196)),"")</f>
        <v/>
      </c>
      <c r="X196" t="str">
        <f t="shared" si="32"/>
        <v/>
      </c>
    </row>
    <row r="197" spans="10:24">
      <c r="J197" t="str">
        <f>IF(LENH_GOC!A198="","",198)</f>
        <v/>
      </c>
      <c r="K197" t="str">
        <f>IF(LENH_GOC!A198="","",LENH_GOC!A198)</f>
        <v/>
      </c>
      <c r="L197" t="str">
        <f>IF($K197="","",IFERROR(TRIM(LENH_GOC!C198),""))</f>
        <v/>
      </c>
      <c r="M197" t="str">
        <f>IF($K197="","",IFERROR(UPPER(TRIM(LENH_GOC!Y198)),""))</f>
        <v/>
      </c>
      <c r="N197" s="43" t="str">
        <f>IFERROR(IF($K197="","",IF(LENH_GOC!G198="","",IF(ISNUMBER(LENH_GOC!G198),LENH_GOC!G198,DATE(VALUE(MID(LENH_GOC!G198,7,4)),VALUE(MID(LENH_GOC!G198,4,2)),VALUE(LEFT(LENH_GOC!G198,2)))+TIME(VALUE(MID(LENH_GOC!G198,12,2)),VALUE(MID(LENH_GOC!G198,15,2)),VALUE(MID(LENH_GOC!G198,18,2)))))), "")</f>
        <v/>
      </c>
      <c r="O197" t="str">
        <f>IF($K197="","",IF(LENH_GOC!E198="","",LENH_GOC!E198))</f>
        <v/>
      </c>
      <c r="P197" t="str">
        <f>IF($K197="","",IF(LENH_GOC!F198="","",LENH_GOC!F198))</f>
        <v/>
      </c>
      <c r="Q197" t="str">
        <f>IFERROR(IF($K197="","",IF(LENH_GOC!P198="","",IFERROR(VALUE(LENH_GOC!P198),IF(OR(LENH_GOC!P198=TRUE,UPPER(TRIM(LENH_GOC!P198))="TRUE"),1,0)))),"")</f>
        <v/>
      </c>
      <c r="R197" t="str">
        <f>IF($K197="","",IF(LENH_GOC!Q198="","",LENH_GOC!Q198))</f>
        <v/>
      </c>
      <c r="S197" s="43" t="str">
        <f>IF($K197="","",IF(LENH_GOC!R198="","",LENH_GOC!R198))</f>
        <v/>
      </c>
      <c r="T197">
        <f>IFERROR(IF($K197="",0,IF(AND(ISNUMBER($N197),INT($N197)=CAI_DAT!$B$4,LEFT(UPPER(TRIM($L197)),2)=LEFT(UPPER(TRIM(CAI_DAT!$B$5)),2),$Q197=1,OR(AND($M197="SO",ISNUMBER($P197),$P197&gt;0),AND($M197="MO",ISNUMBER($O197),$O197&gt;0))),1,0)),0)</f>
        <v>0</v>
      </c>
      <c r="U197" t="str">
        <f t="shared" si="30"/>
        <v/>
      </c>
      <c r="V197" t="str">
        <f t="shared" si="31"/>
        <v/>
      </c>
      <c r="W197" t="str">
        <f>IFERROR(IF($T197=0,"",COUNTIFS($T$3:$T$202,1,$V$3:$V$202,"&lt;"&amp;$V197)+COUNTIFS($T$3:$T197,1,$V$3:$V197,$V197)),"")</f>
        <v/>
      </c>
      <c r="X197" t="str">
        <f t="shared" si="32"/>
        <v/>
      </c>
    </row>
    <row r="198" spans="10:24">
      <c r="J198" t="str">
        <f>IF(LENH_GOC!A199="","",199)</f>
        <v/>
      </c>
      <c r="K198" t="str">
        <f>IF(LENH_GOC!A199="","",LENH_GOC!A199)</f>
        <v/>
      </c>
      <c r="L198" t="str">
        <f>IF($K198="","",IFERROR(TRIM(LENH_GOC!C199),""))</f>
        <v/>
      </c>
      <c r="M198" t="str">
        <f>IF($K198="","",IFERROR(UPPER(TRIM(LENH_GOC!Y199)),""))</f>
        <v/>
      </c>
      <c r="N198" s="43" t="str">
        <f>IFERROR(IF($K198="","",IF(LENH_GOC!G199="","",IF(ISNUMBER(LENH_GOC!G199),LENH_GOC!G199,DATE(VALUE(MID(LENH_GOC!G199,7,4)),VALUE(MID(LENH_GOC!G199,4,2)),VALUE(LEFT(LENH_GOC!G199,2)))+TIME(VALUE(MID(LENH_GOC!G199,12,2)),VALUE(MID(LENH_GOC!G199,15,2)),VALUE(MID(LENH_GOC!G199,18,2)))))), "")</f>
        <v/>
      </c>
      <c r="O198" t="str">
        <f>IF($K198="","",IF(LENH_GOC!E199="","",LENH_GOC!E199))</f>
        <v/>
      </c>
      <c r="P198" t="str">
        <f>IF($K198="","",IF(LENH_GOC!F199="","",LENH_GOC!F199))</f>
        <v/>
      </c>
      <c r="Q198" t="str">
        <f>IFERROR(IF($K198="","",IF(LENH_GOC!P199="","",IFERROR(VALUE(LENH_GOC!P199),IF(OR(LENH_GOC!P199=TRUE,UPPER(TRIM(LENH_GOC!P199))="TRUE"),1,0)))),"")</f>
        <v/>
      </c>
      <c r="R198" t="str">
        <f>IF($K198="","",IF(LENH_GOC!Q199="","",LENH_GOC!Q199))</f>
        <v/>
      </c>
      <c r="S198" s="43" t="str">
        <f>IF($K198="","",IF(LENH_GOC!R199="","",LENH_GOC!R199))</f>
        <v/>
      </c>
      <c r="T198">
        <f>IFERROR(IF($K198="",0,IF(AND(ISNUMBER($N198),INT($N198)=CAI_DAT!$B$4,LEFT(UPPER(TRIM($L198)),2)=LEFT(UPPER(TRIM(CAI_DAT!$B$5)),2),$Q198=1,OR(AND($M198="SO",ISNUMBER($P198),$P198&gt;0),AND($M198="MO",ISNUMBER($O198),$O198&gt;0))),1,0)),0)</f>
        <v>0</v>
      </c>
      <c r="U198" t="str">
        <f t="shared" si="30"/>
        <v/>
      </c>
      <c r="V198" t="str">
        <f t="shared" si="31"/>
        <v/>
      </c>
      <c r="W198" t="str">
        <f>IFERROR(IF($T198=0,"",COUNTIFS($T$3:$T$202,1,$V$3:$V$202,"&lt;"&amp;$V198)+COUNTIFS($T$3:$T198,1,$V$3:$V198,$V198)),"")</f>
        <v/>
      </c>
      <c r="X198" t="str">
        <f t="shared" si="32"/>
        <v/>
      </c>
    </row>
    <row r="199" spans="10:24">
      <c r="J199" t="str">
        <f>IF(LENH_GOC!A200="","",200)</f>
        <v/>
      </c>
      <c r="K199" t="str">
        <f>IF(LENH_GOC!A200="","",LENH_GOC!A200)</f>
        <v/>
      </c>
      <c r="L199" t="str">
        <f>IF($K199="","",IFERROR(TRIM(LENH_GOC!C200),""))</f>
        <v/>
      </c>
      <c r="M199" t="str">
        <f>IF($K199="","",IFERROR(UPPER(TRIM(LENH_GOC!Y200)),""))</f>
        <v/>
      </c>
      <c r="N199" s="43" t="str">
        <f>IFERROR(IF($K199="","",IF(LENH_GOC!G200="","",IF(ISNUMBER(LENH_GOC!G200),LENH_GOC!G200,DATE(VALUE(MID(LENH_GOC!G200,7,4)),VALUE(MID(LENH_GOC!G200,4,2)),VALUE(LEFT(LENH_GOC!G200,2)))+TIME(VALUE(MID(LENH_GOC!G200,12,2)),VALUE(MID(LENH_GOC!G200,15,2)),VALUE(MID(LENH_GOC!G200,18,2)))))), "")</f>
        <v/>
      </c>
      <c r="O199" t="str">
        <f>IF($K199="","",IF(LENH_GOC!E200="","",LENH_GOC!E200))</f>
        <v/>
      </c>
      <c r="P199" t="str">
        <f>IF($K199="","",IF(LENH_GOC!F200="","",LENH_GOC!F200))</f>
        <v/>
      </c>
      <c r="Q199" t="str">
        <f>IFERROR(IF($K199="","",IF(LENH_GOC!P200="","",IFERROR(VALUE(LENH_GOC!P200),IF(OR(LENH_GOC!P200=TRUE,UPPER(TRIM(LENH_GOC!P200))="TRUE"),1,0)))),"")</f>
        <v/>
      </c>
      <c r="R199" t="str">
        <f>IF($K199="","",IF(LENH_GOC!Q200="","",LENH_GOC!Q200))</f>
        <v/>
      </c>
      <c r="S199" s="43" t="str">
        <f>IF($K199="","",IF(LENH_GOC!R200="","",LENH_GOC!R200))</f>
        <v/>
      </c>
      <c r="T199">
        <f>IFERROR(IF($K199="",0,IF(AND(ISNUMBER($N199),INT($N199)=CAI_DAT!$B$4,LEFT(UPPER(TRIM($L199)),2)=LEFT(UPPER(TRIM(CAI_DAT!$B$5)),2),$Q199=1,OR(AND($M199="SO",ISNUMBER($P199),$P199&gt;0),AND($M199="MO",ISNUMBER($O199),$O199&gt;0))),1,0)),0)</f>
        <v>0</v>
      </c>
      <c r="U199" t="str">
        <f t="shared" si="30"/>
        <v/>
      </c>
      <c r="V199" t="str">
        <f t="shared" si="31"/>
        <v/>
      </c>
      <c r="W199" t="str">
        <f>IFERROR(IF($T199=0,"",COUNTIFS($T$3:$T$202,1,$V$3:$V$202,"&lt;"&amp;$V199)+COUNTIFS($T$3:$T199,1,$V$3:$V199,$V199)),"")</f>
        <v/>
      </c>
      <c r="X199" t="str">
        <f t="shared" si="32"/>
        <v/>
      </c>
    </row>
    <row r="200" spans="10:24">
      <c r="J200" t="str">
        <f>IF(LENH_GOC!A201="","",201)</f>
        <v/>
      </c>
      <c r="K200" t="str">
        <f>IF(LENH_GOC!A201="","",LENH_GOC!A201)</f>
        <v/>
      </c>
      <c r="L200" t="str">
        <f>IF($K200="","",IFERROR(TRIM(LENH_GOC!C201),""))</f>
        <v/>
      </c>
      <c r="M200" t="str">
        <f>IF($K200="","",IFERROR(UPPER(TRIM(LENH_GOC!Y201)),""))</f>
        <v/>
      </c>
      <c r="N200" s="43" t="str">
        <f>IFERROR(IF($K200="","",IF(LENH_GOC!G201="","",IF(ISNUMBER(LENH_GOC!G201),LENH_GOC!G201,DATE(VALUE(MID(LENH_GOC!G201,7,4)),VALUE(MID(LENH_GOC!G201,4,2)),VALUE(LEFT(LENH_GOC!G201,2)))+TIME(VALUE(MID(LENH_GOC!G201,12,2)),VALUE(MID(LENH_GOC!G201,15,2)),VALUE(MID(LENH_GOC!G201,18,2)))))), "")</f>
        <v/>
      </c>
      <c r="O200" t="str">
        <f>IF($K200="","",IF(LENH_GOC!E201="","",LENH_GOC!E201))</f>
        <v/>
      </c>
      <c r="P200" t="str">
        <f>IF($K200="","",IF(LENH_GOC!F201="","",LENH_GOC!F201))</f>
        <v/>
      </c>
      <c r="Q200" t="str">
        <f>IFERROR(IF($K200="","",IF(LENH_GOC!P201="","",IFERROR(VALUE(LENH_GOC!P201),IF(OR(LENH_GOC!P201=TRUE,UPPER(TRIM(LENH_GOC!P201))="TRUE"),1,0)))),"")</f>
        <v/>
      </c>
      <c r="R200" t="str">
        <f>IF($K200="","",IF(LENH_GOC!Q201="","",LENH_GOC!Q201))</f>
        <v/>
      </c>
      <c r="S200" s="43" t="str">
        <f>IF($K200="","",IF(LENH_GOC!R201="","",LENH_GOC!R201))</f>
        <v/>
      </c>
      <c r="T200">
        <f>IFERROR(IF($K200="",0,IF(AND(ISNUMBER($N200),INT($N200)=CAI_DAT!$B$4,LEFT(UPPER(TRIM($L200)),2)=LEFT(UPPER(TRIM(CAI_DAT!$B$5)),2),$Q200=1,OR(AND($M200="SO",ISNUMBER($P200),$P200&gt;0),AND($M200="MO",ISNUMBER($O200),$O200&gt;0))),1,0)),0)</f>
        <v>0</v>
      </c>
      <c r="U200" t="str">
        <f t="shared" si="30"/>
        <v/>
      </c>
      <c r="V200" t="str">
        <f t="shared" si="31"/>
        <v/>
      </c>
      <c r="W200" t="str">
        <f>IFERROR(IF($T200=0,"",COUNTIFS($T$3:$T$202,1,$V$3:$V$202,"&lt;"&amp;$V200)+COUNTIFS($T$3:$T200,1,$V$3:$V200,$V200)),"")</f>
        <v/>
      </c>
      <c r="X200" t="str">
        <f t="shared" si="32"/>
        <v/>
      </c>
    </row>
    <row r="201" spans="10:24">
      <c r="J201" t="str">
        <f>IF(LENH_GOC!A202="","",202)</f>
        <v/>
      </c>
      <c r="K201" t="str">
        <f>IF(LENH_GOC!A202="","",LENH_GOC!A202)</f>
        <v/>
      </c>
      <c r="L201" t="str">
        <f>IF($K201="","",IFERROR(TRIM(LENH_GOC!C202),""))</f>
        <v/>
      </c>
      <c r="M201" t="str">
        <f>IF($K201="","",IFERROR(UPPER(TRIM(LENH_GOC!Y202)),""))</f>
        <v/>
      </c>
      <c r="N201" s="43" t="str">
        <f>IFERROR(IF($K201="","",IF(LENH_GOC!G202="","",IF(ISNUMBER(LENH_GOC!G202),LENH_GOC!G202,DATE(VALUE(MID(LENH_GOC!G202,7,4)),VALUE(MID(LENH_GOC!G202,4,2)),VALUE(LEFT(LENH_GOC!G202,2)))+TIME(VALUE(MID(LENH_GOC!G202,12,2)),VALUE(MID(LENH_GOC!G202,15,2)),VALUE(MID(LENH_GOC!G202,18,2)))))), "")</f>
        <v/>
      </c>
      <c r="O201" t="str">
        <f>IF($K201="","",IF(LENH_GOC!E202="","",LENH_GOC!E202))</f>
        <v/>
      </c>
      <c r="P201" t="str">
        <f>IF($K201="","",IF(LENH_GOC!F202="","",LENH_GOC!F202))</f>
        <v/>
      </c>
      <c r="Q201" t="str">
        <f>IFERROR(IF($K201="","",IF(LENH_GOC!P202="","",IFERROR(VALUE(LENH_GOC!P202),IF(OR(LENH_GOC!P202=TRUE,UPPER(TRIM(LENH_GOC!P202))="TRUE"),1,0)))),"")</f>
        <v/>
      </c>
      <c r="R201" t="str">
        <f>IF($K201="","",IF(LENH_GOC!Q202="","",LENH_GOC!Q202))</f>
        <v/>
      </c>
      <c r="S201" s="43" t="str">
        <f>IF($K201="","",IF(LENH_GOC!R202="","",LENH_GOC!R202))</f>
        <v/>
      </c>
      <c r="T201">
        <f>IFERROR(IF($K201="",0,IF(AND(ISNUMBER($N201),INT($N201)=CAI_DAT!$B$4,LEFT(UPPER(TRIM($L201)),2)=LEFT(UPPER(TRIM(CAI_DAT!$B$5)),2),$Q201=1,OR(AND($M201="SO",ISNUMBER($P201),$P201&gt;0),AND($M201="MO",ISNUMBER($O201),$O201&gt;0))),1,0)),0)</f>
        <v>0</v>
      </c>
      <c r="U201" t="str">
        <f t="shared" si="30"/>
        <v/>
      </c>
      <c r="V201" t="str">
        <f t="shared" si="31"/>
        <v/>
      </c>
      <c r="W201" t="str">
        <f>IFERROR(IF($T201=0,"",COUNTIFS($T$3:$T$202,1,$V$3:$V$202,"&lt;"&amp;$V201)+COUNTIFS($T$3:$T201,1,$V$3:$V201,$V201)),"")</f>
        <v/>
      </c>
      <c r="X201" t="str">
        <f t="shared" si="32"/>
        <v/>
      </c>
    </row>
    <row r="202" spans="10:24">
      <c r="J202" t="str">
        <f>IF(LENH_GOC!A203="","",203)</f>
        <v/>
      </c>
      <c r="K202" t="str">
        <f>IF(LENH_GOC!A203="","",LENH_GOC!A203)</f>
        <v/>
      </c>
      <c r="L202" t="str">
        <f>IF($K202="","",IFERROR(TRIM(LENH_GOC!C203),""))</f>
        <v/>
      </c>
      <c r="M202" t="str">
        <f>IF($K202="","",IFERROR(UPPER(TRIM(LENH_GOC!Y203)),""))</f>
        <v/>
      </c>
      <c r="N202" s="43" t="str">
        <f>IFERROR(IF($K202="","",IF(LENH_GOC!G203="","",IF(ISNUMBER(LENH_GOC!G203),LENH_GOC!G203,DATE(VALUE(MID(LENH_GOC!G203,7,4)),VALUE(MID(LENH_GOC!G203,4,2)),VALUE(LEFT(LENH_GOC!G203,2)))+TIME(VALUE(MID(LENH_GOC!G203,12,2)),VALUE(MID(LENH_GOC!G203,15,2)),VALUE(MID(LENH_GOC!G203,18,2)))))), "")</f>
        <v/>
      </c>
      <c r="O202" t="str">
        <f>IF($K202="","",IF(LENH_GOC!E203="","",LENH_GOC!E203))</f>
        <v/>
      </c>
      <c r="P202" t="str">
        <f>IF($K202="","",IF(LENH_GOC!F203="","",LENH_GOC!F203))</f>
        <v/>
      </c>
      <c r="Q202" t="str">
        <f>IFERROR(IF($K202="","",IF(LENH_GOC!P203="","",IFERROR(VALUE(LENH_GOC!P203),IF(OR(LENH_GOC!P203=TRUE,UPPER(TRIM(LENH_GOC!P203))="TRUE"),1,0)))),"")</f>
        <v/>
      </c>
      <c r="R202" t="str">
        <f>IF($K202="","",IF(LENH_GOC!Q203="","",LENH_GOC!Q203))</f>
        <v/>
      </c>
      <c r="S202" s="43" t="str">
        <f>IF($K202="","",IF(LENH_GOC!R203="","",LENH_GOC!R203))</f>
        <v/>
      </c>
      <c r="T202">
        <f>IFERROR(IF($K202="",0,IF(AND(ISNUMBER($N202),INT($N202)=CAI_DAT!$B$4,LEFT(UPPER(TRIM($L202)),2)=LEFT(UPPER(TRIM(CAI_DAT!$B$5)),2),$Q202=1,OR(AND($M202="SO",ISNUMBER($P202),$P202&gt;0),AND($M202="MO",ISNUMBER($O202),$O202&gt;0))),1,0)),0)</f>
        <v>0</v>
      </c>
      <c r="U202" t="str">
        <f t="shared" si="30"/>
        <v/>
      </c>
      <c r="V202" t="str">
        <f t="shared" si="31"/>
        <v/>
      </c>
      <c r="W202" t="str">
        <f>IFERROR(IF($T202=0,"",COUNTIFS($T$3:$T$202,1,$V$3:$V$202,"&lt;"&amp;$V202)+COUNTIFS($T$3:$T202,1,$V$3:$V202,$V202)),"")</f>
        <v/>
      </c>
      <c r="X202" t="str">
        <f t="shared" si="32"/>
        <v/>
      </c>
    </row>
  </sheetData>
  <mergeCells count="1">
    <mergeCell ref="A1:G1"/>
  </mergeCells>
  <dataValidations count="1">
    <dataValidation type="list" sqref="B3:B102" xr:uid="{00000000-0002-0000-0300-000000000000}">
      <formula1>"S1DH1,S2DH1,S1,S2"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X50"/>
  <sheetViews>
    <sheetView workbookViewId="0"/>
  </sheetViews>
  <sheetFormatPr baseColWidth="10" defaultColWidth="8.83203125" defaultRowHeight="14"/>
  <cols>
    <col min="1" max="1" width="13" customWidth="1"/>
    <col min="2" max="2" width="18" customWidth="1"/>
    <col min="3" max="50" width="10" customWidth="1"/>
  </cols>
  <sheetData>
    <row r="1" spans="1:50" ht="17">
      <c r="A1" s="71"/>
      <c r="B1" s="71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</row>
    <row r="2" spans="1:50">
      <c r="A2" s="72"/>
      <c r="B2" s="73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2"/>
    </row>
    <row r="3" spans="1:50">
      <c r="A3" s="74"/>
      <c r="B3" s="75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4"/>
    </row>
    <row r="4" spans="1:50">
      <c r="A4" s="76"/>
      <c r="B4" s="77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6"/>
    </row>
    <row r="5" spans="1:50">
      <c r="A5" s="76"/>
      <c r="B5" s="77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6"/>
    </row>
    <row r="6" spans="1:50">
      <c r="A6" s="76"/>
      <c r="B6" s="77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6"/>
    </row>
    <row r="7" spans="1:50">
      <c r="A7" s="76"/>
      <c r="B7" s="77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6"/>
    </row>
    <row r="8" spans="1:50">
      <c r="A8" s="76"/>
      <c r="B8" s="77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6"/>
    </row>
    <row r="9" spans="1:50">
      <c r="A9" s="76"/>
      <c r="B9" s="77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6"/>
    </row>
    <row r="10" spans="1:50">
      <c r="A10" s="76"/>
      <c r="B10" s="77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6"/>
    </row>
    <row r="11" spans="1:50">
      <c r="A11" s="76"/>
      <c r="B11" s="77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6"/>
    </row>
    <row r="12" spans="1:50">
      <c r="A12" s="76"/>
      <c r="B12" s="77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6"/>
    </row>
    <row r="13" spans="1:50">
      <c r="A13" s="76"/>
      <c r="B13" s="77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6"/>
    </row>
    <row r="14" spans="1:50">
      <c r="A14" s="76"/>
      <c r="B14" s="77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6"/>
    </row>
    <row r="15" spans="1:50">
      <c r="A15" s="76"/>
      <c r="B15" s="77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6"/>
    </row>
    <row r="16" spans="1:50">
      <c r="A16" s="78"/>
      <c r="B16" s="79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8"/>
    </row>
    <row r="17" spans="1:2">
      <c r="A17" s="80"/>
      <c r="B17" s="80"/>
    </row>
    <row r="18" spans="1:2">
      <c r="A18" s="80"/>
      <c r="B18" s="80"/>
    </row>
    <row r="19" spans="1:2">
      <c r="A19" s="80"/>
      <c r="B19" s="80"/>
    </row>
    <row r="20" spans="1:2">
      <c r="A20" s="80"/>
      <c r="B20" s="80"/>
    </row>
    <row r="21" spans="1:2">
      <c r="A21" s="80"/>
      <c r="B21" s="80"/>
    </row>
    <row r="22" spans="1:2">
      <c r="A22" s="80"/>
      <c r="B22" s="80"/>
    </row>
    <row r="23" spans="1:2">
      <c r="A23" s="80"/>
      <c r="B23" s="80"/>
    </row>
    <row r="24" spans="1:2">
      <c r="A24" s="80"/>
      <c r="B24" s="80"/>
    </row>
    <row r="25" spans="1:2">
      <c r="A25" s="80"/>
      <c r="B25" s="80"/>
    </row>
    <row r="26" spans="1:2">
      <c r="A26" s="80"/>
      <c r="B26" s="80"/>
    </row>
    <row r="27" spans="1:2">
      <c r="A27" s="80"/>
      <c r="B27" s="80"/>
    </row>
    <row r="28" spans="1:2">
      <c r="A28" s="80"/>
      <c r="B28" s="80"/>
    </row>
    <row r="29" spans="1:2">
      <c r="A29" s="80"/>
      <c r="B29" s="80"/>
    </row>
    <row r="30" spans="1:2">
      <c r="A30" s="80"/>
      <c r="B30" s="80"/>
    </row>
    <row r="31" spans="1:2">
      <c r="A31" s="80"/>
      <c r="B31" s="80"/>
    </row>
    <row r="32" spans="1:2">
      <c r="A32" s="80"/>
      <c r="B32" s="80"/>
    </row>
    <row r="33" spans="1:2">
      <c r="A33" s="80"/>
      <c r="B33" s="80"/>
    </row>
    <row r="34" spans="1:2">
      <c r="A34" s="80"/>
      <c r="B34" s="80"/>
    </row>
    <row r="35" spans="1:2">
      <c r="A35" s="80"/>
      <c r="B35" s="80"/>
    </row>
    <row r="36" spans="1:2">
      <c r="A36" s="80"/>
      <c r="B36" s="80"/>
    </row>
    <row r="37" spans="1:2">
      <c r="A37" s="80"/>
      <c r="B37" s="80"/>
    </row>
    <row r="38" spans="1:2">
      <c r="A38" s="80"/>
      <c r="B38" s="80"/>
    </row>
    <row r="39" spans="1:2">
      <c r="A39" s="80"/>
      <c r="B39" s="80"/>
    </row>
    <row r="40" spans="1:2">
      <c r="A40" s="80"/>
      <c r="B40" s="80"/>
    </row>
    <row r="41" spans="1:2">
      <c r="A41" s="80"/>
      <c r="B41" s="80"/>
    </row>
    <row r="42" spans="1:2">
      <c r="A42" s="80"/>
      <c r="B42" s="80"/>
    </row>
    <row r="43" spans="1:2">
      <c r="A43" s="80"/>
      <c r="B43" s="80"/>
    </row>
    <row r="44" spans="1:2">
      <c r="A44" s="80"/>
      <c r="B44" s="80"/>
    </row>
    <row r="45" spans="1:2">
      <c r="A45" s="80"/>
      <c r="B45" s="80"/>
    </row>
    <row r="46" spans="1:2">
      <c r="A46" s="80"/>
      <c r="B46" s="80"/>
    </row>
    <row r="47" spans="1:2">
      <c r="A47" s="80"/>
      <c r="B47" s="80"/>
    </row>
    <row r="48" spans="1:2">
      <c r="A48" s="80"/>
      <c r="B48" s="80"/>
    </row>
    <row r="49" spans="1:2">
      <c r="A49" s="80"/>
      <c r="B49" s="80"/>
    </row>
    <row r="50" spans="1:2">
      <c r="A50" s="80"/>
      <c r="B50" s="8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X50"/>
  <sheetViews>
    <sheetView workbookViewId="0"/>
  </sheetViews>
  <sheetFormatPr baseColWidth="10" defaultColWidth="8.83203125" defaultRowHeight="14"/>
  <cols>
    <col min="1" max="1" width="13" customWidth="1"/>
    <col min="2" max="2" width="18" customWidth="1"/>
    <col min="3" max="50" width="10" customWidth="1"/>
  </cols>
  <sheetData>
    <row r="1" spans="1:50" ht="17">
      <c r="A1" s="71"/>
      <c r="B1" s="71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</row>
    <row r="2" spans="1:50">
      <c r="A2" s="72"/>
      <c r="B2" s="73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2"/>
    </row>
    <row r="3" spans="1:50">
      <c r="A3" s="74"/>
      <c r="B3" s="75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4"/>
    </row>
    <row r="4" spans="1:50">
      <c r="A4" s="76"/>
      <c r="B4" s="77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6"/>
    </row>
    <row r="5" spans="1:50">
      <c r="A5" s="76"/>
      <c r="B5" s="77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6"/>
    </row>
    <row r="6" spans="1:50">
      <c r="A6" s="76"/>
      <c r="B6" s="77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6"/>
    </row>
    <row r="7" spans="1:50">
      <c r="A7" s="76"/>
      <c r="B7" s="77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6"/>
    </row>
    <row r="8" spans="1:50">
      <c r="A8" s="76"/>
      <c r="B8" s="77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6"/>
    </row>
    <row r="9" spans="1:50">
      <c r="A9" s="76"/>
      <c r="B9" s="77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6"/>
    </row>
    <row r="10" spans="1:50">
      <c r="A10" s="76"/>
      <c r="B10" s="77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6"/>
    </row>
    <row r="11" spans="1:50">
      <c r="A11" s="76"/>
      <c r="B11" s="77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6"/>
    </row>
    <row r="12" spans="1:50">
      <c r="A12" s="76"/>
      <c r="B12" s="77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6"/>
    </row>
    <row r="13" spans="1:50">
      <c r="A13" s="76"/>
      <c r="B13" s="77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6"/>
    </row>
    <row r="14" spans="1:50">
      <c r="A14" s="76"/>
      <c r="B14" s="77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6"/>
    </row>
    <row r="15" spans="1:50">
      <c r="A15" s="76"/>
      <c r="B15" s="77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6"/>
    </row>
    <row r="16" spans="1:50">
      <c r="A16" s="78"/>
      <c r="B16" s="79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8"/>
    </row>
    <row r="17" spans="1:2">
      <c r="A17" s="80"/>
      <c r="B17" s="80"/>
    </row>
    <row r="18" spans="1:2">
      <c r="A18" s="80"/>
      <c r="B18" s="80"/>
    </row>
    <row r="19" spans="1:2">
      <c r="A19" s="80"/>
      <c r="B19" s="80"/>
    </row>
    <row r="20" spans="1:2">
      <c r="A20" s="80"/>
      <c r="B20" s="80"/>
    </row>
    <row r="21" spans="1:2">
      <c r="A21" s="80"/>
      <c r="B21" s="80"/>
    </row>
    <row r="22" spans="1:2">
      <c r="A22" s="80"/>
      <c r="B22" s="80"/>
    </row>
    <row r="23" spans="1:2">
      <c r="A23" s="80"/>
      <c r="B23" s="80"/>
    </row>
    <row r="24" spans="1:2">
      <c r="A24" s="80"/>
      <c r="B24" s="80"/>
    </row>
    <row r="25" spans="1:2">
      <c r="A25" s="80"/>
      <c r="B25" s="80"/>
    </row>
    <row r="26" spans="1:2">
      <c r="A26" s="80"/>
      <c r="B26" s="80"/>
    </row>
    <row r="27" spans="1:2">
      <c r="A27" s="80"/>
      <c r="B27" s="80"/>
    </row>
    <row r="28" spans="1:2">
      <c r="A28" s="80"/>
      <c r="B28" s="80"/>
    </row>
    <row r="29" spans="1:2">
      <c r="A29" s="80"/>
      <c r="B29" s="80"/>
    </row>
    <row r="30" spans="1:2">
      <c r="A30" s="80"/>
      <c r="B30" s="80"/>
    </row>
    <row r="31" spans="1:2">
      <c r="A31" s="80"/>
      <c r="B31" s="80"/>
    </row>
    <row r="32" spans="1:2">
      <c r="A32" s="80"/>
      <c r="B32" s="80"/>
    </row>
    <row r="33" spans="1:2">
      <c r="A33" s="80"/>
      <c r="B33" s="80"/>
    </row>
    <row r="34" spans="1:2">
      <c r="A34" s="80"/>
      <c r="B34" s="80"/>
    </row>
    <row r="35" spans="1:2">
      <c r="A35" s="80"/>
      <c r="B35" s="80"/>
    </row>
    <row r="36" spans="1:2">
      <c r="A36" s="80"/>
      <c r="B36" s="80"/>
    </row>
    <row r="37" spans="1:2">
      <c r="A37" s="80"/>
      <c r="B37" s="80"/>
    </row>
    <row r="38" spans="1:2">
      <c r="A38" s="80"/>
      <c r="B38" s="80"/>
    </row>
    <row r="39" spans="1:2">
      <c r="A39" s="80"/>
      <c r="B39" s="80"/>
    </row>
    <row r="40" spans="1:2">
      <c r="A40" s="80"/>
      <c r="B40" s="80"/>
    </row>
    <row r="41" spans="1:2">
      <c r="A41" s="80"/>
      <c r="B41" s="80"/>
    </row>
    <row r="42" spans="1:2">
      <c r="A42" s="80"/>
      <c r="B42" s="80"/>
    </row>
    <row r="43" spans="1:2">
      <c r="A43" s="80"/>
      <c r="B43" s="80"/>
    </row>
    <row r="44" spans="1:2">
      <c r="A44" s="80"/>
      <c r="B44" s="80"/>
    </row>
    <row r="45" spans="1:2">
      <c r="A45" s="80"/>
      <c r="B45" s="80"/>
    </row>
    <row r="46" spans="1:2">
      <c r="A46" s="80"/>
      <c r="B46" s="80"/>
    </row>
    <row r="47" spans="1:2">
      <c r="A47" s="80"/>
      <c r="B47" s="80"/>
    </row>
    <row r="48" spans="1:2">
      <c r="A48" s="80"/>
      <c r="B48" s="80"/>
    </row>
    <row r="49" spans="1:2">
      <c r="A49" s="80"/>
      <c r="B49" s="80"/>
    </row>
    <row r="50" spans="1:2">
      <c r="A50" s="80"/>
      <c r="B50" s="8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61"/>
  <sheetViews>
    <sheetView workbookViewId="0"/>
  </sheetViews>
  <sheetFormatPr baseColWidth="10" defaultColWidth="8.83203125" defaultRowHeight="14"/>
  <cols>
    <col min="1" max="1" width="8" customWidth="1"/>
    <col min="2" max="2" width="16" customWidth="1"/>
    <col min="3" max="3" width="25" customWidth="1"/>
    <col min="4" max="4" width="15" customWidth="1"/>
    <col min="5" max="5" width="25" customWidth="1"/>
    <col min="6" max="6" width="15" customWidth="1"/>
    <col min="7" max="7" width="14" customWidth="1"/>
    <col min="8" max="9" width="18" customWidth="1"/>
    <col min="10" max="10" width="25" customWidth="1"/>
    <col min="11" max="11" width="14" customWidth="1"/>
    <col min="12" max="12" width="28" customWidth="1"/>
  </cols>
  <sheetData>
    <row r="1" spans="1:12" ht="15">
      <c r="A1" s="1" t="s">
        <v>120</v>
      </c>
      <c r="B1" s="11" t="s">
        <v>136</v>
      </c>
      <c r="C1" s="11" t="s">
        <v>137</v>
      </c>
      <c r="D1" s="11" t="s">
        <v>138</v>
      </c>
      <c r="E1" s="11" t="s">
        <v>139</v>
      </c>
      <c r="F1" s="11" t="s">
        <v>140</v>
      </c>
      <c r="G1" s="11" t="s">
        <v>141</v>
      </c>
      <c r="H1" s="11" t="s">
        <v>142</v>
      </c>
      <c r="I1" s="11" t="s">
        <v>143</v>
      </c>
      <c r="J1" s="11" t="s">
        <v>144</v>
      </c>
      <c r="K1" s="11" t="s">
        <v>145</v>
      </c>
      <c r="L1" s="2" t="s">
        <v>146</v>
      </c>
    </row>
    <row r="2" spans="1:12">
      <c r="A2" s="3">
        <f t="shared" ref="A2:A33" si="0">ROW()-1</f>
        <v>1</v>
      </c>
      <c r="B2" s="18" t="str">
        <f ca="1">IF(LENH_DIEU_DO!C3="","",MOD(LENH_DIEU_DO!C3,1)*86400)</f>
        <v/>
      </c>
      <c r="C2" s="21" t="str">
        <f ca="1">IF(LENH_DIEU_DO!C3="","",LENH_DIEU_DO!C3)</f>
        <v/>
      </c>
      <c r="D2" s="24" t="str">
        <f ca="1">IF(LENH_DIEU_DO!D3="","",LENH_DIEU_DO!D3)</f>
        <v/>
      </c>
      <c r="E2" s="24" t="str">
        <f ca="1">IF(LENH_DIEU_DO!E3="","",LENH_DIEU_DO!E3)</f>
        <v/>
      </c>
      <c r="F2" s="24" t="str">
        <f ca="1">IF(C2="","",CAI_DAT!$B$6)</f>
        <v/>
      </c>
      <c r="G2" s="24" t="str">
        <f t="shared" ref="G2:G33" ca="1" si="1">IF(C2="","",IF(D2&gt;F2,"RAMP_UP",IF(D2&lt;F2,"RAMP_DOWN","HOLD")))</f>
        <v/>
      </c>
      <c r="H2" s="24" t="str">
        <f ca="1">IF(C2="","",IF(G2="HOLD",0,ABS(D2-F2)/CAI_DAT!$B$7*60))</f>
        <v/>
      </c>
      <c r="I2" s="24" t="str">
        <f t="shared" ref="I2:I33" ca="1" si="2">IF(C2="","",B2+H2)</f>
        <v/>
      </c>
      <c r="J2" s="21" t="str">
        <f ca="1">IF(C2="","",CAI_DAT!$B$4+I2/86400)</f>
        <v/>
      </c>
      <c r="K2" s="12" t="str">
        <f t="shared" ref="K2:K33" ca="1" si="3">IF(C2="","",D2)</f>
        <v/>
      </c>
      <c r="L2" s="4" t="str">
        <f ca="1">IF(LENH_DIEU_DO!G3="","",LENH_DIEU_DO!G3)</f>
        <v/>
      </c>
    </row>
    <row r="3" spans="1:12">
      <c r="A3" s="5">
        <f t="shared" si="0"/>
        <v>2</v>
      </c>
      <c r="B3" s="19" t="str">
        <f ca="1">IF(LENH_DIEU_DO!C4="","",MOD(LENH_DIEU_DO!C4,1)*86400)</f>
        <v/>
      </c>
      <c r="C3" s="22" t="str">
        <f ca="1">IF(LENH_DIEU_DO!C4="","",LENH_DIEU_DO!C4)</f>
        <v/>
      </c>
      <c r="D3" s="25" t="str">
        <f ca="1">IF(LENH_DIEU_DO!D4="","",LENH_DIEU_DO!D4)</f>
        <v/>
      </c>
      <c r="E3" s="25" t="str">
        <f ca="1">IF(LENH_DIEU_DO!E4="","",LENH_DIEU_DO!E4)</f>
        <v/>
      </c>
      <c r="F3" s="25" t="str">
        <f t="shared" ref="F3:F34" ca="1" si="4">IF(C3="","",IF(B3&gt;=I2,D2,F2+(D2-F2)*(B3-B2)/MAX(I2-B2,0.000001)))</f>
        <v/>
      </c>
      <c r="G3" s="25" t="str">
        <f t="shared" ca="1" si="1"/>
        <v/>
      </c>
      <c r="H3" s="25" t="str">
        <f ca="1">IF(C3="","",IF(G3="HOLD",0,ABS(D3-F3)/CAI_DAT!$B$7*60))</f>
        <v/>
      </c>
      <c r="I3" s="25" t="str">
        <f t="shared" ca="1" si="2"/>
        <v/>
      </c>
      <c r="J3" s="22" t="str">
        <f ca="1">IF(C3="","",CAI_DAT!$B$4+I3/86400)</f>
        <v/>
      </c>
      <c r="K3" s="13" t="str">
        <f t="shared" ca="1" si="3"/>
        <v/>
      </c>
      <c r="L3" s="6" t="str">
        <f ca="1">IF(LENH_DIEU_DO!G4="","",LENH_DIEU_DO!G4)</f>
        <v/>
      </c>
    </row>
    <row r="4" spans="1:12">
      <c r="A4" s="5">
        <f t="shared" si="0"/>
        <v>3</v>
      </c>
      <c r="B4" s="19" t="str">
        <f ca="1">IF(LENH_DIEU_DO!C5="","",MOD(LENH_DIEU_DO!C5,1)*86400)</f>
        <v/>
      </c>
      <c r="C4" s="22" t="str">
        <f ca="1">IF(LENH_DIEU_DO!C5="","",LENH_DIEU_DO!C5)</f>
        <v/>
      </c>
      <c r="D4" s="25" t="str">
        <f ca="1">IF(LENH_DIEU_DO!D5="","",LENH_DIEU_DO!D5)</f>
        <v/>
      </c>
      <c r="E4" s="25" t="str">
        <f ca="1">IF(LENH_DIEU_DO!E5="","",LENH_DIEU_DO!E5)</f>
        <v/>
      </c>
      <c r="F4" s="25" t="str">
        <f t="shared" ca="1" si="4"/>
        <v/>
      </c>
      <c r="G4" s="25" t="str">
        <f t="shared" ca="1" si="1"/>
        <v/>
      </c>
      <c r="H4" s="25" t="str">
        <f ca="1">IF(C4="","",IF(G4="HOLD",0,ABS(D4-F4)/CAI_DAT!$B$7*60))</f>
        <v/>
      </c>
      <c r="I4" s="25" t="str">
        <f t="shared" ca="1" si="2"/>
        <v/>
      </c>
      <c r="J4" s="22" t="str">
        <f ca="1">IF(C4="","",CAI_DAT!$B$4+I4/86400)</f>
        <v/>
      </c>
      <c r="K4" s="13" t="str">
        <f t="shared" ca="1" si="3"/>
        <v/>
      </c>
      <c r="L4" s="6" t="str">
        <f ca="1">IF(LENH_DIEU_DO!G5="","",LENH_DIEU_DO!G5)</f>
        <v/>
      </c>
    </row>
    <row r="5" spans="1:12">
      <c r="A5" s="5">
        <f t="shared" si="0"/>
        <v>4</v>
      </c>
      <c r="B5" s="19" t="str">
        <f ca="1">IF(LENH_DIEU_DO!C6="","",MOD(LENH_DIEU_DO!C6,1)*86400)</f>
        <v/>
      </c>
      <c r="C5" s="22" t="str">
        <f ca="1">IF(LENH_DIEU_DO!C6="","",LENH_DIEU_DO!C6)</f>
        <v/>
      </c>
      <c r="D5" s="25" t="str">
        <f ca="1">IF(LENH_DIEU_DO!D6="","",LENH_DIEU_DO!D6)</f>
        <v/>
      </c>
      <c r="E5" s="25" t="str">
        <f ca="1">IF(LENH_DIEU_DO!E6="","",LENH_DIEU_DO!E6)</f>
        <v/>
      </c>
      <c r="F5" s="25" t="str">
        <f t="shared" ca="1" si="4"/>
        <v/>
      </c>
      <c r="G5" s="25" t="str">
        <f t="shared" ca="1" si="1"/>
        <v/>
      </c>
      <c r="H5" s="25" t="str">
        <f ca="1">IF(C5="","",IF(G5="HOLD",0,ABS(D5-F5)/CAI_DAT!$B$7*60))</f>
        <v/>
      </c>
      <c r="I5" s="25" t="str">
        <f t="shared" ca="1" si="2"/>
        <v/>
      </c>
      <c r="J5" s="22" t="str">
        <f ca="1">IF(C5="","",CAI_DAT!$B$4+I5/86400)</f>
        <v/>
      </c>
      <c r="K5" s="13" t="str">
        <f t="shared" ca="1" si="3"/>
        <v/>
      </c>
      <c r="L5" s="6" t="str">
        <f ca="1">IF(LENH_DIEU_DO!G6="","",LENH_DIEU_DO!G6)</f>
        <v/>
      </c>
    </row>
    <row r="6" spans="1:12">
      <c r="A6" s="5">
        <f t="shared" si="0"/>
        <v>5</v>
      </c>
      <c r="B6" s="19" t="str">
        <f ca="1">IF(LENH_DIEU_DO!C7="","",MOD(LENH_DIEU_DO!C7,1)*86400)</f>
        <v/>
      </c>
      <c r="C6" s="22" t="str">
        <f ca="1">IF(LENH_DIEU_DO!C7="","",LENH_DIEU_DO!C7)</f>
        <v/>
      </c>
      <c r="D6" s="25" t="str">
        <f ca="1">IF(LENH_DIEU_DO!D7="","",LENH_DIEU_DO!D7)</f>
        <v/>
      </c>
      <c r="E6" s="25" t="str">
        <f ca="1">IF(LENH_DIEU_DO!E7="","",LENH_DIEU_DO!E7)</f>
        <v/>
      </c>
      <c r="F6" s="25" t="str">
        <f t="shared" ca="1" si="4"/>
        <v/>
      </c>
      <c r="G6" s="25" t="str">
        <f t="shared" ca="1" si="1"/>
        <v/>
      </c>
      <c r="H6" s="25" t="str">
        <f ca="1">IF(C6="","",IF(G6="HOLD",0,ABS(D6-F6)/CAI_DAT!$B$7*60))</f>
        <v/>
      </c>
      <c r="I6" s="25" t="str">
        <f t="shared" ca="1" si="2"/>
        <v/>
      </c>
      <c r="J6" s="22" t="str">
        <f ca="1">IF(C6="","",CAI_DAT!$B$4+I6/86400)</f>
        <v/>
      </c>
      <c r="K6" s="13" t="str">
        <f t="shared" ca="1" si="3"/>
        <v/>
      </c>
      <c r="L6" s="6" t="str">
        <f ca="1">IF(LENH_DIEU_DO!G7="","",LENH_DIEU_DO!G7)</f>
        <v/>
      </c>
    </row>
    <row r="7" spans="1:12">
      <c r="A7" s="5">
        <f t="shared" si="0"/>
        <v>6</v>
      </c>
      <c r="B7" s="19" t="str">
        <f ca="1">IF(LENH_DIEU_DO!C8="","",MOD(LENH_DIEU_DO!C8,1)*86400)</f>
        <v/>
      </c>
      <c r="C7" s="22" t="str">
        <f ca="1">IF(LENH_DIEU_DO!C8="","",LENH_DIEU_DO!C8)</f>
        <v/>
      </c>
      <c r="D7" s="25" t="str">
        <f ca="1">IF(LENH_DIEU_DO!D8="","",LENH_DIEU_DO!D8)</f>
        <v/>
      </c>
      <c r="E7" s="25" t="str">
        <f ca="1">IF(LENH_DIEU_DO!E8="","",LENH_DIEU_DO!E8)</f>
        <v/>
      </c>
      <c r="F7" s="25" t="str">
        <f t="shared" ca="1" si="4"/>
        <v/>
      </c>
      <c r="G7" s="25" t="str">
        <f t="shared" ca="1" si="1"/>
        <v/>
      </c>
      <c r="H7" s="25" t="str">
        <f ca="1">IF(C7="","",IF(G7="HOLD",0,ABS(D7-F7)/CAI_DAT!$B$7*60))</f>
        <v/>
      </c>
      <c r="I7" s="25" t="str">
        <f t="shared" ca="1" si="2"/>
        <v/>
      </c>
      <c r="J7" s="22" t="str">
        <f ca="1">IF(C7="","",CAI_DAT!$B$4+I7/86400)</f>
        <v/>
      </c>
      <c r="K7" s="13" t="str">
        <f t="shared" ca="1" si="3"/>
        <v/>
      </c>
      <c r="L7" s="6" t="str">
        <f ca="1">IF(LENH_DIEU_DO!G8="","",LENH_DIEU_DO!G8)</f>
        <v/>
      </c>
    </row>
    <row r="8" spans="1:12">
      <c r="A8" s="5">
        <f t="shared" si="0"/>
        <v>7</v>
      </c>
      <c r="B8" s="19" t="str">
        <f ca="1">IF(LENH_DIEU_DO!C9="","",MOD(LENH_DIEU_DO!C9,1)*86400)</f>
        <v/>
      </c>
      <c r="C8" s="22" t="str">
        <f ca="1">IF(LENH_DIEU_DO!C9="","",LENH_DIEU_DO!C9)</f>
        <v/>
      </c>
      <c r="D8" s="25" t="str">
        <f ca="1">IF(LENH_DIEU_DO!D9="","",LENH_DIEU_DO!D9)</f>
        <v/>
      </c>
      <c r="E8" s="25" t="str">
        <f ca="1">IF(LENH_DIEU_DO!E9="","",LENH_DIEU_DO!E9)</f>
        <v/>
      </c>
      <c r="F8" s="25" t="str">
        <f t="shared" ca="1" si="4"/>
        <v/>
      </c>
      <c r="G8" s="25" t="str">
        <f t="shared" ca="1" si="1"/>
        <v/>
      </c>
      <c r="H8" s="25" t="str">
        <f ca="1">IF(C8="","",IF(G8="HOLD",0,ABS(D8-F8)/CAI_DAT!$B$7*60))</f>
        <v/>
      </c>
      <c r="I8" s="25" t="str">
        <f t="shared" ca="1" si="2"/>
        <v/>
      </c>
      <c r="J8" s="22" t="str">
        <f ca="1">IF(C8="","",CAI_DAT!$B$4+I8/86400)</f>
        <v/>
      </c>
      <c r="K8" s="13" t="str">
        <f t="shared" ca="1" si="3"/>
        <v/>
      </c>
      <c r="L8" s="6" t="str">
        <f ca="1">IF(LENH_DIEU_DO!G9="","",LENH_DIEU_DO!G9)</f>
        <v/>
      </c>
    </row>
    <row r="9" spans="1:12">
      <c r="A9" s="5">
        <f t="shared" si="0"/>
        <v>8</v>
      </c>
      <c r="B9" s="19" t="str">
        <f ca="1">IF(LENH_DIEU_DO!C10="","",MOD(LENH_DIEU_DO!C10,1)*86400)</f>
        <v/>
      </c>
      <c r="C9" s="22" t="str">
        <f ca="1">IF(LENH_DIEU_DO!C10="","",LENH_DIEU_DO!C10)</f>
        <v/>
      </c>
      <c r="D9" s="25" t="str">
        <f ca="1">IF(LENH_DIEU_DO!D10="","",LENH_DIEU_DO!D10)</f>
        <v/>
      </c>
      <c r="E9" s="25" t="str">
        <f ca="1">IF(LENH_DIEU_DO!E10="","",LENH_DIEU_DO!E10)</f>
        <v/>
      </c>
      <c r="F9" s="25" t="str">
        <f t="shared" ca="1" si="4"/>
        <v/>
      </c>
      <c r="G9" s="25" t="str">
        <f t="shared" ca="1" si="1"/>
        <v/>
      </c>
      <c r="H9" s="25" t="str">
        <f ca="1">IF(C9="","",IF(G9="HOLD",0,ABS(D9-F9)/CAI_DAT!$B$7*60))</f>
        <v/>
      </c>
      <c r="I9" s="25" t="str">
        <f t="shared" ca="1" si="2"/>
        <v/>
      </c>
      <c r="J9" s="22" t="str">
        <f ca="1">IF(C9="","",CAI_DAT!$B$4+I9/86400)</f>
        <v/>
      </c>
      <c r="K9" s="13" t="str">
        <f t="shared" ca="1" si="3"/>
        <v/>
      </c>
      <c r="L9" s="6" t="str">
        <f ca="1">IF(LENH_DIEU_DO!G10="","",LENH_DIEU_DO!G10)</f>
        <v/>
      </c>
    </row>
    <row r="10" spans="1:12">
      <c r="A10" s="5">
        <f t="shared" si="0"/>
        <v>9</v>
      </c>
      <c r="B10" s="19" t="str">
        <f ca="1">IF(LENH_DIEU_DO!C11="","",MOD(LENH_DIEU_DO!C11,1)*86400)</f>
        <v/>
      </c>
      <c r="C10" s="22" t="str">
        <f ca="1">IF(LENH_DIEU_DO!C11="","",LENH_DIEU_DO!C11)</f>
        <v/>
      </c>
      <c r="D10" s="25" t="str">
        <f ca="1">IF(LENH_DIEU_DO!D11="","",LENH_DIEU_DO!D11)</f>
        <v/>
      </c>
      <c r="E10" s="25" t="str">
        <f ca="1">IF(LENH_DIEU_DO!E11="","",LENH_DIEU_DO!E11)</f>
        <v/>
      </c>
      <c r="F10" s="25" t="str">
        <f t="shared" ca="1" si="4"/>
        <v/>
      </c>
      <c r="G10" s="25" t="str">
        <f t="shared" ca="1" si="1"/>
        <v/>
      </c>
      <c r="H10" s="25" t="str">
        <f ca="1">IF(C10="","",IF(G10="HOLD",0,ABS(D10-F10)/CAI_DAT!$B$7*60))</f>
        <v/>
      </c>
      <c r="I10" s="25" t="str">
        <f t="shared" ca="1" si="2"/>
        <v/>
      </c>
      <c r="J10" s="22" t="str">
        <f ca="1">IF(C10="","",CAI_DAT!$B$4+I10/86400)</f>
        <v/>
      </c>
      <c r="K10" s="13" t="str">
        <f t="shared" ca="1" si="3"/>
        <v/>
      </c>
      <c r="L10" s="6" t="str">
        <f ca="1">IF(LENH_DIEU_DO!G11="","",LENH_DIEU_DO!G11)</f>
        <v/>
      </c>
    </row>
    <row r="11" spans="1:12">
      <c r="A11" s="5">
        <f t="shared" si="0"/>
        <v>10</v>
      </c>
      <c r="B11" s="19" t="str">
        <f ca="1">IF(LENH_DIEU_DO!C12="","",MOD(LENH_DIEU_DO!C12,1)*86400)</f>
        <v/>
      </c>
      <c r="C11" s="22" t="str">
        <f ca="1">IF(LENH_DIEU_DO!C12="","",LENH_DIEU_DO!C12)</f>
        <v/>
      </c>
      <c r="D11" s="25" t="str">
        <f ca="1">IF(LENH_DIEU_DO!D12="","",LENH_DIEU_DO!D12)</f>
        <v/>
      </c>
      <c r="E11" s="25" t="str">
        <f ca="1">IF(LENH_DIEU_DO!E12="","",LENH_DIEU_DO!E12)</f>
        <v/>
      </c>
      <c r="F11" s="25" t="str">
        <f t="shared" ca="1" si="4"/>
        <v/>
      </c>
      <c r="G11" s="25" t="str">
        <f t="shared" ca="1" si="1"/>
        <v/>
      </c>
      <c r="H11" s="25" t="str">
        <f ca="1">IF(C11="","",IF(G11="HOLD",0,ABS(D11-F11)/CAI_DAT!$B$7*60))</f>
        <v/>
      </c>
      <c r="I11" s="25" t="str">
        <f t="shared" ca="1" si="2"/>
        <v/>
      </c>
      <c r="J11" s="22" t="str">
        <f ca="1">IF(C11="","",CAI_DAT!$B$4+I11/86400)</f>
        <v/>
      </c>
      <c r="K11" s="13" t="str">
        <f t="shared" ca="1" si="3"/>
        <v/>
      </c>
      <c r="L11" s="6" t="str">
        <f ca="1">IF(LENH_DIEU_DO!G12="","",LENH_DIEU_DO!G12)</f>
        <v/>
      </c>
    </row>
    <row r="12" spans="1:12">
      <c r="A12" s="5">
        <f t="shared" si="0"/>
        <v>11</v>
      </c>
      <c r="B12" s="19" t="str">
        <f ca="1">IF(LENH_DIEU_DO!C13="","",MOD(LENH_DIEU_DO!C13,1)*86400)</f>
        <v/>
      </c>
      <c r="C12" s="22" t="str">
        <f ca="1">IF(LENH_DIEU_DO!C13="","",LENH_DIEU_DO!C13)</f>
        <v/>
      </c>
      <c r="D12" s="25" t="str">
        <f ca="1">IF(LENH_DIEU_DO!D13="","",LENH_DIEU_DO!D13)</f>
        <v/>
      </c>
      <c r="E12" s="25" t="str">
        <f ca="1">IF(LENH_DIEU_DO!E13="","",LENH_DIEU_DO!E13)</f>
        <v/>
      </c>
      <c r="F12" s="25" t="str">
        <f t="shared" ca="1" si="4"/>
        <v/>
      </c>
      <c r="G12" s="25" t="str">
        <f t="shared" ca="1" si="1"/>
        <v/>
      </c>
      <c r="H12" s="25" t="str">
        <f ca="1">IF(C12="","",IF(G12="HOLD",0,ABS(D12-F12)/CAI_DAT!$B$7*60))</f>
        <v/>
      </c>
      <c r="I12" s="25" t="str">
        <f t="shared" ca="1" si="2"/>
        <v/>
      </c>
      <c r="J12" s="22" t="str">
        <f ca="1">IF(C12="","",CAI_DAT!$B$4+I12/86400)</f>
        <v/>
      </c>
      <c r="K12" s="13" t="str">
        <f t="shared" ca="1" si="3"/>
        <v/>
      </c>
      <c r="L12" s="6" t="str">
        <f ca="1">IF(LENH_DIEU_DO!G13="","",LENH_DIEU_DO!G13)</f>
        <v/>
      </c>
    </row>
    <row r="13" spans="1:12">
      <c r="A13" s="5">
        <f t="shared" si="0"/>
        <v>12</v>
      </c>
      <c r="B13" s="19" t="str">
        <f ca="1">IF(LENH_DIEU_DO!C14="","",MOD(LENH_DIEU_DO!C14,1)*86400)</f>
        <v/>
      </c>
      <c r="C13" s="22" t="str">
        <f ca="1">IF(LENH_DIEU_DO!C14="","",LENH_DIEU_DO!C14)</f>
        <v/>
      </c>
      <c r="D13" s="25" t="str">
        <f ca="1">IF(LENH_DIEU_DO!D14="","",LENH_DIEU_DO!D14)</f>
        <v/>
      </c>
      <c r="E13" s="25" t="str">
        <f ca="1">IF(LENH_DIEU_DO!E14="","",LENH_DIEU_DO!E14)</f>
        <v/>
      </c>
      <c r="F13" s="25" t="str">
        <f t="shared" ca="1" si="4"/>
        <v/>
      </c>
      <c r="G13" s="25" t="str">
        <f t="shared" ca="1" si="1"/>
        <v/>
      </c>
      <c r="H13" s="25" t="str">
        <f ca="1">IF(C13="","",IF(G13="HOLD",0,ABS(D13-F13)/CAI_DAT!$B$7*60))</f>
        <v/>
      </c>
      <c r="I13" s="25" t="str">
        <f t="shared" ca="1" si="2"/>
        <v/>
      </c>
      <c r="J13" s="22" t="str">
        <f ca="1">IF(C13="","",CAI_DAT!$B$4+I13/86400)</f>
        <v/>
      </c>
      <c r="K13" s="13" t="str">
        <f t="shared" ca="1" si="3"/>
        <v/>
      </c>
      <c r="L13" s="6" t="str">
        <f ca="1">IF(LENH_DIEU_DO!G14="","",LENH_DIEU_DO!G14)</f>
        <v/>
      </c>
    </row>
    <row r="14" spans="1:12">
      <c r="A14" s="5">
        <f t="shared" si="0"/>
        <v>13</v>
      </c>
      <c r="B14" s="19" t="str">
        <f ca="1">IF(LENH_DIEU_DO!C15="","",MOD(LENH_DIEU_DO!C15,1)*86400)</f>
        <v/>
      </c>
      <c r="C14" s="22" t="str">
        <f ca="1">IF(LENH_DIEU_DO!C15="","",LENH_DIEU_DO!C15)</f>
        <v/>
      </c>
      <c r="D14" s="25" t="str">
        <f ca="1">IF(LENH_DIEU_DO!D15="","",LENH_DIEU_DO!D15)</f>
        <v/>
      </c>
      <c r="E14" s="25" t="str">
        <f ca="1">IF(LENH_DIEU_DO!E15="","",LENH_DIEU_DO!E15)</f>
        <v/>
      </c>
      <c r="F14" s="25" t="str">
        <f t="shared" ca="1" si="4"/>
        <v/>
      </c>
      <c r="G14" s="25" t="str">
        <f t="shared" ca="1" si="1"/>
        <v/>
      </c>
      <c r="H14" s="25" t="str">
        <f ca="1">IF(C14="","",IF(G14="HOLD",0,ABS(D14-F14)/CAI_DAT!$B$7*60))</f>
        <v/>
      </c>
      <c r="I14" s="25" t="str">
        <f t="shared" ca="1" si="2"/>
        <v/>
      </c>
      <c r="J14" s="22" t="str">
        <f ca="1">IF(C14="","",CAI_DAT!$B$4+I14/86400)</f>
        <v/>
      </c>
      <c r="K14" s="13" t="str">
        <f t="shared" ca="1" si="3"/>
        <v/>
      </c>
      <c r="L14" s="6" t="str">
        <f ca="1">IF(LENH_DIEU_DO!G15="","",LENH_DIEU_DO!G15)</f>
        <v/>
      </c>
    </row>
    <row r="15" spans="1:12">
      <c r="A15" s="5">
        <f t="shared" si="0"/>
        <v>14</v>
      </c>
      <c r="B15" s="19" t="str">
        <f ca="1">IF(LENH_DIEU_DO!C16="","",MOD(LENH_DIEU_DO!C16,1)*86400)</f>
        <v/>
      </c>
      <c r="C15" s="22" t="str">
        <f ca="1">IF(LENH_DIEU_DO!C16="","",LENH_DIEU_DO!C16)</f>
        <v/>
      </c>
      <c r="D15" s="25" t="str">
        <f ca="1">IF(LENH_DIEU_DO!D16="","",LENH_DIEU_DO!D16)</f>
        <v/>
      </c>
      <c r="E15" s="25" t="str">
        <f ca="1">IF(LENH_DIEU_DO!E16="","",LENH_DIEU_DO!E16)</f>
        <v/>
      </c>
      <c r="F15" s="25" t="str">
        <f t="shared" ca="1" si="4"/>
        <v/>
      </c>
      <c r="G15" s="25" t="str">
        <f t="shared" ca="1" si="1"/>
        <v/>
      </c>
      <c r="H15" s="25" t="str">
        <f ca="1">IF(C15="","",IF(G15="HOLD",0,ABS(D15-F15)/CAI_DAT!$B$7*60))</f>
        <v/>
      </c>
      <c r="I15" s="25" t="str">
        <f t="shared" ca="1" si="2"/>
        <v/>
      </c>
      <c r="J15" s="22" t="str">
        <f ca="1">IF(C15="","",CAI_DAT!$B$4+I15/86400)</f>
        <v/>
      </c>
      <c r="K15" s="13" t="str">
        <f t="shared" ca="1" si="3"/>
        <v/>
      </c>
      <c r="L15" s="6" t="str">
        <f ca="1">IF(LENH_DIEU_DO!G16="","",LENH_DIEU_DO!G16)</f>
        <v/>
      </c>
    </row>
    <row r="16" spans="1:12">
      <c r="A16" s="5">
        <f t="shared" si="0"/>
        <v>15</v>
      </c>
      <c r="B16" s="19" t="str">
        <f ca="1">IF(LENH_DIEU_DO!C17="","",MOD(LENH_DIEU_DO!C17,1)*86400)</f>
        <v/>
      </c>
      <c r="C16" s="22" t="str">
        <f ca="1">IF(LENH_DIEU_DO!C17="","",LENH_DIEU_DO!C17)</f>
        <v/>
      </c>
      <c r="D16" s="25" t="str">
        <f ca="1">IF(LENH_DIEU_DO!D17="","",LENH_DIEU_DO!D17)</f>
        <v/>
      </c>
      <c r="E16" s="25" t="str">
        <f ca="1">IF(LENH_DIEU_DO!E17="","",LENH_DIEU_DO!E17)</f>
        <v/>
      </c>
      <c r="F16" s="25" t="str">
        <f t="shared" ca="1" si="4"/>
        <v/>
      </c>
      <c r="G16" s="25" t="str">
        <f t="shared" ca="1" si="1"/>
        <v/>
      </c>
      <c r="H16" s="25" t="str">
        <f ca="1">IF(C16="","",IF(G16="HOLD",0,ABS(D16-F16)/CAI_DAT!$B$7*60))</f>
        <v/>
      </c>
      <c r="I16" s="25" t="str">
        <f t="shared" ca="1" si="2"/>
        <v/>
      </c>
      <c r="J16" s="22" t="str">
        <f ca="1">IF(C16="","",CAI_DAT!$B$4+I16/86400)</f>
        <v/>
      </c>
      <c r="K16" s="13" t="str">
        <f t="shared" ca="1" si="3"/>
        <v/>
      </c>
      <c r="L16" s="6" t="str">
        <f ca="1">IF(LENH_DIEU_DO!G17="","",LENH_DIEU_DO!G17)</f>
        <v/>
      </c>
    </row>
    <row r="17" spans="1:12">
      <c r="A17" s="5">
        <f t="shared" si="0"/>
        <v>16</v>
      </c>
      <c r="B17" s="19" t="str">
        <f ca="1">IF(LENH_DIEU_DO!C18="","",MOD(LENH_DIEU_DO!C18,1)*86400)</f>
        <v/>
      </c>
      <c r="C17" s="22" t="str">
        <f ca="1">IF(LENH_DIEU_DO!C18="","",LENH_DIEU_DO!C18)</f>
        <v/>
      </c>
      <c r="D17" s="25" t="str">
        <f ca="1">IF(LENH_DIEU_DO!D18="","",LENH_DIEU_DO!D18)</f>
        <v/>
      </c>
      <c r="E17" s="25" t="str">
        <f ca="1">IF(LENH_DIEU_DO!E18="","",LENH_DIEU_DO!E18)</f>
        <v/>
      </c>
      <c r="F17" s="25" t="str">
        <f t="shared" ca="1" si="4"/>
        <v/>
      </c>
      <c r="G17" s="25" t="str">
        <f t="shared" ca="1" si="1"/>
        <v/>
      </c>
      <c r="H17" s="25" t="str">
        <f ca="1">IF(C17="","",IF(G17="HOLD",0,ABS(D17-F17)/CAI_DAT!$B$7*60))</f>
        <v/>
      </c>
      <c r="I17" s="25" t="str">
        <f t="shared" ca="1" si="2"/>
        <v/>
      </c>
      <c r="J17" s="22" t="str">
        <f ca="1">IF(C17="","",CAI_DAT!$B$4+I17/86400)</f>
        <v/>
      </c>
      <c r="K17" s="13" t="str">
        <f t="shared" ca="1" si="3"/>
        <v/>
      </c>
      <c r="L17" s="6" t="str">
        <f ca="1">IF(LENH_DIEU_DO!G18="","",LENH_DIEU_DO!G18)</f>
        <v/>
      </c>
    </row>
    <row r="18" spans="1:12">
      <c r="A18" s="5">
        <f t="shared" si="0"/>
        <v>17</v>
      </c>
      <c r="B18" s="19" t="str">
        <f ca="1">IF(LENH_DIEU_DO!C19="","",MOD(LENH_DIEU_DO!C19,1)*86400)</f>
        <v/>
      </c>
      <c r="C18" s="22" t="str">
        <f ca="1">IF(LENH_DIEU_DO!C19="","",LENH_DIEU_DO!C19)</f>
        <v/>
      </c>
      <c r="D18" s="25" t="str">
        <f ca="1">IF(LENH_DIEU_DO!D19="","",LENH_DIEU_DO!D19)</f>
        <v/>
      </c>
      <c r="E18" s="25" t="str">
        <f ca="1">IF(LENH_DIEU_DO!E19="","",LENH_DIEU_DO!E19)</f>
        <v/>
      </c>
      <c r="F18" s="25" t="str">
        <f t="shared" ca="1" si="4"/>
        <v/>
      </c>
      <c r="G18" s="25" t="str">
        <f t="shared" ca="1" si="1"/>
        <v/>
      </c>
      <c r="H18" s="25" t="str">
        <f ca="1">IF(C18="","",IF(G18="HOLD",0,ABS(D18-F18)/CAI_DAT!$B$7*60))</f>
        <v/>
      </c>
      <c r="I18" s="25" t="str">
        <f t="shared" ca="1" si="2"/>
        <v/>
      </c>
      <c r="J18" s="22" t="str">
        <f ca="1">IF(C18="","",CAI_DAT!$B$4+I18/86400)</f>
        <v/>
      </c>
      <c r="K18" s="13" t="str">
        <f t="shared" ca="1" si="3"/>
        <v/>
      </c>
      <c r="L18" s="6" t="str">
        <f ca="1">IF(LENH_DIEU_DO!G19="","",LENH_DIEU_DO!G19)</f>
        <v/>
      </c>
    </row>
    <row r="19" spans="1:12">
      <c r="A19" s="5">
        <f t="shared" si="0"/>
        <v>18</v>
      </c>
      <c r="B19" s="19" t="str">
        <f ca="1">IF(LENH_DIEU_DO!C20="","",MOD(LENH_DIEU_DO!C20,1)*86400)</f>
        <v/>
      </c>
      <c r="C19" s="22" t="str">
        <f ca="1">IF(LENH_DIEU_DO!C20="","",LENH_DIEU_DO!C20)</f>
        <v/>
      </c>
      <c r="D19" s="25" t="str">
        <f ca="1">IF(LENH_DIEU_DO!D20="","",LENH_DIEU_DO!D20)</f>
        <v/>
      </c>
      <c r="E19" s="25" t="str">
        <f ca="1">IF(LENH_DIEU_DO!E20="","",LENH_DIEU_DO!E20)</f>
        <v/>
      </c>
      <c r="F19" s="25" t="str">
        <f t="shared" ca="1" si="4"/>
        <v/>
      </c>
      <c r="G19" s="25" t="str">
        <f t="shared" ca="1" si="1"/>
        <v/>
      </c>
      <c r="H19" s="25" t="str">
        <f ca="1">IF(C19="","",IF(G19="HOLD",0,ABS(D19-F19)/CAI_DAT!$B$7*60))</f>
        <v/>
      </c>
      <c r="I19" s="25" t="str">
        <f t="shared" ca="1" si="2"/>
        <v/>
      </c>
      <c r="J19" s="22" t="str">
        <f ca="1">IF(C19="","",CAI_DAT!$B$4+I19/86400)</f>
        <v/>
      </c>
      <c r="K19" s="13" t="str">
        <f t="shared" ca="1" si="3"/>
        <v/>
      </c>
      <c r="L19" s="6" t="str">
        <f ca="1">IF(LENH_DIEU_DO!G20="","",LENH_DIEU_DO!G20)</f>
        <v/>
      </c>
    </row>
    <row r="20" spans="1:12">
      <c r="A20" s="5">
        <f t="shared" si="0"/>
        <v>19</v>
      </c>
      <c r="B20" s="19" t="str">
        <f ca="1">IF(LENH_DIEU_DO!C21="","",MOD(LENH_DIEU_DO!C21,1)*86400)</f>
        <v/>
      </c>
      <c r="C20" s="22" t="str">
        <f ca="1">IF(LENH_DIEU_DO!C21="","",LENH_DIEU_DO!C21)</f>
        <v/>
      </c>
      <c r="D20" s="25" t="str">
        <f ca="1">IF(LENH_DIEU_DO!D21="","",LENH_DIEU_DO!D21)</f>
        <v/>
      </c>
      <c r="E20" s="25" t="str">
        <f ca="1">IF(LENH_DIEU_DO!E21="","",LENH_DIEU_DO!E21)</f>
        <v/>
      </c>
      <c r="F20" s="25" t="str">
        <f t="shared" ca="1" si="4"/>
        <v/>
      </c>
      <c r="G20" s="25" t="str">
        <f t="shared" ca="1" si="1"/>
        <v/>
      </c>
      <c r="H20" s="25" t="str">
        <f ca="1">IF(C20="","",IF(G20="HOLD",0,ABS(D20-F20)/CAI_DAT!$B$7*60))</f>
        <v/>
      </c>
      <c r="I20" s="25" t="str">
        <f t="shared" ca="1" si="2"/>
        <v/>
      </c>
      <c r="J20" s="22" t="str">
        <f ca="1">IF(C20="","",CAI_DAT!$B$4+I20/86400)</f>
        <v/>
      </c>
      <c r="K20" s="13" t="str">
        <f t="shared" ca="1" si="3"/>
        <v/>
      </c>
      <c r="L20" s="6" t="str">
        <f ca="1">IF(LENH_DIEU_DO!G21="","",LENH_DIEU_DO!G21)</f>
        <v/>
      </c>
    </row>
    <row r="21" spans="1:12">
      <c r="A21" s="5">
        <f t="shared" si="0"/>
        <v>20</v>
      </c>
      <c r="B21" s="19" t="str">
        <f ca="1">IF(LENH_DIEU_DO!C22="","",MOD(LENH_DIEU_DO!C22,1)*86400)</f>
        <v/>
      </c>
      <c r="C21" s="22" t="str">
        <f ca="1">IF(LENH_DIEU_DO!C22="","",LENH_DIEU_DO!C22)</f>
        <v/>
      </c>
      <c r="D21" s="25" t="str">
        <f ca="1">IF(LENH_DIEU_DO!D22="","",LENH_DIEU_DO!D22)</f>
        <v/>
      </c>
      <c r="E21" s="25" t="str">
        <f ca="1">IF(LENH_DIEU_DO!E22="","",LENH_DIEU_DO!E22)</f>
        <v/>
      </c>
      <c r="F21" s="25" t="str">
        <f t="shared" ca="1" si="4"/>
        <v/>
      </c>
      <c r="G21" s="25" t="str">
        <f t="shared" ca="1" si="1"/>
        <v/>
      </c>
      <c r="H21" s="25" t="str">
        <f ca="1">IF(C21="","",IF(G21="HOLD",0,ABS(D21-F21)/CAI_DAT!$B$7*60))</f>
        <v/>
      </c>
      <c r="I21" s="25" t="str">
        <f t="shared" ca="1" si="2"/>
        <v/>
      </c>
      <c r="J21" s="22" t="str">
        <f ca="1">IF(C21="","",CAI_DAT!$B$4+I21/86400)</f>
        <v/>
      </c>
      <c r="K21" s="13" t="str">
        <f t="shared" ca="1" si="3"/>
        <v/>
      </c>
      <c r="L21" s="6" t="str">
        <f ca="1">IF(LENH_DIEU_DO!G22="","",LENH_DIEU_DO!G22)</f>
        <v/>
      </c>
    </row>
    <row r="22" spans="1:12">
      <c r="A22" s="5">
        <f t="shared" si="0"/>
        <v>21</v>
      </c>
      <c r="B22" s="19" t="str">
        <f ca="1">IF(LENH_DIEU_DO!C23="","",MOD(LENH_DIEU_DO!C23,1)*86400)</f>
        <v/>
      </c>
      <c r="C22" s="22" t="str">
        <f ca="1">IF(LENH_DIEU_DO!C23="","",LENH_DIEU_DO!C23)</f>
        <v/>
      </c>
      <c r="D22" s="25" t="str">
        <f ca="1">IF(LENH_DIEU_DO!D23="","",LENH_DIEU_DO!D23)</f>
        <v/>
      </c>
      <c r="E22" s="25" t="str">
        <f ca="1">IF(LENH_DIEU_DO!E23="","",LENH_DIEU_DO!E23)</f>
        <v/>
      </c>
      <c r="F22" s="25" t="str">
        <f t="shared" ca="1" si="4"/>
        <v/>
      </c>
      <c r="G22" s="25" t="str">
        <f t="shared" ca="1" si="1"/>
        <v/>
      </c>
      <c r="H22" s="25" t="str">
        <f ca="1">IF(C22="","",IF(G22="HOLD",0,ABS(D22-F22)/CAI_DAT!$B$7*60))</f>
        <v/>
      </c>
      <c r="I22" s="25" t="str">
        <f t="shared" ca="1" si="2"/>
        <v/>
      </c>
      <c r="J22" s="22" t="str">
        <f ca="1">IF(C22="","",CAI_DAT!$B$4+I22/86400)</f>
        <v/>
      </c>
      <c r="K22" s="13" t="str">
        <f t="shared" ca="1" si="3"/>
        <v/>
      </c>
      <c r="L22" s="6" t="str">
        <f ca="1">IF(LENH_DIEU_DO!G23="","",LENH_DIEU_DO!G23)</f>
        <v/>
      </c>
    </row>
    <row r="23" spans="1:12">
      <c r="A23" s="5">
        <f t="shared" si="0"/>
        <v>22</v>
      </c>
      <c r="B23" s="19" t="str">
        <f ca="1">IF(LENH_DIEU_DO!C24="","",MOD(LENH_DIEU_DO!C24,1)*86400)</f>
        <v/>
      </c>
      <c r="C23" s="22" t="str">
        <f ca="1">IF(LENH_DIEU_DO!C24="","",LENH_DIEU_DO!C24)</f>
        <v/>
      </c>
      <c r="D23" s="25" t="str">
        <f ca="1">IF(LENH_DIEU_DO!D24="","",LENH_DIEU_DO!D24)</f>
        <v/>
      </c>
      <c r="E23" s="25" t="str">
        <f ca="1">IF(LENH_DIEU_DO!E24="","",LENH_DIEU_DO!E24)</f>
        <v/>
      </c>
      <c r="F23" s="25" t="str">
        <f t="shared" ca="1" si="4"/>
        <v/>
      </c>
      <c r="G23" s="25" t="str">
        <f t="shared" ca="1" si="1"/>
        <v/>
      </c>
      <c r="H23" s="25" t="str">
        <f ca="1">IF(C23="","",IF(G23="HOLD",0,ABS(D23-F23)/CAI_DAT!$B$7*60))</f>
        <v/>
      </c>
      <c r="I23" s="25" t="str">
        <f t="shared" ca="1" si="2"/>
        <v/>
      </c>
      <c r="J23" s="22" t="str">
        <f ca="1">IF(C23="","",CAI_DAT!$B$4+I23/86400)</f>
        <v/>
      </c>
      <c r="K23" s="13" t="str">
        <f t="shared" ca="1" si="3"/>
        <v/>
      </c>
      <c r="L23" s="6" t="str">
        <f ca="1">IF(LENH_DIEU_DO!G24="","",LENH_DIEU_DO!G24)</f>
        <v/>
      </c>
    </row>
    <row r="24" spans="1:12">
      <c r="A24" s="5">
        <f t="shared" si="0"/>
        <v>23</v>
      </c>
      <c r="B24" s="19" t="str">
        <f ca="1">IF(LENH_DIEU_DO!C25="","",MOD(LENH_DIEU_DO!C25,1)*86400)</f>
        <v/>
      </c>
      <c r="C24" s="22" t="str">
        <f ca="1">IF(LENH_DIEU_DO!C25="","",LENH_DIEU_DO!C25)</f>
        <v/>
      </c>
      <c r="D24" s="25" t="str">
        <f ca="1">IF(LENH_DIEU_DO!D25="","",LENH_DIEU_DO!D25)</f>
        <v/>
      </c>
      <c r="E24" s="25" t="str">
        <f ca="1">IF(LENH_DIEU_DO!E25="","",LENH_DIEU_DO!E25)</f>
        <v/>
      </c>
      <c r="F24" s="25" t="str">
        <f t="shared" ca="1" si="4"/>
        <v/>
      </c>
      <c r="G24" s="25" t="str">
        <f t="shared" ca="1" si="1"/>
        <v/>
      </c>
      <c r="H24" s="25" t="str">
        <f ca="1">IF(C24="","",IF(G24="HOLD",0,ABS(D24-F24)/CAI_DAT!$B$7*60))</f>
        <v/>
      </c>
      <c r="I24" s="25" t="str">
        <f t="shared" ca="1" si="2"/>
        <v/>
      </c>
      <c r="J24" s="22" t="str">
        <f ca="1">IF(C24="","",CAI_DAT!$B$4+I24/86400)</f>
        <v/>
      </c>
      <c r="K24" s="13" t="str">
        <f t="shared" ca="1" si="3"/>
        <v/>
      </c>
      <c r="L24" s="6" t="str">
        <f ca="1">IF(LENH_DIEU_DO!G25="","",LENH_DIEU_DO!G25)</f>
        <v/>
      </c>
    </row>
    <row r="25" spans="1:12">
      <c r="A25" s="5">
        <f t="shared" si="0"/>
        <v>24</v>
      </c>
      <c r="B25" s="19" t="str">
        <f ca="1">IF(LENH_DIEU_DO!C26="","",MOD(LENH_DIEU_DO!C26,1)*86400)</f>
        <v/>
      </c>
      <c r="C25" s="22" t="str">
        <f ca="1">IF(LENH_DIEU_DO!C26="","",LENH_DIEU_DO!C26)</f>
        <v/>
      </c>
      <c r="D25" s="25" t="str">
        <f ca="1">IF(LENH_DIEU_DO!D26="","",LENH_DIEU_DO!D26)</f>
        <v/>
      </c>
      <c r="E25" s="25" t="str">
        <f ca="1">IF(LENH_DIEU_DO!E26="","",LENH_DIEU_DO!E26)</f>
        <v/>
      </c>
      <c r="F25" s="25" t="str">
        <f t="shared" ca="1" si="4"/>
        <v/>
      </c>
      <c r="G25" s="25" t="str">
        <f t="shared" ca="1" si="1"/>
        <v/>
      </c>
      <c r="H25" s="25" t="str">
        <f ca="1">IF(C25="","",IF(G25="HOLD",0,ABS(D25-F25)/CAI_DAT!$B$7*60))</f>
        <v/>
      </c>
      <c r="I25" s="25" t="str">
        <f t="shared" ca="1" si="2"/>
        <v/>
      </c>
      <c r="J25" s="22" t="str">
        <f ca="1">IF(C25="","",CAI_DAT!$B$4+I25/86400)</f>
        <v/>
      </c>
      <c r="K25" s="13" t="str">
        <f t="shared" ca="1" si="3"/>
        <v/>
      </c>
      <c r="L25" s="6" t="str">
        <f ca="1">IF(LENH_DIEU_DO!G26="","",LENH_DIEU_DO!G26)</f>
        <v/>
      </c>
    </row>
    <row r="26" spans="1:12">
      <c r="A26" s="5">
        <f t="shared" si="0"/>
        <v>25</v>
      </c>
      <c r="B26" s="19" t="str">
        <f ca="1">IF(LENH_DIEU_DO!C27="","",MOD(LENH_DIEU_DO!C27,1)*86400)</f>
        <v/>
      </c>
      <c r="C26" s="22" t="str">
        <f ca="1">IF(LENH_DIEU_DO!C27="","",LENH_DIEU_DO!C27)</f>
        <v/>
      </c>
      <c r="D26" s="25" t="str">
        <f ca="1">IF(LENH_DIEU_DO!D27="","",LENH_DIEU_DO!D27)</f>
        <v/>
      </c>
      <c r="E26" s="25" t="str">
        <f ca="1">IF(LENH_DIEU_DO!E27="","",LENH_DIEU_DO!E27)</f>
        <v/>
      </c>
      <c r="F26" s="25" t="str">
        <f t="shared" ca="1" si="4"/>
        <v/>
      </c>
      <c r="G26" s="25" t="str">
        <f t="shared" ca="1" si="1"/>
        <v/>
      </c>
      <c r="H26" s="25" t="str">
        <f ca="1">IF(C26="","",IF(G26="HOLD",0,ABS(D26-F26)/CAI_DAT!$B$7*60))</f>
        <v/>
      </c>
      <c r="I26" s="25" t="str">
        <f t="shared" ca="1" si="2"/>
        <v/>
      </c>
      <c r="J26" s="22" t="str">
        <f ca="1">IF(C26="","",CAI_DAT!$B$4+I26/86400)</f>
        <v/>
      </c>
      <c r="K26" s="13" t="str">
        <f t="shared" ca="1" si="3"/>
        <v/>
      </c>
      <c r="L26" s="6" t="str">
        <f ca="1">IF(LENH_DIEU_DO!G27="","",LENH_DIEU_DO!G27)</f>
        <v/>
      </c>
    </row>
    <row r="27" spans="1:12">
      <c r="A27" s="5">
        <f t="shared" si="0"/>
        <v>26</v>
      </c>
      <c r="B27" s="19" t="str">
        <f ca="1">IF(LENH_DIEU_DO!C28="","",MOD(LENH_DIEU_DO!C28,1)*86400)</f>
        <v/>
      </c>
      <c r="C27" s="22" t="str">
        <f ca="1">IF(LENH_DIEU_DO!C28="","",LENH_DIEU_DO!C28)</f>
        <v/>
      </c>
      <c r="D27" s="25" t="str">
        <f ca="1">IF(LENH_DIEU_DO!D28="","",LENH_DIEU_DO!D28)</f>
        <v/>
      </c>
      <c r="E27" s="25" t="str">
        <f ca="1">IF(LENH_DIEU_DO!E28="","",LENH_DIEU_DO!E28)</f>
        <v/>
      </c>
      <c r="F27" s="25" t="str">
        <f t="shared" ca="1" si="4"/>
        <v/>
      </c>
      <c r="G27" s="25" t="str">
        <f t="shared" ca="1" si="1"/>
        <v/>
      </c>
      <c r="H27" s="25" t="str">
        <f ca="1">IF(C27="","",IF(G27="HOLD",0,ABS(D27-F27)/CAI_DAT!$B$7*60))</f>
        <v/>
      </c>
      <c r="I27" s="25" t="str">
        <f t="shared" ca="1" si="2"/>
        <v/>
      </c>
      <c r="J27" s="22" t="str">
        <f ca="1">IF(C27="","",CAI_DAT!$B$4+I27/86400)</f>
        <v/>
      </c>
      <c r="K27" s="13" t="str">
        <f t="shared" ca="1" si="3"/>
        <v/>
      </c>
      <c r="L27" s="6" t="str">
        <f ca="1">IF(LENH_DIEU_DO!G28="","",LENH_DIEU_DO!G28)</f>
        <v/>
      </c>
    </row>
    <row r="28" spans="1:12">
      <c r="A28" s="5">
        <f t="shared" si="0"/>
        <v>27</v>
      </c>
      <c r="B28" s="19" t="str">
        <f ca="1">IF(LENH_DIEU_DO!C29="","",MOD(LENH_DIEU_DO!C29,1)*86400)</f>
        <v/>
      </c>
      <c r="C28" s="22" t="str">
        <f ca="1">IF(LENH_DIEU_DO!C29="","",LENH_DIEU_DO!C29)</f>
        <v/>
      </c>
      <c r="D28" s="25" t="str">
        <f ca="1">IF(LENH_DIEU_DO!D29="","",LENH_DIEU_DO!D29)</f>
        <v/>
      </c>
      <c r="E28" s="25" t="str">
        <f ca="1">IF(LENH_DIEU_DO!E29="","",LENH_DIEU_DO!E29)</f>
        <v/>
      </c>
      <c r="F28" s="25" t="str">
        <f t="shared" ca="1" si="4"/>
        <v/>
      </c>
      <c r="G28" s="25" t="str">
        <f t="shared" ca="1" si="1"/>
        <v/>
      </c>
      <c r="H28" s="25" t="str">
        <f ca="1">IF(C28="","",IF(G28="HOLD",0,ABS(D28-F28)/CAI_DAT!$B$7*60))</f>
        <v/>
      </c>
      <c r="I28" s="25" t="str">
        <f t="shared" ca="1" si="2"/>
        <v/>
      </c>
      <c r="J28" s="22" t="str">
        <f ca="1">IF(C28="","",CAI_DAT!$B$4+I28/86400)</f>
        <v/>
      </c>
      <c r="K28" s="13" t="str">
        <f t="shared" ca="1" si="3"/>
        <v/>
      </c>
      <c r="L28" s="6" t="str">
        <f ca="1">IF(LENH_DIEU_DO!G29="","",LENH_DIEU_DO!G29)</f>
        <v/>
      </c>
    </row>
    <row r="29" spans="1:12">
      <c r="A29" s="5">
        <f t="shared" si="0"/>
        <v>28</v>
      </c>
      <c r="B29" s="19" t="str">
        <f ca="1">IF(LENH_DIEU_DO!C30="","",MOD(LENH_DIEU_DO!C30,1)*86400)</f>
        <v/>
      </c>
      <c r="C29" s="22" t="str">
        <f ca="1">IF(LENH_DIEU_DO!C30="","",LENH_DIEU_DO!C30)</f>
        <v/>
      </c>
      <c r="D29" s="25" t="str">
        <f ca="1">IF(LENH_DIEU_DO!D30="","",LENH_DIEU_DO!D30)</f>
        <v/>
      </c>
      <c r="E29" s="25" t="str">
        <f ca="1">IF(LENH_DIEU_DO!E30="","",LENH_DIEU_DO!E30)</f>
        <v/>
      </c>
      <c r="F29" s="25" t="str">
        <f t="shared" ca="1" si="4"/>
        <v/>
      </c>
      <c r="G29" s="25" t="str">
        <f t="shared" ca="1" si="1"/>
        <v/>
      </c>
      <c r="H29" s="25" t="str">
        <f ca="1">IF(C29="","",IF(G29="HOLD",0,ABS(D29-F29)/CAI_DAT!$B$7*60))</f>
        <v/>
      </c>
      <c r="I29" s="25" t="str">
        <f t="shared" ca="1" si="2"/>
        <v/>
      </c>
      <c r="J29" s="22" t="str">
        <f ca="1">IF(C29="","",CAI_DAT!$B$4+I29/86400)</f>
        <v/>
      </c>
      <c r="K29" s="13" t="str">
        <f t="shared" ca="1" si="3"/>
        <v/>
      </c>
      <c r="L29" s="6" t="str">
        <f ca="1">IF(LENH_DIEU_DO!G30="","",LENH_DIEU_DO!G30)</f>
        <v/>
      </c>
    </row>
    <row r="30" spans="1:12">
      <c r="A30" s="5">
        <f t="shared" si="0"/>
        <v>29</v>
      </c>
      <c r="B30" s="19" t="str">
        <f ca="1">IF(LENH_DIEU_DO!C31="","",MOD(LENH_DIEU_DO!C31,1)*86400)</f>
        <v/>
      </c>
      <c r="C30" s="22" t="str">
        <f ca="1">IF(LENH_DIEU_DO!C31="","",LENH_DIEU_DO!C31)</f>
        <v/>
      </c>
      <c r="D30" s="25" t="str">
        <f ca="1">IF(LENH_DIEU_DO!D31="","",LENH_DIEU_DO!D31)</f>
        <v/>
      </c>
      <c r="E30" s="25" t="str">
        <f ca="1">IF(LENH_DIEU_DO!E31="","",LENH_DIEU_DO!E31)</f>
        <v/>
      </c>
      <c r="F30" s="25" t="str">
        <f t="shared" ca="1" si="4"/>
        <v/>
      </c>
      <c r="G30" s="25" t="str">
        <f t="shared" ca="1" si="1"/>
        <v/>
      </c>
      <c r="H30" s="25" t="str">
        <f ca="1">IF(C30="","",IF(G30="HOLD",0,ABS(D30-F30)/CAI_DAT!$B$7*60))</f>
        <v/>
      </c>
      <c r="I30" s="25" t="str">
        <f t="shared" ca="1" si="2"/>
        <v/>
      </c>
      <c r="J30" s="22" t="str">
        <f ca="1">IF(C30="","",CAI_DAT!$B$4+I30/86400)</f>
        <v/>
      </c>
      <c r="K30" s="13" t="str">
        <f t="shared" ca="1" si="3"/>
        <v/>
      </c>
      <c r="L30" s="6" t="str">
        <f ca="1">IF(LENH_DIEU_DO!G31="","",LENH_DIEU_DO!G31)</f>
        <v/>
      </c>
    </row>
    <row r="31" spans="1:12">
      <c r="A31" s="5">
        <f t="shared" si="0"/>
        <v>30</v>
      </c>
      <c r="B31" s="19" t="str">
        <f ca="1">IF(LENH_DIEU_DO!C32="","",MOD(LENH_DIEU_DO!C32,1)*86400)</f>
        <v/>
      </c>
      <c r="C31" s="22" t="str">
        <f ca="1">IF(LENH_DIEU_DO!C32="","",LENH_DIEU_DO!C32)</f>
        <v/>
      </c>
      <c r="D31" s="25" t="str">
        <f ca="1">IF(LENH_DIEU_DO!D32="","",LENH_DIEU_DO!D32)</f>
        <v/>
      </c>
      <c r="E31" s="25" t="str">
        <f ca="1">IF(LENH_DIEU_DO!E32="","",LENH_DIEU_DO!E32)</f>
        <v/>
      </c>
      <c r="F31" s="25" t="str">
        <f t="shared" ca="1" si="4"/>
        <v/>
      </c>
      <c r="G31" s="25" t="str">
        <f t="shared" ca="1" si="1"/>
        <v/>
      </c>
      <c r="H31" s="25" t="str">
        <f ca="1">IF(C31="","",IF(G31="HOLD",0,ABS(D31-F31)/CAI_DAT!$B$7*60))</f>
        <v/>
      </c>
      <c r="I31" s="25" t="str">
        <f t="shared" ca="1" si="2"/>
        <v/>
      </c>
      <c r="J31" s="22" t="str">
        <f ca="1">IF(C31="","",CAI_DAT!$B$4+I31/86400)</f>
        <v/>
      </c>
      <c r="K31" s="13" t="str">
        <f t="shared" ca="1" si="3"/>
        <v/>
      </c>
      <c r="L31" s="6" t="str">
        <f ca="1">IF(LENH_DIEU_DO!G32="","",LENH_DIEU_DO!G32)</f>
        <v/>
      </c>
    </row>
    <row r="32" spans="1:12">
      <c r="A32" s="7">
        <f t="shared" si="0"/>
        <v>31</v>
      </c>
      <c r="B32" s="20" t="str">
        <f ca="1">IF(LENH_DIEU_DO!C33="","",MOD(LENH_DIEU_DO!C33,1)*86400)</f>
        <v/>
      </c>
      <c r="C32" s="23" t="str">
        <f ca="1">IF(LENH_DIEU_DO!C33="","",LENH_DIEU_DO!C33)</f>
        <v/>
      </c>
      <c r="D32" s="26" t="str">
        <f ca="1">IF(LENH_DIEU_DO!D33="","",LENH_DIEU_DO!D33)</f>
        <v/>
      </c>
      <c r="E32" s="26" t="str">
        <f ca="1">IF(LENH_DIEU_DO!E33="","",LENH_DIEU_DO!E33)</f>
        <v/>
      </c>
      <c r="F32" s="26" t="str">
        <f t="shared" ca="1" si="4"/>
        <v/>
      </c>
      <c r="G32" s="26" t="str">
        <f t="shared" ca="1" si="1"/>
        <v/>
      </c>
      <c r="H32" s="26" t="str">
        <f ca="1">IF(C32="","",IF(G32="HOLD",0,ABS(D32-F32)/CAI_DAT!$B$7*60))</f>
        <v/>
      </c>
      <c r="I32" s="26" t="str">
        <f t="shared" ca="1" si="2"/>
        <v/>
      </c>
      <c r="J32" s="23" t="str">
        <f ca="1">IF(C32="","",CAI_DAT!$B$4+I32/86400)</f>
        <v/>
      </c>
      <c r="K32" s="14" t="str">
        <f t="shared" ca="1" si="3"/>
        <v/>
      </c>
      <c r="L32" s="8" t="str">
        <f ca="1">IF(LENH_DIEU_DO!G33="","",LENH_DIEU_DO!G33)</f>
        <v/>
      </c>
    </row>
    <row r="33" spans="1:12">
      <c r="A33">
        <f t="shared" si="0"/>
        <v>32</v>
      </c>
      <c r="B33" t="str">
        <f ca="1">IF(LENH_DIEU_DO!C34="","",MOD(LENH_DIEU_DO!C34,1)*86400)</f>
        <v/>
      </c>
      <c r="C33" t="str">
        <f ca="1">IF(LENH_DIEU_DO!C34="","",LENH_DIEU_DO!C34)</f>
        <v/>
      </c>
      <c r="D33" t="str">
        <f ca="1">IF(LENH_DIEU_DO!D34="","",LENH_DIEU_DO!D34)</f>
        <v/>
      </c>
      <c r="E33" t="str">
        <f ca="1">IF(LENH_DIEU_DO!E34="","",LENH_DIEU_DO!E34)</f>
        <v/>
      </c>
      <c r="F33" t="str">
        <f t="shared" ca="1" si="4"/>
        <v/>
      </c>
      <c r="G33" t="str">
        <f t="shared" ca="1" si="1"/>
        <v/>
      </c>
      <c r="H33" t="str">
        <f ca="1">IF(C33="","",IF(G33="HOLD",0,ABS(D33-F33)/CAI_DAT!$B$7*60))</f>
        <v/>
      </c>
      <c r="I33" t="str">
        <f t="shared" ca="1" si="2"/>
        <v/>
      </c>
      <c r="J33" t="str">
        <f ca="1">IF(C33="","",CAI_DAT!$B$4+I33/86400)</f>
        <v/>
      </c>
      <c r="K33" t="str">
        <f t="shared" ca="1" si="3"/>
        <v/>
      </c>
      <c r="L33" t="str">
        <f ca="1">IF(LENH_DIEU_DO!G34="","",LENH_DIEU_DO!G34)</f>
        <v/>
      </c>
    </row>
    <row r="34" spans="1:12">
      <c r="A34">
        <f t="shared" ref="A34:A61" si="5">ROW()-1</f>
        <v>33</v>
      </c>
      <c r="B34" t="str">
        <f ca="1">IF(LENH_DIEU_DO!C35="","",MOD(LENH_DIEU_DO!C35,1)*86400)</f>
        <v/>
      </c>
      <c r="C34" t="str">
        <f ca="1">IF(LENH_DIEU_DO!C35="","",LENH_DIEU_DO!C35)</f>
        <v/>
      </c>
      <c r="D34" t="str">
        <f ca="1">IF(LENH_DIEU_DO!D35="","",LENH_DIEU_DO!D35)</f>
        <v/>
      </c>
      <c r="E34" t="str">
        <f ca="1">IF(LENH_DIEU_DO!E35="","",LENH_DIEU_DO!E35)</f>
        <v/>
      </c>
      <c r="F34" t="str">
        <f t="shared" ca="1" si="4"/>
        <v/>
      </c>
      <c r="G34" t="str">
        <f t="shared" ref="G34:G65" ca="1" si="6">IF(C34="","",IF(D34&gt;F34,"RAMP_UP",IF(D34&lt;F34,"RAMP_DOWN","HOLD")))</f>
        <v/>
      </c>
      <c r="H34" t="str">
        <f ca="1">IF(C34="","",IF(G34="HOLD",0,ABS(D34-F34)/CAI_DAT!$B$7*60))</f>
        <v/>
      </c>
      <c r="I34" t="str">
        <f t="shared" ref="I34:I65" ca="1" si="7">IF(C34="","",B34+H34)</f>
        <v/>
      </c>
      <c r="J34" t="str">
        <f ca="1">IF(C34="","",CAI_DAT!$B$4+I34/86400)</f>
        <v/>
      </c>
      <c r="K34" t="str">
        <f t="shared" ref="K34:K61" ca="1" si="8">IF(C34="","",D34)</f>
        <v/>
      </c>
      <c r="L34" t="str">
        <f ca="1">IF(LENH_DIEU_DO!G35="","",LENH_DIEU_DO!G35)</f>
        <v/>
      </c>
    </row>
    <row r="35" spans="1:12">
      <c r="A35">
        <f t="shared" si="5"/>
        <v>34</v>
      </c>
      <c r="B35" t="str">
        <f ca="1">IF(LENH_DIEU_DO!C36="","",MOD(LENH_DIEU_DO!C36,1)*86400)</f>
        <v/>
      </c>
      <c r="C35" t="str">
        <f ca="1">IF(LENH_DIEU_DO!C36="","",LENH_DIEU_DO!C36)</f>
        <v/>
      </c>
      <c r="D35" t="str">
        <f ca="1">IF(LENH_DIEU_DO!D36="","",LENH_DIEU_DO!D36)</f>
        <v/>
      </c>
      <c r="E35" t="str">
        <f ca="1">IF(LENH_DIEU_DO!E36="","",LENH_DIEU_DO!E36)</f>
        <v/>
      </c>
      <c r="F35" t="str">
        <f t="shared" ref="F35:F61" ca="1" si="9">IF(C35="","",IF(B35&gt;=I34,D34,F34+(D34-F34)*(B35-B34)/MAX(I34-B34,0.000001)))</f>
        <v/>
      </c>
      <c r="G35" t="str">
        <f t="shared" ca="1" si="6"/>
        <v/>
      </c>
      <c r="H35" t="str">
        <f ca="1">IF(C35="","",IF(G35="HOLD",0,ABS(D35-F35)/CAI_DAT!$B$7*60))</f>
        <v/>
      </c>
      <c r="I35" t="str">
        <f t="shared" ca="1" si="7"/>
        <v/>
      </c>
      <c r="J35" t="str">
        <f ca="1">IF(C35="","",CAI_DAT!$B$4+I35/86400)</f>
        <v/>
      </c>
      <c r="K35" t="str">
        <f t="shared" ca="1" si="8"/>
        <v/>
      </c>
      <c r="L35" t="str">
        <f ca="1">IF(LENH_DIEU_DO!G36="","",LENH_DIEU_DO!G36)</f>
        <v/>
      </c>
    </row>
    <row r="36" spans="1:12">
      <c r="A36">
        <f t="shared" si="5"/>
        <v>35</v>
      </c>
      <c r="B36" t="str">
        <f ca="1">IF(LENH_DIEU_DO!C37="","",MOD(LENH_DIEU_DO!C37,1)*86400)</f>
        <v/>
      </c>
      <c r="C36" t="str">
        <f ca="1">IF(LENH_DIEU_DO!C37="","",LENH_DIEU_DO!C37)</f>
        <v/>
      </c>
      <c r="D36" t="str">
        <f ca="1">IF(LENH_DIEU_DO!D37="","",LENH_DIEU_DO!D37)</f>
        <v/>
      </c>
      <c r="E36" t="str">
        <f ca="1">IF(LENH_DIEU_DO!E37="","",LENH_DIEU_DO!E37)</f>
        <v/>
      </c>
      <c r="F36" t="str">
        <f t="shared" ca="1" si="9"/>
        <v/>
      </c>
      <c r="G36" t="str">
        <f t="shared" ca="1" si="6"/>
        <v/>
      </c>
      <c r="H36" t="str">
        <f ca="1">IF(C36="","",IF(G36="HOLD",0,ABS(D36-F36)/CAI_DAT!$B$7*60))</f>
        <v/>
      </c>
      <c r="I36" t="str">
        <f t="shared" ca="1" si="7"/>
        <v/>
      </c>
      <c r="J36" t="str">
        <f ca="1">IF(C36="","",CAI_DAT!$B$4+I36/86400)</f>
        <v/>
      </c>
      <c r="K36" t="str">
        <f t="shared" ca="1" si="8"/>
        <v/>
      </c>
      <c r="L36" t="str">
        <f ca="1">IF(LENH_DIEU_DO!G37="","",LENH_DIEU_DO!G37)</f>
        <v/>
      </c>
    </row>
    <row r="37" spans="1:12">
      <c r="A37">
        <f t="shared" si="5"/>
        <v>36</v>
      </c>
      <c r="B37" t="str">
        <f ca="1">IF(LENH_DIEU_DO!C38="","",MOD(LENH_DIEU_DO!C38,1)*86400)</f>
        <v/>
      </c>
      <c r="C37" t="str">
        <f ca="1">IF(LENH_DIEU_DO!C38="","",LENH_DIEU_DO!C38)</f>
        <v/>
      </c>
      <c r="D37" t="str">
        <f ca="1">IF(LENH_DIEU_DO!D38="","",LENH_DIEU_DO!D38)</f>
        <v/>
      </c>
      <c r="E37" t="str">
        <f ca="1">IF(LENH_DIEU_DO!E38="","",LENH_DIEU_DO!E38)</f>
        <v/>
      </c>
      <c r="F37" t="str">
        <f t="shared" ca="1" si="9"/>
        <v/>
      </c>
      <c r="G37" t="str">
        <f t="shared" ca="1" si="6"/>
        <v/>
      </c>
      <c r="H37" t="str">
        <f ca="1">IF(C37="","",IF(G37="HOLD",0,ABS(D37-F37)/CAI_DAT!$B$7*60))</f>
        <v/>
      </c>
      <c r="I37" t="str">
        <f t="shared" ca="1" si="7"/>
        <v/>
      </c>
      <c r="J37" t="str">
        <f ca="1">IF(C37="","",CAI_DAT!$B$4+I37/86400)</f>
        <v/>
      </c>
      <c r="K37" t="str">
        <f t="shared" ca="1" si="8"/>
        <v/>
      </c>
      <c r="L37" t="str">
        <f ca="1">IF(LENH_DIEU_DO!G38="","",LENH_DIEU_DO!G38)</f>
        <v/>
      </c>
    </row>
    <row r="38" spans="1:12">
      <c r="A38">
        <f t="shared" si="5"/>
        <v>37</v>
      </c>
      <c r="B38" t="str">
        <f ca="1">IF(LENH_DIEU_DO!C39="","",MOD(LENH_DIEU_DO!C39,1)*86400)</f>
        <v/>
      </c>
      <c r="C38" t="str">
        <f ca="1">IF(LENH_DIEU_DO!C39="","",LENH_DIEU_DO!C39)</f>
        <v/>
      </c>
      <c r="D38" t="str">
        <f ca="1">IF(LENH_DIEU_DO!D39="","",LENH_DIEU_DO!D39)</f>
        <v/>
      </c>
      <c r="E38" t="str">
        <f ca="1">IF(LENH_DIEU_DO!E39="","",LENH_DIEU_DO!E39)</f>
        <v/>
      </c>
      <c r="F38" t="str">
        <f t="shared" ca="1" si="9"/>
        <v/>
      </c>
      <c r="G38" t="str">
        <f t="shared" ca="1" si="6"/>
        <v/>
      </c>
      <c r="H38" t="str">
        <f ca="1">IF(C38="","",IF(G38="HOLD",0,ABS(D38-F38)/CAI_DAT!$B$7*60))</f>
        <v/>
      </c>
      <c r="I38" t="str">
        <f t="shared" ca="1" si="7"/>
        <v/>
      </c>
      <c r="J38" t="str">
        <f ca="1">IF(C38="","",CAI_DAT!$B$4+I38/86400)</f>
        <v/>
      </c>
      <c r="K38" t="str">
        <f t="shared" ca="1" si="8"/>
        <v/>
      </c>
      <c r="L38" t="str">
        <f ca="1">IF(LENH_DIEU_DO!G39="","",LENH_DIEU_DO!G39)</f>
        <v/>
      </c>
    </row>
    <row r="39" spans="1:12">
      <c r="A39">
        <f t="shared" si="5"/>
        <v>38</v>
      </c>
      <c r="B39" t="str">
        <f ca="1">IF(LENH_DIEU_DO!C40="","",MOD(LENH_DIEU_DO!C40,1)*86400)</f>
        <v/>
      </c>
      <c r="C39" t="str">
        <f ca="1">IF(LENH_DIEU_DO!C40="","",LENH_DIEU_DO!C40)</f>
        <v/>
      </c>
      <c r="D39" t="str">
        <f ca="1">IF(LENH_DIEU_DO!D40="","",LENH_DIEU_DO!D40)</f>
        <v/>
      </c>
      <c r="E39" t="str">
        <f ca="1">IF(LENH_DIEU_DO!E40="","",LENH_DIEU_DO!E40)</f>
        <v/>
      </c>
      <c r="F39" t="str">
        <f t="shared" ca="1" si="9"/>
        <v/>
      </c>
      <c r="G39" t="str">
        <f t="shared" ca="1" si="6"/>
        <v/>
      </c>
      <c r="H39" t="str">
        <f ca="1">IF(C39="","",IF(G39="HOLD",0,ABS(D39-F39)/CAI_DAT!$B$7*60))</f>
        <v/>
      </c>
      <c r="I39" t="str">
        <f t="shared" ca="1" si="7"/>
        <v/>
      </c>
      <c r="J39" t="str">
        <f ca="1">IF(C39="","",CAI_DAT!$B$4+I39/86400)</f>
        <v/>
      </c>
      <c r="K39" t="str">
        <f t="shared" ca="1" si="8"/>
        <v/>
      </c>
      <c r="L39" t="str">
        <f ca="1">IF(LENH_DIEU_DO!G40="","",LENH_DIEU_DO!G40)</f>
        <v/>
      </c>
    </row>
    <row r="40" spans="1:12">
      <c r="A40">
        <f t="shared" si="5"/>
        <v>39</v>
      </c>
      <c r="B40" t="str">
        <f ca="1">IF(LENH_DIEU_DO!C41="","",MOD(LENH_DIEU_DO!C41,1)*86400)</f>
        <v/>
      </c>
      <c r="C40" t="str">
        <f ca="1">IF(LENH_DIEU_DO!C41="","",LENH_DIEU_DO!C41)</f>
        <v/>
      </c>
      <c r="D40" t="str">
        <f ca="1">IF(LENH_DIEU_DO!D41="","",LENH_DIEU_DO!D41)</f>
        <v/>
      </c>
      <c r="E40" t="str">
        <f ca="1">IF(LENH_DIEU_DO!E41="","",LENH_DIEU_DO!E41)</f>
        <v/>
      </c>
      <c r="F40" t="str">
        <f t="shared" ca="1" si="9"/>
        <v/>
      </c>
      <c r="G40" t="str">
        <f t="shared" ca="1" si="6"/>
        <v/>
      </c>
      <c r="H40" t="str">
        <f ca="1">IF(C40="","",IF(G40="HOLD",0,ABS(D40-F40)/CAI_DAT!$B$7*60))</f>
        <v/>
      </c>
      <c r="I40" t="str">
        <f t="shared" ca="1" si="7"/>
        <v/>
      </c>
      <c r="J40" t="str">
        <f ca="1">IF(C40="","",CAI_DAT!$B$4+I40/86400)</f>
        <v/>
      </c>
      <c r="K40" t="str">
        <f t="shared" ca="1" si="8"/>
        <v/>
      </c>
      <c r="L40" t="str">
        <f ca="1">IF(LENH_DIEU_DO!G41="","",LENH_DIEU_DO!G41)</f>
        <v/>
      </c>
    </row>
    <row r="41" spans="1:12">
      <c r="A41">
        <f t="shared" si="5"/>
        <v>40</v>
      </c>
      <c r="B41" t="str">
        <f ca="1">IF(LENH_DIEU_DO!C42="","",MOD(LENH_DIEU_DO!C42,1)*86400)</f>
        <v/>
      </c>
      <c r="C41" t="str">
        <f ca="1">IF(LENH_DIEU_DO!C42="","",LENH_DIEU_DO!C42)</f>
        <v/>
      </c>
      <c r="D41" t="str">
        <f ca="1">IF(LENH_DIEU_DO!D42="","",LENH_DIEU_DO!D42)</f>
        <v/>
      </c>
      <c r="E41" t="str">
        <f ca="1">IF(LENH_DIEU_DO!E42="","",LENH_DIEU_DO!E42)</f>
        <v/>
      </c>
      <c r="F41" t="str">
        <f t="shared" ca="1" si="9"/>
        <v/>
      </c>
      <c r="G41" t="str">
        <f t="shared" ca="1" si="6"/>
        <v/>
      </c>
      <c r="H41" t="str">
        <f ca="1">IF(C41="","",IF(G41="HOLD",0,ABS(D41-F41)/CAI_DAT!$B$7*60))</f>
        <v/>
      </c>
      <c r="I41" t="str">
        <f t="shared" ca="1" si="7"/>
        <v/>
      </c>
      <c r="J41" t="str">
        <f ca="1">IF(C41="","",CAI_DAT!$B$4+I41/86400)</f>
        <v/>
      </c>
      <c r="K41" t="str">
        <f t="shared" ca="1" si="8"/>
        <v/>
      </c>
      <c r="L41" t="str">
        <f ca="1">IF(LENH_DIEU_DO!G42="","",LENH_DIEU_DO!G42)</f>
        <v/>
      </c>
    </row>
    <row r="42" spans="1:12">
      <c r="A42">
        <f t="shared" si="5"/>
        <v>41</v>
      </c>
      <c r="B42" t="str">
        <f ca="1">IF(LENH_DIEU_DO!C43="","",MOD(LENH_DIEU_DO!C43,1)*86400)</f>
        <v/>
      </c>
      <c r="C42" t="str">
        <f ca="1">IF(LENH_DIEU_DO!C43="","",LENH_DIEU_DO!C43)</f>
        <v/>
      </c>
      <c r="D42" t="str">
        <f ca="1">IF(LENH_DIEU_DO!D43="","",LENH_DIEU_DO!D43)</f>
        <v/>
      </c>
      <c r="E42" t="str">
        <f ca="1">IF(LENH_DIEU_DO!E43="","",LENH_DIEU_DO!E43)</f>
        <v/>
      </c>
      <c r="F42" t="str">
        <f t="shared" ca="1" si="9"/>
        <v/>
      </c>
      <c r="G42" t="str">
        <f t="shared" ca="1" si="6"/>
        <v/>
      </c>
      <c r="H42" t="str">
        <f ca="1">IF(C42="","",IF(G42="HOLD",0,ABS(D42-F42)/CAI_DAT!$B$7*60))</f>
        <v/>
      </c>
      <c r="I42" t="str">
        <f t="shared" ca="1" si="7"/>
        <v/>
      </c>
      <c r="J42" t="str">
        <f ca="1">IF(C42="","",CAI_DAT!$B$4+I42/86400)</f>
        <v/>
      </c>
      <c r="K42" t="str">
        <f t="shared" ca="1" si="8"/>
        <v/>
      </c>
      <c r="L42" t="str">
        <f ca="1">IF(LENH_DIEU_DO!G43="","",LENH_DIEU_DO!G43)</f>
        <v/>
      </c>
    </row>
    <row r="43" spans="1:12">
      <c r="A43">
        <f t="shared" si="5"/>
        <v>42</v>
      </c>
      <c r="B43" t="str">
        <f ca="1">IF(LENH_DIEU_DO!C44="","",MOD(LENH_DIEU_DO!C44,1)*86400)</f>
        <v/>
      </c>
      <c r="C43" t="str">
        <f ca="1">IF(LENH_DIEU_DO!C44="","",LENH_DIEU_DO!C44)</f>
        <v/>
      </c>
      <c r="D43" t="str">
        <f ca="1">IF(LENH_DIEU_DO!D44="","",LENH_DIEU_DO!D44)</f>
        <v/>
      </c>
      <c r="E43" t="str">
        <f ca="1">IF(LENH_DIEU_DO!E44="","",LENH_DIEU_DO!E44)</f>
        <v/>
      </c>
      <c r="F43" t="str">
        <f t="shared" ca="1" si="9"/>
        <v/>
      </c>
      <c r="G43" t="str">
        <f t="shared" ca="1" si="6"/>
        <v/>
      </c>
      <c r="H43" t="str">
        <f ca="1">IF(C43="","",IF(G43="HOLD",0,ABS(D43-F43)/CAI_DAT!$B$7*60))</f>
        <v/>
      </c>
      <c r="I43" t="str">
        <f t="shared" ca="1" si="7"/>
        <v/>
      </c>
      <c r="J43" t="str">
        <f ca="1">IF(C43="","",CAI_DAT!$B$4+I43/86400)</f>
        <v/>
      </c>
      <c r="K43" t="str">
        <f t="shared" ca="1" si="8"/>
        <v/>
      </c>
      <c r="L43" t="str">
        <f ca="1">IF(LENH_DIEU_DO!G44="","",LENH_DIEU_DO!G44)</f>
        <v/>
      </c>
    </row>
    <row r="44" spans="1:12">
      <c r="A44">
        <f t="shared" si="5"/>
        <v>43</v>
      </c>
      <c r="B44" t="str">
        <f ca="1">IF(LENH_DIEU_DO!C45="","",MOD(LENH_DIEU_DO!C45,1)*86400)</f>
        <v/>
      </c>
      <c r="C44" t="str">
        <f ca="1">IF(LENH_DIEU_DO!C45="","",LENH_DIEU_DO!C45)</f>
        <v/>
      </c>
      <c r="D44" t="str">
        <f ca="1">IF(LENH_DIEU_DO!D45="","",LENH_DIEU_DO!D45)</f>
        <v/>
      </c>
      <c r="E44" t="str">
        <f ca="1">IF(LENH_DIEU_DO!E45="","",LENH_DIEU_DO!E45)</f>
        <v/>
      </c>
      <c r="F44" t="str">
        <f t="shared" ca="1" si="9"/>
        <v/>
      </c>
      <c r="G44" t="str">
        <f t="shared" ca="1" si="6"/>
        <v/>
      </c>
      <c r="H44" t="str">
        <f ca="1">IF(C44="","",IF(G44="HOLD",0,ABS(D44-F44)/CAI_DAT!$B$7*60))</f>
        <v/>
      </c>
      <c r="I44" t="str">
        <f t="shared" ca="1" si="7"/>
        <v/>
      </c>
      <c r="J44" t="str">
        <f ca="1">IF(C44="","",CAI_DAT!$B$4+I44/86400)</f>
        <v/>
      </c>
      <c r="K44" t="str">
        <f t="shared" ca="1" si="8"/>
        <v/>
      </c>
      <c r="L44" t="str">
        <f ca="1">IF(LENH_DIEU_DO!G45="","",LENH_DIEU_DO!G45)</f>
        <v/>
      </c>
    </row>
    <row r="45" spans="1:12">
      <c r="A45">
        <f t="shared" si="5"/>
        <v>44</v>
      </c>
      <c r="B45" t="str">
        <f ca="1">IF(LENH_DIEU_DO!C46="","",MOD(LENH_DIEU_DO!C46,1)*86400)</f>
        <v/>
      </c>
      <c r="C45" t="str">
        <f ca="1">IF(LENH_DIEU_DO!C46="","",LENH_DIEU_DO!C46)</f>
        <v/>
      </c>
      <c r="D45" t="str">
        <f ca="1">IF(LENH_DIEU_DO!D46="","",LENH_DIEU_DO!D46)</f>
        <v/>
      </c>
      <c r="E45" t="str">
        <f ca="1">IF(LENH_DIEU_DO!E46="","",LENH_DIEU_DO!E46)</f>
        <v/>
      </c>
      <c r="F45" t="str">
        <f t="shared" ca="1" si="9"/>
        <v/>
      </c>
      <c r="G45" t="str">
        <f t="shared" ca="1" si="6"/>
        <v/>
      </c>
      <c r="H45" t="str">
        <f ca="1">IF(C45="","",IF(G45="HOLD",0,ABS(D45-F45)/CAI_DAT!$B$7*60))</f>
        <v/>
      </c>
      <c r="I45" t="str">
        <f t="shared" ca="1" si="7"/>
        <v/>
      </c>
      <c r="J45" t="str">
        <f ca="1">IF(C45="","",CAI_DAT!$B$4+I45/86400)</f>
        <v/>
      </c>
      <c r="K45" t="str">
        <f t="shared" ca="1" si="8"/>
        <v/>
      </c>
      <c r="L45" t="str">
        <f ca="1">IF(LENH_DIEU_DO!G46="","",LENH_DIEU_DO!G46)</f>
        <v/>
      </c>
    </row>
    <row r="46" spans="1:12">
      <c r="A46">
        <f t="shared" si="5"/>
        <v>45</v>
      </c>
      <c r="B46" t="str">
        <f ca="1">IF(LENH_DIEU_DO!C47="","",MOD(LENH_DIEU_DO!C47,1)*86400)</f>
        <v/>
      </c>
      <c r="C46" t="str">
        <f ca="1">IF(LENH_DIEU_DO!C47="","",LENH_DIEU_DO!C47)</f>
        <v/>
      </c>
      <c r="D46" t="str">
        <f ca="1">IF(LENH_DIEU_DO!D47="","",LENH_DIEU_DO!D47)</f>
        <v/>
      </c>
      <c r="E46" t="str">
        <f ca="1">IF(LENH_DIEU_DO!E47="","",LENH_DIEU_DO!E47)</f>
        <v/>
      </c>
      <c r="F46" t="str">
        <f t="shared" ca="1" si="9"/>
        <v/>
      </c>
      <c r="G46" t="str">
        <f t="shared" ca="1" si="6"/>
        <v/>
      </c>
      <c r="H46" t="str">
        <f ca="1">IF(C46="","",IF(G46="HOLD",0,ABS(D46-F46)/CAI_DAT!$B$7*60))</f>
        <v/>
      </c>
      <c r="I46" t="str">
        <f t="shared" ca="1" si="7"/>
        <v/>
      </c>
      <c r="J46" t="str">
        <f ca="1">IF(C46="","",CAI_DAT!$B$4+I46/86400)</f>
        <v/>
      </c>
      <c r="K46" t="str">
        <f t="shared" ca="1" si="8"/>
        <v/>
      </c>
      <c r="L46" t="str">
        <f ca="1">IF(LENH_DIEU_DO!G47="","",LENH_DIEU_DO!G47)</f>
        <v/>
      </c>
    </row>
    <row r="47" spans="1:12">
      <c r="A47">
        <f t="shared" si="5"/>
        <v>46</v>
      </c>
      <c r="B47" t="str">
        <f ca="1">IF(LENH_DIEU_DO!C48="","",MOD(LENH_DIEU_DO!C48,1)*86400)</f>
        <v/>
      </c>
      <c r="C47" t="str">
        <f ca="1">IF(LENH_DIEU_DO!C48="","",LENH_DIEU_DO!C48)</f>
        <v/>
      </c>
      <c r="D47" t="str">
        <f ca="1">IF(LENH_DIEU_DO!D48="","",LENH_DIEU_DO!D48)</f>
        <v/>
      </c>
      <c r="E47" t="str">
        <f ca="1">IF(LENH_DIEU_DO!E48="","",LENH_DIEU_DO!E48)</f>
        <v/>
      </c>
      <c r="F47" t="str">
        <f t="shared" ca="1" si="9"/>
        <v/>
      </c>
      <c r="G47" t="str">
        <f t="shared" ca="1" si="6"/>
        <v/>
      </c>
      <c r="H47" t="str">
        <f ca="1">IF(C47="","",IF(G47="HOLD",0,ABS(D47-F47)/CAI_DAT!$B$7*60))</f>
        <v/>
      </c>
      <c r="I47" t="str">
        <f t="shared" ca="1" si="7"/>
        <v/>
      </c>
      <c r="J47" t="str">
        <f ca="1">IF(C47="","",CAI_DAT!$B$4+I47/86400)</f>
        <v/>
      </c>
      <c r="K47" t="str">
        <f t="shared" ca="1" si="8"/>
        <v/>
      </c>
      <c r="L47" t="str">
        <f ca="1">IF(LENH_DIEU_DO!G48="","",LENH_DIEU_DO!G48)</f>
        <v/>
      </c>
    </row>
    <row r="48" spans="1:12">
      <c r="A48">
        <f t="shared" si="5"/>
        <v>47</v>
      </c>
      <c r="B48" t="str">
        <f ca="1">IF(LENH_DIEU_DO!C49="","",MOD(LENH_DIEU_DO!C49,1)*86400)</f>
        <v/>
      </c>
      <c r="C48" t="str">
        <f ca="1">IF(LENH_DIEU_DO!C49="","",LENH_DIEU_DO!C49)</f>
        <v/>
      </c>
      <c r="D48" t="str">
        <f ca="1">IF(LENH_DIEU_DO!D49="","",LENH_DIEU_DO!D49)</f>
        <v/>
      </c>
      <c r="E48" t="str">
        <f ca="1">IF(LENH_DIEU_DO!E49="","",LENH_DIEU_DO!E49)</f>
        <v/>
      </c>
      <c r="F48" t="str">
        <f t="shared" ca="1" si="9"/>
        <v/>
      </c>
      <c r="G48" t="str">
        <f t="shared" ca="1" si="6"/>
        <v/>
      </c>
      <c r="H48" t="str">
        <f ca="1">IF(C48="","",IF(G48="HOLD",0,ABS(D48-F48)/CAI_DAT!$B$7*60))</f>
        <v/>
      </c>
      <c r="I48" t="str">
        <f t="shared" ca="1" si="7"/>
        <v/>
      </c>
      <c r="J48" t="str">
        <f ca="1">IF(C48="","",CAI_DAT!$B$4+I48/86400)</f>
        <v/>
      </c>
      <c r="K48" t="str">
        <f t="shared" ca="1" si="8"/>
        <v/>
      </c>
      <c r="L48" t="str">
        <f ca="1">IF(LENH_DIEU_DO!G49="","",LENH_DIEU_DO!G49)</f>
        <v/>
      </c>
    </row>
    <row r="49" spans="1:12">
      <c r="A49">
        <f t="shared" si="5"/>
        <v>48</v>
      </c>
      <c r="B49" t="str">
        <f ca="1">IF(LENH_DIEU_DO!C50="","",MOD(LENH_DIEU_DO!C50,1)*86400)</f>
        <v/>
      </c>
      <c r="C49" t="str">
        <f ca="1">IF(LENH_DIEU_DO!C50="","",LENH_DIEU_DO!C50)</f>
        <v/>
      </c>
      <c r="D49" t="str">
        <f ca="1">IF(LENH_DIEU_DO!D50="","",LENH_DIEU_DO!D50)</f>
        <v/>
      </c>
      <c r="E49" t="str">
        <f ca="1">IF(LENH_DIEU_DO!E50="","",LENH_DIEU_DO!E50)</f>
        <v/>
      </c>
      <c r="F49" t="str">
        <f t="shared" ca="1" si="9"/>
        <v/>
      </c>
      <c r="G49" t="str">
        <f t="shared" ca="1" si="6"/>
        <v/>
      </c>
      <c r="H49" t="str">
        <f ca="1">IF(C49="","",IF(G49="HOLD",0,ABS(D49-F49)/CAI_DAT!$B$7*60))</f>
        <v/>
      </c>
      <c r="I49" t="str">
        <f t="shared" ca="1" si="7"/>
        <v/>
      </c>
      <c r="J49" t="str">
        <f ca="1">IF(C49="","",CAI_DAT!$B$4+I49/86400)</f>
        <v/>
      </c>
      <c r="K49" t="str">
        <f t="shared" ca="1" si="8"/>
        <v/>
      </c>
      <c r="L49" t="str">
        <f ca="1">IF(LENH_DIEU_DO!G50="","",LENH_DIEU_DO!G50)</f>
        <v/>
      </c>
    </row>
    <row r="50" spans="1:12">
      <c r="A50">
        <f t="shared" si="5"/>
        <v>49</v>
      </c>
      <c r="B50" t="str">
        <f ca="1">IF(LENH_DIEU_DO!C51="","",MOD(LENH_DIEU_DO!C51,1)*86400)</f>
        <v/>
      </c>
      <c r="C50" t="str">
        <f ca="1">IF(LENH_DIEU_DO!C51="","",LENH_DIEU_DO!C51)</f>
        <v/>
      </c>
      <c r="D50" t="str">
        <f ca="1">IF(LENH_DIEU_DO!D51="","",LENH_DIEU_DO!D51)</f>
        <v/>
      </c>
      <c r="E50" t="str">
        <f ca="1">IF(LENH_DIEU_DO!E51="","",LENH_DIEU_DO!E51)</f>
        <v/>
      </c>
      <c r="F50" t="str">
        <f t="shared" ca="1" si="9"/>
        <v/>
      </c>
      <c r="G50" t="str">
        <f t="shared" ca="1" si="6"/>
        <v/>
      </c>
      <c r="H50" t="str">
        <f ca="1">IF(C50="","",IF(G50="HOLD",0,ABS(D50-F50)/CAI_DAT!$B$7*60))</f>
        <v/>
      </c>
      <c r="I50" t="str">
        <f t="shared" ca="1" si="7"/>
        <v/>
      </c>
      <c r="J50" t="str">
        <f ca="1">IF(C50="","",CAI_DAT!$B$4+I50/86400)</f>
        <v/>
      </c>
      <c r="K50" t="str">
        <f t="shared" ca="1" si="8"/>
        <v/>
      </c>
      <c r="L50" t="str">
        <f ca="1">IF(LENH_DIEU_DO!G51="","",LENH_DIEU_DO!G51)</f>
        <v/>
      </c>
    </row>
    <row r="51" spans="1:12">
      <c r="A51">
        <f t="shared" si="5"/>
        <v>50</v>
      </c>
      <c r="B51" t="str">
        <f ca="1">IF(LENH_DIEU_DO!C52="","",MOD(LENH_DIEU_DO!C52,1)*86400)</f>
        <v/>
      </c>
      <c r="C51" t="str">
        <f ca="1">IF(LENH_DIEU_DO!C52="","",LENH_DIEU_DO!C52)</f>
        <v/>
      </c>
      <c r="D51" t="str">
        <f ca="1">IF(LENH_DIEU_DO!D52="","",LENH_DIEU_DO!D52)</f>
        <v/>
      </c>
      <c r="E51" t="str">
        <f ca="1">IF(LENH_DIEU_DO!E52="","",LENH_DIEU_DO!E52)</f>
        <v/>
      </c>
      <c r="F51" t="str">
        <f t="shared" ca="1" si="9"/>
        <v/>
      </c>
      <c r="G51" t="str">
        <f t="shared" ca="1" si="6"/>
        <v/>
      </c>
      <c r="H51" t="str">
        <f ca="1">IF(C51="","",IF(G51="HOLD",0,ABS(D51-F51)/CAI_DAT!$B$7*60))</f>
        <v/>
      </c>
      <c r="I51" t="str">
        <f t="shared" ca="1" si="7"/>
        <v/>
      </c>
      <c r="J51" t="str">
        <f ca="1">IF(C51="","",CAI_DAT!$B$4+I51/86400)</f>
        <v/>
      </c>
      <c r="K51" t="str">
        <f t="shared" ca="1" si="8"/>
        <v/>
      </c>
      <c r="L51" t="str">
        <f ca="1">IF(LENH_DIEU_DO!G52="","",LENH_DIEU_DO!G52)</f>
        <v/>
      </c>
    </row>
    <row r="52" spans="1:12">
      <c r="A52">
        <f t="shared" si="5"/>
        <v>51</v>
      </c>
      <c r="B52" t="str">
        <f ca="1">IF(LENH_DIEU_DO!C53="","",MOD(LENH_DIEU_DO!C53,1)*86400)</f>
        <v/>
      </c>
      <c r="C52" t="str">
        <f ca="1">IF(LENH_DIEU_DO!C53="","",LENH_DIEU_DO!C53)</f>
        <v/>
      </c>
      <c r="D52" t="str">
        <f ca="1">IF(LENH_DIEU_DO!D53="","",LENH_DIEU_DO!D53)</f>
        <v/>
      </c>
      <c r="E52" t="str">
        <f ca="1">IF(LENH_DIEU_DO!E53="","",LENH_DIEU_DO!E53)</f>
        <v/>
      </c>
      <c r="F52" t="str">
        <f t="shared" ca="1" si="9"/>
        <v/>
      </c>
      <c r="G52" t="str">
        <f t="shared" ca="1" si="6"/>
        <v/>
      </c>
      <c r="H52" t="str">
        <f ca="1">IF(C52="","",IF(G52="HOLD",0,ABS(D52-F52)/CAI_DAT!$B$7*60))</f>
        <v/>
      </c>
      <c r="I52" t="str">
        <f t="shared" ca="1" si="7"/>
        <v/>
      </c>
      <c r="J52" t="str">
        <f ca="1">IF(C52="","",CAI_DAT!$B$4+I52/86400)</f>
        <v/>
      </c>
      <c r="K52" t="str">
        <f t="shared" ca="1" si="8"/>
        <v/>
      </c>
      <c r="L52" t="str">
        <f ca="1">IF(LENH_DIEU_DO!G53="","",LENH_DIEU_DO!G53)</f>
        <v/>
      </c>
    </row>
    <row r="53" spans="1:12">
      <c r="A53">
        <f t="shared" si="5"/>
        <v>52</v>
      </c>
      <c r="B53" t="str">
        <f ca="1">IF(LENH_DIEU_DO!C54="","",MOD(LENH_DIEU_DO!C54,1)*86400)</f>
        <v/>
      </c>
      <c r="C53" t="str">
        <f ca="1">IF(LENH_DIEU_DO!C54="","",LENH_DIEU_DO!C54)</f>
        <v/>
      </c>
      <c r="D53" t="str">
        <f ca="1">IF(LENH_DIEU_DO!D54="","",LENH_DIEU_DO!D54)</f>
        <v/>
      </c>
      <c r="E53" t="str">
        <f ca="1">IF(LENH_DIEU_DO!E54="","",LENH_DIEU_DO!E54)</f>
        <v/>
      </c>
      <c r="F53" t="str">
        <f t="shared" ca="1" si="9"/>
        <v/>
      </c>
      <c r="G53" t="str">
        <f t="shared" ca="1" si="6"/>
        <v/>
      </c>
      <c r="H53" t="str">
        <f ca="1">IF(C53="","",IF(G53="HOLD",0,ABS(D53-F53)/CAI_DAT!$B$7*60))</f>
        <v/>
      </c>
      <c r="I53" t="str">
        <f t="shared" ca="1" si="7"/>
        <v/>
      </c>
      <c r="J53" t="str">
        <f ca="1">IF(C53="","",CAI_DAT!$B$4+I53/86400)</f>
        <v/>
      </c>
      <c r="K53" t="str">
        <f t="shared" ca="1" si="8"/>
        <v/>
      </c>
      <c r="L53" t="str">
        <f ca="1">IF(LENH_DIEU_DO!G54="","",LENH_DIEU_DO!G54)</f>
        <v/>
      </c>
    </row>
    <row r="54" spans="1:12">
      <c r="A54">
        <f t="shared" si="5"/>
        <v>53</v>
      </c>
      <c r="B54" t="str">
        <f ca="1">IF(LENH_DIEU_DO!C55="","",MOD(LENH_DIEU_DO!C55,1)*86400)</f>
        <v/>
      </c>
      <c r="C54" t="str">
        <f ca="1">IF(LENH_DIEU_DO!C55="","",LENH_DIEU_DO!C55)</f>
        <v/>
      </c>
      <c r="D54" t="str">
        <f ca="1">IF(LENH_DIEU_DO!D55="","",LENH_DIEU_DO!D55)</f>
        <v/>
      </c>
      <c r="E54" t="str">
        <f ca="1">IF(LENH_DIEU_DO!E55="","",LENH_DIEU_DO!E55)</f>
        <v/>
      </c>
      <c r="F54" t="str">
        <f t="shared" ca="1" si="9"/>
        <v/>
      </c>
      <c r="G54" t="str">
        <f t="shared" ca="1" si="6"/>
        <v/>
      </c>
      <c r="H54" t="str">
        <f ca="1">IF(C54="","",IF(G54="HOLD",0,ABS(D54-F54)/CAI_DAT!$B$7*60))</f>
        <v/>
      </c>
      <c r="I54" t="str">
        <f t="shared" ca="1" si="7"/>
        <v/>
      </c>
      <c r="J54" t="str">
        <f ca="1">IF(C54="","",CAI_DAT!$B$4+I54/86400)</f>
        <v/>
      </c>
      <c r="K54" t="str">
        <f t="shared" ca="1" si="8"/>
        <v/>
      </c>
      <c r="L54" t="str">
        <f ca="1">IF(LENH_DIEU_DO!G55="","",LENH_DIEU_DO!G55)</f>
        <v/>
      </c>
    </row>
    <row r="55" spans="1:12">
      <c r="A55">
        <f t="shared" si="5"/>
        <v>54</v>
      </c>
      <c r="B55" t="str">
        <f ca="1">IF(LENH_DIEU_DO!C56="","",MOD(LENH_DIEU_DO!C56,1)*86400)</f>
        <v/>
      </c>
      <c r="C55" t="str">
        <f ca="1">IF(LENH_DIEU_DO!C56="","",LENH_DIEU_DO!C56)</f>
        <v/>
      </c>
      <c r="D55" t="str">
        <f ca="1">IF(LENH_DIEU_DO!D56="","",LENH_DIEU_DO!D56)</f>
        <v/>
      </c>
      <c r="E55" t="str">
        <f ca="1">IF(LENH_DIEU_DO!E56="","",LENH_DIEU_DO!E56)</f>
        <v/>
      </c>
      <c r="F55" t="str">
        <f t="shared" ca="1" si="9"/>
        <v/>
      </c>
      <c r="G55" t="str">
        <f t="shared" ca="1" si="6"/>
        <v/>
      </c>
      <c r="H55" t="str">
        <f ca="1">IF(C55="","",IF(G55="HOLD",0,ABS(D55-F55)/CAI_DAT!$B$7*60))</f>
        <v/>
      </c>
      <c r="I55" t="str">
        <f t="shared" ca="1" si="7"/>
        <v/>
      </c>
      <c r="J55" t="str">
        <f ca="1">IF(C55="","",CAI_DAT!$B$4+I55/86400)</f>
        <v/>
      </c>
      <c r="K55" t="str">
        <f t="shared" ca="1" si="8"/>
        <v/>
      </c>
      <c r="L55" t="str">
        <f ca="1">IF(LENH_DIEU_DO!G56="","",LENH_DIEU_DO!G56)</f>
        <v/>
      </c>
    </row>
    <row r="56" spans="1:12">
      <c r="A56">
        <f t="shared" si="5"/>
        <v>55</v>
      </c>
      <c r="B56" t="str">
        <f ca="1">IF(LENH_DIEU_DO!C57="","",MOD(LENH_DIEU_DO!C57,1)*86400)</f>
        <v/>
      </c>
      <c r="C56" t="str">
        <f ca="1">IF(LENH_DIEU_DO!C57="","",LENH_DIEU_DO!C57)</f>
        <v/>
      </c>
      <c r="D56" t="str">
        <f ca="1">IF(LENH_DIEU_DO!D57="","",LENH_DIEU_DO!D57)</f>
        <v/>
      </c>
      <c r="E56" t="str">
        <f ca="1">IF(LENH_DIEU_DO!E57="","",LENH_DIEU_DO!E57)</f>
        <v/>
      </c>
      <c r="F56" t="str">
        <f t="shared" ca="1" si="9"/>
        <v/>
      </c>
      <c r="G56" t="str">
        <f t="shared" ca="1" si="6"/>
        <v/>
      </c>
      <c r="H56" t="str">
        <f ca="1">IF(C56="","",IF(G56="HOLD",0,ABS(D56-F56)/CAI_DAT!$B$7*60))</f>
        <v/>
      </c>
      <c r="I56" t="str">
        <f t="shared" ca="1" si="7"/>
        <v/>
      </c>
      <c r="J56" t="str">
        <f ca="1">IF(C56="","",CAI_DAT!$B$4+I56/86400)</f>
        <v/>
      </c>
      <c r="K56" t="str">
        <f t="shared" ca="1" si="8"/>
        <v/>
      </c>
      <c r="L56" t="str">
        <f ca="1">IF(LENH_DIEU_DO!G57="","",LENH_DIEU_DO!G57)</f>
        <v/>
      </c>
    </row>
    <row r="57" spans="1:12">
      <c r="A57">
        <f t="shared" si="5"/>
        <v>56</v>
      </c>
      <c r="B57" t="str">
        <f ca="1">IF(LENH_DIEU_DO!C58="","",MOD(LENH_DIEU_DO!C58,1)*86400)</f>
        <v/>
      </c>
      <c r="C57" t="str">
        <f ca="1">IF(LENH_DIEU_DO!C58="","",LENH_DIEU_DO!C58)</f>
        <v/>
      </c>
      <c r="D57" t="str">
        <f ca="1">IF(LENH_DIEU_DO!D58="","",LENH_DIEU_DO!D58)</f>
        <v/>
      </c>
      <c r="E57" t="str">
        <f ca="1">IF(LENH_DIEU_DO!E58="","",LENH_DIEU_DO!E58)</f>
        <v/>
      </c>
      <c r="F57" t="str">
        <f t="shared" ca="1" si="9"/>
        <v/>
      </c>
      <c r="G57" t="str">
        <f t="shared" ca="1" si="6"/>
        <v/>
      </c>
      <c r="H57" t="str">
        <f ca="1">IF(C57="","",IF(G57="HOLD",0,ABS(D57-F57)/CAI_DAT!$B$7*60))</f>
        <v/>
      </c>
      <c r="I57" t="str">
        <f t="shared" ca="1" si="7"/>
        <v/>
      </c>
      <c r="J57" t="str">
        <f ca="1">IF(C57="","",CAI_DAT!$B$4+I57/86400)</f>
        <v/>
      </c>
      <c r="K57" t="str">
        <f t="shared" ca="1" si="8"/>
        <v/>
      </c>
      <c r="L57" t="str">
        <f ca="1">IF(LENH_DIEU_DO!G58="","",LENH_DIEU_DO!G58)</f>
        <v/>
      </c>
    </row>
    <row r="58" spans="1:12">
      <c r="A58">
        <f t="shared" si="5"/>
        <v>57</v>
      </c>
      <c r="B58" t="str">
        <f ca="1">IF(LENH_DIEU_DO!C59="","",MOD(LENH_DIEU_DO!C59,1)*86400)</f>
        <v/>
      </c>
      <c r="C58" t="str">
        <f ca="1">IF(LENH_DIEU_DO!C59="","",LENH_DIEU_DO!C59)</f>
        <v/>
      </c>
      <c r="D58" t="str">
        <f ca="1">IF(LENH_DIEU_DO!D59="","",LENH_DIEU_DO!D59)</f>
        <v/>
      </c>
      <c r="E58" t="str">
        <f ca="1">IF(LENH_DIEU_DO!E59="","",LENH_DIEU_DO!E59)</f>
        <v/>
      </c>
      <c r="F58" t="str">
        <f t="shared" ca="1" si="9"/>
        <v/>
      </c>
      <c r="G58" t="str">
        <f t="shared" ca="1" si="6"/>
        <v/>
      </c>
      <c r="H58" t="str">
        <f ca="1">IF(C58="","",IF(G58="HOLD",0,ABS(D58-F58)/CAI_DAT!$B$7*60))</f>
        <v/>
      </c>
      <c r="I58" t="str">
        <f t="shared" ca="1" si="7"/>
        <v/>
      </c>
      <c r="J58" t="str">
        <f ca="1">IF(C58="","",CAI_DAT!$B$4+I58/86400)</f>
        <v/>
      </c>
      <c r="K58" t="str">
        <f t="shared" ca="1" si="8"/>
        <v/>
      </c>
      <c r="L58" t="str">
        <f ca="1">IF(LENH_DIEU_DO!G59="","",LENH_DIEU_DO!G59)</f>
        <v/>
      </c>
    </row>
    <row r="59" spans="1:12">
      <c r="A59">
        <f t="shared" si="5"/>
        <v>58</v>
      </c>
      <c r="B59" t="str">
        <f ca="1">IF(LENH_DIEU_DO!C60="","",MOD(LENH_DIEU_DO!C60,1)*86400)</f>
        <v/>
      </c>
      <c r="C59" t="str">
        <f ca="1">IF(LENH_DIEU_DO!C60="","",LENH_DIEU_DO!C60)</f>
        <v/>
      </c>
      <c r="D59" t="str">
        <f ca="1">IF(LENH_DIEU_DO!D60="","",LENH_DIEU_DO!D60)</f>
        <v/>
      </c>
      <c r="E59" t="str">
        <f ca="1">IF(LENH_DIEU_DO!E60="","",LENH_DIEU_DO!E60)</f>
        <v/>
      </c>
      <c r="F59" t="str">
        <f t="shared" ca="1" si="9"/>
        <v/>
      </c>
      <c r="G59" t="str">
        <f t="shared" ca="1" si="6"/>
        <v/>
      </c>
      <c r="H59" t="str">
        <f ca="1">IF(C59="","",IF(G59="HOLD",0,ABS(D59-F59)/CAI_DAT!$B$7*60))</f>
        <v/>
      </c>
      <c r="I59" t="str">
        <f t="shared" ca="1" si="7"/>
        <v/>
      </c>
      <c r="J59" t="str">
        <f ca="1">IF(C59="","",CAI_DAT!$B$4+I59/86400)</f>
        <v/>
      </c>
      <c r="K59" t="str">
        <f t="shared" ca="1" si="8"/>
        <v/>
      </c>
      <c r="L59" t="str">
        <f ca="1">IF(LENH_DIEU_DO!G60="","",LENH_DIEU_DO!G60)</f>
        <v/>
      </c>
    </row>
    <row r="60" spans="1:12">
      <c r="A60">
        <f t="shared" si="5"/>
        <v>59</v>
      </c>
      <c r="B60" t="str">
        <f ca="1">IF(LENH_DIEU_DO!C61="","",MOD(LENH_DIEU_DO!C61,1)*86400)</f>
        <v/>
      </c>
      <c r="C60" t="str">
        <f ca="1">IF(LENH_DIEU_DO!C61="","",LENH_DIEU_DO!C61)</f>
        <v/>
      </c>
      <c r="D60" t="str">
        <f ca="1">IF(LENH_DIEU_DO!D61="","",LENH_DIEU_DO!D61)</f>
        <v/>
      </c>
      <c r="E60" t="str">
        <f ca="1">IF(LENH_DIEU_DO!E61="","",LENH_DIEU_DO!E61)</f>
        <v/>
      </c>
      <c r="F60" t="str">
        <f t="shared" ca="1" si="9"/>
        <v/>
      </c>
      <c r="G60" t="str">
        <f t="shared" ca="1" si="6"/>
        <v/>
      </c>
      <c r="H60" t="str">
        <f ca="1">IF(C60="","",IF(G60="HOLD",0,ABS(D60-F60)/CAI_DAT!$B$7*60))</f>
        <v/>
      </c>
      <c r="I60" t="str">
        <f t="shared" ca="1" si="7"/>
        <v/>
      </c>
      <c r="J60" t="str">
        <f ca="1">IF(C60="","",CAI_DAT!$B$4+I60/86400)</f>
        <v/>
      </c>
      <c r="K60" t="str">
        <f t="shared" ca="1" si="8"/>
        <v/>
      </c>
      <c r="L60" t="str">
        <f ca="1">IF(LENH_DIEU_DO!G61="","",LENH_DIEU_DO!G61)</f>
        <v/>
      </c>
    </row>
    <row r="61" spans="1:12">
      <c r="A61">
        <f t="shared" si="5"/>
        <v>60</v>
      </c>
      <c r="B61" t="str">
        <f ca="1">IF(LENH_DIEU_DO!C62="","",MOD(LENH_DIEU_DO!C62,1)*86400)</f>
        <v/>
      </c>
      <c r="C61" t="str">
        <f ca="1">IF(LENH_DIEU_DO!C62="","",LENH_DIEU_DO!C62)</f>
        <v/>
      </c>
      <c r="D61" t="str">
        <f ca="1">IF(LENH_DIEU_DO!D62="","",LENH_DIEU_DO!D62)</f>
        <v/>
      </c>
      <c r="E61" t="str">
        <f ca="1">IF(LENH_DIEU_DO!E62="","",LENH_DIEU_DO!E62)</f>
        <v/>
      </c>
      <c r="F61" t="str">
        <f t="shared" ca="1" si="9"/>
        <v/>
      </c>
      <c r="G61" t="str">
        <f t="shared" ca="1" si="6"/>
        <v/>
      </c>
      <c r="H61" t="str">
        <f ca="1">IF(C61="","",IF(G61="HOLD",0,ABS(D61-F61)/CAI_DAT!$B$7*60))</f>
        <v/>
      </c>
      <c r="I61" t="str">
        <f t="shared" ca="1" si="7"/>
        <v/>
      </c>
      <c r="J61" t="str">
        <f ca="1">IF(C61="","",CAI_DAT!$B$4+I61/86400)</f>
        <v/>
      </c>
      <c r="K61" t="str">
        <f t="shared" ca="1" si="8"/>
        <v/>
      </c>
      <c r="L61" t="str">
        <f ca="1">IF(LENH_DIEU_DO!G62="","",LENH_DIEU_DO!G62)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22"/>
  <sheetViews>
    <sheetView workbookViewId="0"/>
  </sheetViews>
  <sheetFormatPr baseColWidth="10" defaultColWidth="8.83203125" defaultRowHeight="14"/>
  <cols>
    <col min="1" max="1" width="9" customWidth="1"/>
    <col min="2" max="2" width="14" customWidth="1"/>
    <col min="3" max="4" width="18" customWidth="1"/>
    <col min="5" max="6" width="14" customWidth="1"/>
    <col min="7" max="7" width="16" customWidth="1"/>
    <col min="8" max="8" width="26" customWidth="1"/>
  </cols>
  <sheetData>
    <row r="1" spans="1:8" ht="15">
      <c r="A1" s="1" t="s">
        <v>147</v>
      </c>
      <c r="B1" s="11" t="s">
        <v>141</v>
      </c>
      <c r="C1" s="11" t="s">
        <v>136</v>
      </c>
      <c r="D1" s="11" t="s">
        <v>143</v>
      </c>
      <c r="E1" s="11" t="s">
        <v>148</v>
      </c>
      <c r="F1" s="11" t="s">
        <v>145</v>
      </c>
      <c r="G1" s="11" t="s">
        <v>149</v>
      </c>
      <c r="H1" s="2" t="s">
        <v>150</v>
      </c>
    </row>
    <row r="2" spans="1:8">
      <c r="A2" s="3">
        <f>1</f>
        <v>1</v>
      </c>
      <c r="B2" s="12" t="str">
        <f>"HOLD"</f>
        <v>HOLD</v>
      </c>
      <c r="C2" s="24">
        <f>0</f>
        <v>0</v>
      </c>
      <c r="D2" s="24">
        <f ca="1">IF(XU_LY_LENH!C2="",86400,XU_LY_LENH!B2)</f>
        <v>86400</v>
      </c>
      <c r="E2" s="24">
        <f>CAI_DAT!$B$6</f>
        <v>0</v>
      </c>
      <c r="F2" s="24">
        <f>CAI_DAT!$B$6</f>
        <v>0</v>
      </c>
      <c r="G2" s="24">
        <f ca="1">D2-C2</f>
        <v>86400</v>
      </c>
      <c r="H2" s="4" t="str">
        <f>"Đầu ngày"</f>
        <v>Đầu ngày</v>
      </c>
    </row>
    <row r="3" spans="1:8">
      <c r="A3" s="5">
        <f t="shared" ref="A3:A34" si="0">ROW()-1</f>
        <v>2</v>
      </c>
      <c r="B3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3" s="25" t="str">
        <f ca="1">IF(MOD(ROW(),2)=1,IF(B3="","",INDEX(XU_LY_LENH!$B$2:$B$61,INT((ROW()-1)/2))),IF(B3="","",INDEX(XU_LY_LENH!$I$2:$I$61,INT((ROW()-1)/2))))</f>
        <v/>
      </c>
      <c r="D3" s="25" t="str">
        <f ca="1">IF(MOD(ROW(),2)=1,IF(B3="","",IF(INDEX(XU_LY_LENH!$G$2:$G$61,INT((ROW()-1)/2))="HOLD",C3,MIN(INDEX(XU_LY_LENH!$I$2:$I$61,INT((ROW()-1)/2)),IF(IFERROR(INDEX(XU_LY_LENH!$C$2:$C$61,INT((ROW()-1)/2)+1),"")="",86400,IFERROR(INDEX(XU_LY_LENH!$B$2:$B$61,INT((ROW()-1)/2)+1),"")),86400))),IF(B3="","",MIN(IF(IFERROR(INDEX(XU_LY_LENH!$C$2:$C$61,INT((ROW()-1)/2)+1),"")="",86400,IFERROR(INDEX(XU_LY_LENH!$B$2:$B$61,INT((ROW()-1)/2)+1),"")),86400)))</f>
        <v/>
      </c>
      <c r="E3" s="25" t="str">
        <f ca="1">IF(MOD(ROW(),2)=1,IF(B3="","",INDEX(XU_LY_LENH!$F$2:$F$61,INT((ROW()-1)/2))),IF(B3="","",INDEX(XU_LY_LENH!$D$2:$D$61,INT((ROW()-1)/2))))</f>
        <v/>
      </c>
      <c r="F3" s="25" t="str">
        <f ca="1">IF(MOD(ROW(),2)=1,IF(B3="","",IF(INDEX(XU_LY_LENH!$G$2:$G$61,INT((ROW()-1)/2))="HOLD",E3,IF(D3&gt;=INDEX(XU_LY_LENH!$I$2:$I$61,INT((ROW()-1)/2)),INDEX(XU_LY_LENH!$D$2:$D$61,INT((ROW()-1)/2)),INDEX(XU_LY_LENH!$F$2:$F$61,INT((ROW()-1)/2))+(INDEX(XU_LY_LENH!$D$2:$D$61,INT((ROW()-1)/2))-INDEX(XU_LY_LENH!$F$2:$F$61,INT((ROW()-1)/2)))*(D3-INDEX(XU_LY_LENH!$B$2:$B$61,INT((ROW()-1)/2)))/MAX(INDEX(XU_LY_LENH!$I$2:$I$61,INT((ROW()-1)/2))-INDEX(XU_LY_LENH!$B$2:$B$61,INT((ROW()-1)/2)),0.000001)))),IF(B3="","",INDEX(XU_LY_LENH!$D$2:$D$61,INT((ROW()-1)/2))))</f>
        <v/>
      </c>
      <c r="G3" s="25" t="str">
        <f t="shared" ref="G3:G34" ca="1" si="1">IF(B3="","",D3-C3)</f>
        <v/>
      </c>
      <c r="H3" s="6" t="str">
        <f t="shared" ref="H3:H34" ca="1" si="2">IF(B3="","",IF(MOD(ROW(),2)=1,"Ramp lệnh "&amp;INT((ROW()-1)/2),"Giữ sau lệnh "&amp;INT((ROW()-1)/2)))</f>
        <v/>
      </c>
    </row>
    <row r="4" spans="1:8">
      <c r="A4" s="5">
        <f t="shared" si="0"/>
        <v>3</v>
      </c>
      <c r="B4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4" s="25" t="str">
        <f ca="1">IF(MOD(ROW(),2)=1,IF(B4="","",INDEX(XU_LY_LENH!$B$2:$B$61,INT((ROW()-1)/2))),IF(B4="","",INDEX(XU_LY_LENH!$I$2:$I$61,INT((ROW()-1)/2))))</f>
        <v/>
      </c>
      <c r="D4" s="25" t="str">
        <f ca="1">IF(MOD(ROW(),2)=1,IF(B4="","",IF(INDEX(XU_LY_LENH!$G$2:$G$61,INT((ROW()-1)/2))="HOLD",C4,MIN(INDEX(XU_LY_LENH!$I$2:$I$61,INT((ROW()-1)/2)),IF(IFERROR(INDEX(XU_LY_LENH!$C$2:$C$61,INT((ROW()-1)/2)+1),"")="",86400,IFERROR(INDEX(XU_LY_LENH!$B$2:$B$61,INT((ROW()-1)/2)+1),"")),86400))),IF(B4="","",MIN(IF(IFERROR(INDEX(XU_LY_LENH!$C$2:$C$61,INT((ROW()-1)/2)+1),"")="",86400,IFERROR(INDEX(XU_LY_LENH!$B$2:$B$61,INT((ROW()-1)/2)+1),"")),86400)))</f>
        <v/>
      </c>
      <c r="E4" s="25" t="str">
        <f ca="1">IF(MOD(ROW(),2)=1,IF(B4="","",INDEX(XU_LY_LENH!$F$2:$F$61,INT((ROW()-1)/2))),IF(B4="","",INDEX(XU_LY_LENH!$D$2:$D$61,INT((ROW()-1)/2))))</f>
        <v/>
      </c>
      <c r="F4" s="25" t="str">
        <f ca="1">IF(MOD(ROW(),2)=1,IF(B4="","",IF(INDEX(XU_LY_LENH!$G$2:$G$61,INT((ROW()-1)/2))="HOLD",E4,IF(D4&gt;=INDEX(XU_LY_LENH!$I$2:$I$61,INT((ROW()-1)/2)),INDEX(XU_LY_LENH!$D$2:$D$61,INT((ROW()-1)/2)),INDEX(XU_LY_LENH!$F$2:$F$61,INT((ROW()-1)/2))+(INDEX(XU_LY_LENH!$D$2:$D$61,INT((ROW()-1)/2))-INDEX(XU_LY_LENH!$F$2:$F$61,INT((ROW()-1)/2)))*(D4-INDEX(XU_LY_LENH!$B$2:$B$61,INT((ROW()-1)/2)))/MAX(INDEX(XU_LY_LENH!$I$2:$I$61,INT((ROW()-1)/2))-INDEX(XU_LY_LENH!$B$2:$B$61,INT((ROW()-1)/2)),0.000001)))),IF(B4="","",INDEX(XU_LY_LENH!$D$2:$D$61,INT((ROW()-1)/2))))</f>
        <v/>
      </c>
      <c r="G4" s="25" t="str">
        <f t="shared" ca="1" si="1"/>
        <v/>
      </c>
      <c r="H4" s="6" t="str">
        <f t="shared" ca="1" si="2"/>
        <v/>
      </c>
    </row>
    <row r="5" spans="1:8">
      <c r="A5" s="5">
        <f t="shared" si="0"/>
        <v>4</v>
      </c>
      <c r="B5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5" s="25" t="str">
        <f ca="1">IF(MOD(ROW(),2)=1,IF(B5="","",INDEX(XU_LY_LENH!$B$2:$B$61,INT((ROW()-1)/2))),IF(B5="","",INDEX(XU_LY_LENH!$I$2:$I$61,INT((ROW()-1)/2))))</f>
        <v/>
      </c>
      <c r="D5" s="25" t="str">
        <f ca="1">IF(MOD(ROW(),2)=1,IF(B5="","",IF(INDEX(XU_LY_LENH!$G$2:$G$61,INT((ROW()-1)/2))="HOLD",C5,MIN(INDEX(XU_LY_LENH!$I$2:$I$61,INT((ROW()-1)/2)),IF(IFERROR(INDEX(XU_LY_LENH!$C$2:$C$61,INT((ROW()-1)/2)+1),"")="",86400,IFERROR(INDEX(XU_LY_LENH!$B$2:$B$61,INT((ROW()-1)/2)+1),"")),86400))),IF(B5="","",MIN(IF(IFERROR(INDEX(XU_LY_LENH!$C$2:$C$61,INT((ROW()-1)/2)+1),"")="",86400,IFERROR(INDEX(XU_LY_LENH!$B$2:$B$61,INT((ROW()-1)/2)+1),"")),86400)))</f>
        <v/>
      </c>
      <c r="E5" s="25" t="str">
        <f ca="1">IF(MOD(ROW(),2)=1,IF(B5="","",INDEX(XU_LY_LENH!$F$2:$F$61,INT((ROW()-1)/2))),IF(B5="","",INDEX(XU_LY_LENH!$D$2:$D$61,INT((ROW()-1)/2))))</f>
        <v/>
      </c>
      <c r="F5" s="25" t="str">
        <f ca="1">IF(MOD(ROW(),2)=1,IF(B5="","",IF(INDEX(XU_LY_LENH!$G$2:$G$61,INT((ROW()-1)/2))="HOLD",E5,IF(D5&gt;=INDEX(XU_LY_LENH!$I$2:$I$61,INT((ROW()-1)/2)),INDEX(XU_LY_LENH!$D$2:$D$61,INT((ROW()-1)/2)),INDEX(XU_LY_LENH!$F$2:$F$61,INT((ROW()-1)/2))+(INDEX(XU_LY_LENH!$D$2:$D$61,INT((ROW()-1)/2))-INDEX(XU_LY_LENH!$F$2:$F$61,INT((ROW()-1)/2)))*(D5-INDEX(XU_LY_LENH!$B$2:$B$61,INT((ROW()-1)/2)))/MAX(INDEX(XU_LY_LENH!$I$2:$I$61,INT((ROW()-1)/2))-INDEX(XU_LY_LENH!$B$2:$B$61,INT((ROW()-1)/2)),0.000001)))),IF(B5="","",INDEX(XU_LY_LENH!$D$2:$D$61,INT((ROW()-1)/2))))</f>
        <v/>
      </c>
      <c r="G5" s="25" t="str">
        <f t="shared" ca="1" si="1"/>
        <v/>
      </c>
      <c r="H5" s="6" t="str">
        <f t="shared" ca="1" si="2"/>
        <v/>
      </c>
    </row>
    <row r="6" spans="1:8">
      <c r="A6" s="5">
        <f t="shared" si="0"/>
        <v>5</v>
      </c>
      <c r="B6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6" s="25" t="str">
        <f ca="1">IF(MOD(ROW(),2)=1,IF(B6="","",INDEX(XU_LY_LENH!$B$2:$B$61,INT((ROW()-1)/2))),IF(B6="","",INDEX(XU_LY_LENH!$I$2:$I$61,INT((ROW()-1)/2))))</f>
        <v/>
      </c>
      <c r="D6" s="25" t="str">
        <f ca="1">IF(MOD(ROW(),2)=1,IF(B6="","",IF(INDEX(XU_LY_LENH!$G$2:$G$61,INT((ROW()-1)/2))="HOLD",C6,MIN(INDEX(XU_LY_LENH!$I$2:$I$61,INT((ROW()-1)/2)),IF(IFERROR(INDEX(XU_LY_LENH!$C$2:$C$61,INT((ROW()-1)/2)+1),"")="",86400,IFERROR(INDEX(XU_LY_LENH!$B$2:$B$61,INT((ROW()-1)/2)+1),"")),86400))),IF(B6="","",MIN(IF(IFERROR(INDEX(XU_LY_LENH!$C$2:$C$61,INT((ROW()-1)/2)+1),"")="",86400,IFERROR(INDEX(XU_LY_LENH!$B$2:$B$61,INT((ROW()-1)/2)+1),"")),86400)))</f>
        <v/>
      </c>
      <c r="E6" s="25" t="str">
        <f ca="1">IF(MOD(ROW(),2)=1,IF(B6="","",INDEX(XU_LY_LENH!$F$2:$F$61,INT((ROW()-1)/2))),IF(B6="","",INDEX(XU_LY_LENH!$D$2:$D$61,INT((ROW()-1)/2))))</f>
        <v/>
      </c>
      <c r="F6" s="25" t="str">
        <f ca="1">IF(MOD(ROW(),2)=1,IF(B6="","",IF(INDEX(XU_LY_LENH!$G$2:$G$61,INT((ROW()-1)/2))="HOLD",E6,IF(D6&gt;=INDEX(XU_LY_LENH!$I$2:$I$61,INT((ROW()-1)/2)),INDEX(XU_LY_LENH!$D$2:$D$61,INT((ROW()-1)/2)),INDEX(XU_LY_LENH!$F$2:$F$61,INT((ROW()-1)/2))+(INDEX(XU_LY_LENH!$D$2:$D$61,INT((ROW()-1)/2))-INDEX(XU_LY_LENH!$F$2:$F$61,INT((ROW()-1)/2)))*(D6-INDEX(XU_LY_LENH!$B$2:$B$61,INT((ROW()-1)/2)))/MAX(INDEX(XU_LY_LENH!$I$2:$I$61,INT((ROW()-1)/2))-INDEX(XU_LY_LENH!$B$2:$B$61,INT((ROW()-1)/2)),0.000001)))),IF(B6="","",INDEX(XU_LY_LENH!$D$2:$D$61,INT((ROW()-1)/2))))</f>
        <v/>
      </c>
      <c r="G6" s="25" t="str">
        <f t="shared" ca="1" si="1"/>
        <v/>
      </c>
      <c r="H6" s="6" t="str">
        <f t="shared" ca="1" si="2"/>
        <v/>
      </c>
    </row>
    <row r="7" spans="1:8">
      <c r="A7" s="5">
        <f t="shared" si="0"/>
        <v>6</v>
      </c>
      <c r="B7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7" s="25" t="str">
        <f ca="1">IF(MOD(ROW(),2)=1,IF(B7="","",INDEX(XU_LY_LENH!$B$2:$B$61,INT((ROW()-1)/2))),IF(B7="","",INDEX(XU_LY_LENH!$I$2:$I$61,INT((ROW()-1)/2))))</f>
        <v/>
      </c>
      <c r="D7" s="25" t="str">
        <f ca="1">IF(MOD(ROW(),2)=1,IF(B7="","",IF(INDEX(XU_LY_LENH!$G$2:$G$61,INT((ROW()-1)/2))="HOLD",C7,MIN(INDEX(XU_LY_LENH!$I$2:$I$61,INT((ROW()-1)/2)),IF(IFERROR(INDEX(XU_LY_LENH!$C$2:$C$61,INT((ROW()-1)/2)+1),"")="",86400,IFERROR(INDEX(XU_LY_LENH!$B$2:$B$61,INT((ROW()-1)/2)+1),"")),86400))),IF(B7="","",MIN(IF(IFERROR(INDEX(XU_LY_LENH!$C$2:$C$61,INT((ROW()-1)/2)+1),"")="",86400,IFERROR(INDEX(XU_LY_LENH!$B$2:$B$61,INT((ROW()-1)/2)+1),"")),86400)))</f>
        <v/>
      </c>
      <c r="E7" s="25" t="str">
        <f ca="1">IF(MOD(ROW(),2)=1,IF(B7="","",INDEX(XU_LY_LENH!$F$2:$F$61,INT((ROW()-1)/2))),IF(B7="","",INDEX(XU_LY_LENH!$D$2:$D$61,INT((ROW()-1)/2))))</f>
        <v/>
      </c>
      <c r="F7" s="25" t="str">
        <f ca="1">IF(MOD(ROW(),2)=1,IF(B7="","",IF(INDEX(XU_LY_LENH!$G$2:$G$61,INT((ROW()-1)/2))="HOLD",E7,IF(D7&gt;=INDEX(XU_LY_LENH!$I$2:$I$61,INT((ROW()-1)/2)),INDEX(XU_LY_LENH!$D$2:$D$61,INT((ROW()-1)/2)),INDEX(XU_LY_LENH!$F$2:$F$61,INT((ROW()-1)/2))+(INDEX(XU_LY_LENH!$D$2:$D$61,INT((ROW()-1)/2))-INDEX(XU_LY_LENH!$F$2:$F$61,INT((ROW()-1)/2)))*(D7-INDEX(XU_LY_LENH!$B$2:$B$61,INT((ROW()-1)/2)))/MAX(INDEX(XU_LY_LENH!$I$2:$I$61,INT((ROW()-1)/2))-INDEX(XU_LY_LENH!$B$2:$B$61,INT((ROW()-1)/2)),0.000001)))),IF(B7="","",INDEX(XU_LY_LENH!$D$2:$D$61,INT((ROW()-1)/2))))</f>
        <v/>
      </c>
      <c r="G7" s="25" t="str">
        <f t="shared" ca="1" si="1"/>
        <v/>
      </c>
      <c r="H7" s="6" t="str">
        <f t="shared" ca="1" si="2"/>
        <v/>
      </c>
    </row>
    <row r="8" spans="1:8">
      <c r="A8" s="5">
        <f t="shared" si="0"/>
        <v>7</v>
      </c>
      <c r="B8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8" s="25" t="str">
        <f ca="1">IF(MOD(ROW(),2)=1,IF(B8="","",INDEX(XU_LY_LENH!$B$2:$B$61,INT((ROW()-1)/2))),IF(B8="","",INDEX(XU_LY_LENH!$I$2:$I$61,INT((ROW()-1)/2))))</f>
        <v/>
      </c>
      <c r="D8" s="25" t="str">
        <f ca="1">IF(MOD(ROW(),2)=1,IF(B8="","",IF(INDEX(XU_LY_LENH!$G$2:$G$61,INT((ROW()-1)/2))="HOLD",C8,MIN(INDEX(XU_LY_LENH!$I$2:$I$61,INT((ROW()-1)/2)),IF(IFERROR(INDEX(XU_LY_LENH!$C$2:$C$61,INT((ROW()-1)/2)+1),"")="",86400,IFERROR(INDEX(XU_LY_LENH!$B$2:$B$61,INT((ROW()-1)/2)+1),"")),86400))),IF(B8="","",MIN(IF(IFERROR(INDEX(XU_LY_LENH!$C$2:$C$61,INT((ROW()-1)/2)+1),"")="",86400,IFERROR(INDEX(XU_LY_LENH!$B$2:$B$61,INT((ROW()-1)/2)+1),"")),86400)))</f>
        <v/>
      </c>
      <c r="E8" s="25" t="str">
        <f ca="1">IF(MOD(ROW(),2)=1,IF(B8="","",INDEX(XU_LY_LENH!$F$2:$F$61,INT((ROW()-1)/2))),IF(B8="","",INDEX(XU_LY_LENH!$D$2:$D$61,INT((ROW()-1)/2))))</f>
        <v/>
      </c>
      <c r="F8" s="25" t="str">
        <f ca="1">IF(MOD(ROW(),2)=1,IF(B8="","",IF(INDEX(XU_LY_LENH!$G$2:$G$61,INT((ROW()-1)/2))="HOLD",E8,IF(D8&gt;=INDEX(XU_LY_LENH!$I$2:$I$61,INT((ROW()-1)/2)),INDEX(XU_LY_LENH!$D$2:$D$61,INT((ROW()-1)/2)),INDEX(XU_LY_LENH!$F$2:$F$61,INT((ROW()-1)/2))+(INDEX(XU_LY_LENH!$D$2:$D$61,INT((ROW()-1)/2))-INDEX(XU_LY_LENH!$F$2:$F$61,INT((ROW()-1)/2)))*(D8-INDEX(XU_LY_LENH!$B$2:$B$61,INT((ROW()-1)/2)))/MAX(INDEX(XU_LY_LENH!$I$2:$I$61,INT((ROW()-1)/2))-INDEX(XU_LY_LENH!$B$2:$B$61,INT((ROW()-1)/2)),0.000001)))),IF(B8="","",INDEX(XU_LY_LENH!$D$2:$D$61,INT((ROW()-1)/2))))</f>
        <v/>
      </c>
      <c r="G8" s="25" t="str">
        <f t="shared" ca="1" si="1"/>
        <v/>
      </c>
      <c r="H8" s="6" t="str">
        <f t="shared" ca="1" si="2"/>
        <v/>
      </c>
    </row>
    <row r="9" spans="1:8">
      <c r="A9" s="5">
        <f t="shared" si="0"/>
        <v>8</v>
      </c>
      <c r="B9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9" s="25" t="str">
        <f ca="1">IF(MOD(ROW(),2)=1,IF(B9="","",INDEX(XU_LY_LENH!$B$2:$B$61,INT((ROW()-1)/2))),IF(B9="","",INDEX(XU_LY_LENH!$I$2:$I$61,INT((ROW()-1)/2))))</f>
        <v/>
      </c>
      <c r="D9" s="25" t="str">
        <f ca="1">IF(MOD(ROW(),2)=1,IF(B9="","",IF(INDEX(XU_LY_LENH!$G$2:$G$61,INT((ROW()-1)/2))="HOLD",C9,MIN(INDEX(XU_LY_LENH!$I$2:$I$61,INT((ROW()-1)/2)),IF(IFERROR(INDEX(XU_LY_LENH!$C$2:$C$61,INT((ROW()-1)/2)+1),"")="",86400,IFERROR(INDEX(XU_LY_LENH!$B$2:$B$61,INT((ROW()-1)/2)+1),"")),86400))),IF(B9="","",MIN(IF(IFERROR(INDEX(XU_LY_LENH!$C$2:$C$61,INT((ROW()-1)/2)+1),"")="",86400,IFERROR(INDEX(XU_LY_LENH!$B$2:$B$61,INT((ROW()-1)/2)+1),"")),86400)))</f>
        <v/>
      </c>
      <c r="E9" s="25" t="str">
        <f ca="1">IF(MOD(ROW(),2)=1,IF(B9="","",INDEX(XU_LY_LENH!$F$2:$F$61,INT((ROW()-1)/2))),IF(B9="","",INDEX(XU_LY_LENH!$D$2:$D$61,INT((ROW()-1)/2))))</f>
        <v/>
      </c>
      <c r="F9" s="25" t="str">
        <f ca="1">IF(MOD(ROW(),2)=1,IF(B9="","",IF(INDEX(XU_LY_LENH!$G$2:$G$61,INT((ROW()-1)/2))="HOLD",E9,IF(D9&gt;=INDEX(XU_LY_LENH!$I$2:$I$61,INT((ROW()-1)/2)),INDEX(XU_LY_LENH!$D$2:$D$61,INT((ROW()-1)/2)),INDEX(XU_LY_LENH!$F$2:$F$61,INT((ROW()-1)/2))+(INDEX(XU_LY_LENH!$D$2:$D$61,INT((ROW()-1)/2))-INDEX(XU_LY_LENH!$F$2:$F$61,INT((ROW()-1)/2)))*(D9-INDEX(XU_LY_LENH!$B$2:$B$61,INT((ROW()-1)/2)))/MAX(INDEX(XU_LY_LENH!$I$2:$I$61,INT((ROW()-1)/2))-INDEX(XU_LY_LENH!$B$2:$B$61,INT((ROW()-1)/2)),0.000001)))),IF(B9="","",INDEX(XU_LY_LENH!$D$2:$D$61,INT((ROW()-1)/2))))</f>
        <v/>
      </c>
      <c r="G9" s="25" t="str">
        <f t="shared" ca="1" si="1"/>
        <v/>
      </c>
      <c r="H9" s="6" t="str">
        <f t="shared" ca="1" si="2"/>
        <v/>
      </c>
    </row>
    <row r="10" spans="1:8">
      <c r="A10" s="5">
        <f t="shared" si="0"/>
        <v>9</v>
      </c>
      <c r="B10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0" s="25" t="str">
        <f ca="1">IF(MOD(ROW(),2)=1,IF(B10="","",INDEX(XU_LY_LENH!$B$2:$B$61,INT((ROW()-1)/2))),IF(B10="","",INDEX(XU_LY_LENH!$I$2:$I$61,INT((ROW()-1)/2))))</f>
        <v/>
      </c>
      <c r="D10" s="25" t="str">
        <f ca="1">IF(MOD(ROW(),2)=1,IF(B10="","",IF(INDEX(XU_LY_LENH!$G$2:$G$61,INT((ROW()-1)/2))="HOLD",C10,MIN(INDEX(XU_LY_LENH!$I$2:$I$61,INT((ROW()-1)/2)),IF(IFERROR(INDEX(XU_LY_LENH!$C$2:$C$61,INT((ROW()-1)/2)+1),"")="",86400,IFERROR(INDEX(XU_LY_LENH!$B$2:$B$61,INT((ROW()-1)/2)+1),"")),86400))),IF(B10="","",MIN(IF(IFERROR(INDEX(XU_LY_LENH!$C$2:$C$61,INT((ROW()-1)/2)+1),"")="",86400,IFERROR(INDEX(XU_LY_LENH!$B$2:$B$61,INT((ROW()-1)/2)+1),"")),86400)))</f>
        <v/>
      </c>
      <c r="E10" s="25" t="str">
        <f ca="1">IF(MOD(ROW(),2)=1,IF(B10="","",INDEX(XU_LY_LENH!$F$2:$F$61,INT((ROW()-1)/2))),IF(B10="","",INDEX(XU_LY_LENH!$D$2:$D$61,INT((ROW()-1)/2))))</f>
        <v/>
      </c>
      <c r="F10" s="25" t="str">
        <f ca="1">IF(MOD(ROW(),2)=1,IF(B10="","",IF(INDEX(XU_LY_LENH!$G$2:$G$61,INT((ROW()-1)/2))="HOLD",E10,IF(D10&gt;=INDEX(XU_LY_LENH!$I$2:$I$61,INT((ROW()-1)/2)),INDEX(XU_LY_LENH!$D$2:$D$61,INT((ROW()-1)/2)),INDEX(XU_LY_LENH!$F$2:$F$61,INT((ROW()-1)/2))+(INDEX(XU_LY_LENH!$D$2:$D$61,INT((ROW()-1)/2))-INDEX(XU_LY_LENH!$F$2:$F$61,INT((ROW()-1)/2)))*(D10-INDEX(XU_LY_LENH!$B$2:$B$61,INT((ROW()-1)/2)))/MAX(INDEX(XU_LY_LENH!$I$2:$I$61,INT((ROW()-1)/2))-INDEX(XU_LY_LENH!$B$2:$B$61,INT((ROW()-1)/2)),0.000001)))),IF(B10="","",INDEX(XU_LY_LENH!$D$2:$D$61,INT((ROW()-1)/2))))</f>
        <v/>
      </c>
      <c r="G10" s="25" t="str">
        <f t="shared" ca="1" si="1"/>
        <v/>
      </c>
      <c r="H10" s="6" t="str">
        <f t="shared" ca="1" si="2"/>
        <v/>
      </c>
    </row>
    <row r="11" spans="1:8">
      <c r="A11" s="5">
        <f t="shared" si="0"/>
        <v>10</v>
      </c>
      <c r="B11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1" s="25" t="str">
        <f ca="1">IF(MOD(ROW(),2)=1,IF(B11="","",INDEX(XU_LY_LENH!$B$2:$B$61,INT((ROW()-1)/2))),IF(B11="","",INDEX(XU_LY_LENH!$I$2:$I$61,INT((ROW()-1)/2))))</f>
        <v/>
      </c>
      <c r="D11" s="25" t="str">
        <f ca="1">IF(MOD(ROW(),2)=1,IF(B11="","",IF(INDEX(XU_LY_LENH!$G$2:$G$61,INT((ROW()-1)/2))="HOLD",C11,MIN(INDEX(XU_LY_LENH!$I$2:$I$61,INT((ROW()-1)/2)),IF(IFERROR(INDEX(XU_LY_LENH!$C$2:$C$61,INT((ROW()-1)/2)+1),"")="",86400,IFERROR(INDEX(XU_LY_LENH!$B$2:$B$61,INT((ROW()-1)/2)+1),"")),86400))),IF(B11="","",MIN(IF(IFERROR(INDEX(XU_LY_LENH!$C$2:$C$61,INT((ROW()-1)/2)+1),"")="",86400,IFERROR(INDEX(XU_LY_LENH!$B$2:$B$61,INT((ROW()-1)/2)+1),"")),86400)))</f>
        <v/>
      </c>
      <c r="E11" s="25" t="str">
        <f ca="1">IF(MOD(ROW(),2)=1,IF(B11="","",INDEX(XU_LY_LENH!$F$2:$F$61,INT((ROW()-1)/2))),IF(B11="","",INDEX(XU_LY_LENH!$D$2:$D$61,INT((ROW()-1)/2))))</f>
        <v/>
      </c>
      <c r="F11" s="25" t="str">
        <f ca="1">IF(MOD(ROW(),2)=1,IF(B11="","",IF(INDEX(XU_LY_LENH!$G$2:$G$61,INT((ROW()-1)/2))="HOLD",E11,IF(D11&gt;=INDEX(XU_LY_LENH!$I$2:$I$61,INT((ROW()-1)/2)),INDEX(XU_LY_LENH!$D$2:$D$61,INT((ROW()-1)/2)),INDEX(XU_LY_LENH!$F$2:$F$61,INT((ROW()-1)/2))+(INDEX(XU_LY_LENH!$D$2:$D$61,INT((ROW()-1)/2))-INDEX(XU_LY_LENH!$F$2:$F$61,INT((ROW()-1)/2)))*(D11-INDEX(XU_LY_LENH!$B$2:$B$61,INT((ROW()-1)/2)))/MAX(INDEX(XU_LY_LENH!$I$2:$I$61,INT((ROW()-1)/2))-INDEX(XU_LY_LENH!$B$2:$B$61,INT((ROW()-1)/2)),0.000001)))),IF(B11="","",INDEX(XU_LY_LENH!$D$2:$D$61,INT((ROW()-1)/2))))</f>
        <v/>
      </c>
      <c r="G11" s="25" t="str">
        <f t="shared" ca="1" si="1"/>
        <v/>
      </c>
      <c r="H11" s="6" t="str">
        <f t="shared" ca="1" si="2"/>
        <v/>
      </c>
    </row>
    <row r="12" spans="1:8">
      <c r="A12" s="5">
        <f t="shared" si="0"/>
        <v>11</v>
      </c>
      <c r="B12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2" s="25" t="str">
        <f ca="1">IF(MOD(ROW(),2)=1,IF(B12="","",INDEX(XU_LY_LENH!$B$2:$B$61,INT((ROW()-1)/2))),IF(B12="","",INDEX(XU_LY_LENH!$I$2:$I$61,INT((ROW()-1)/2))))</f>
        <v/>
      </c>
      <c r="D12" s="25" t="str">
        <f ca="1">IF(MOD(ROW(),2)=1,IF(B12="","",IF(INDEX(XU_LY_LENH!$G$2:$G$61,INT((ROW()-1)/2))="HOLD",C12,MIN(INDEX(XU_LY_LENH!$I$2:$I$61,INT((ROW()-1)/2)),IF(IFERROR(INDEX(XU_LY_LENH!$C$2:$C$61,INT((ROW()-1)/2)+1),"")="",86400,IFERROR(INDEX(XU_LY_LENH!$B$2:$B$61,INT((ROW()-1)/2)+1),"")),86400))),IF(B12="","",MIN(IF(IFERROR(INDEX(XU_LY_LENH!$C$2:$C$61,INT((ROW()-1)/2)+1),"")="",86400,IFERROR(INDEX(XU_LY_LENH!$B$2:$B$61,INT((ROW()-1)/2)+1),"")),86400)))</f>
        <v/>
      </c>
      <c r="E12" s="25" t="str">
        <f ca="1">IF(MOD(ROW(),2)=1,IF(B12="","",INDEX(XU_LY_LENH!$F$2:$F$61,INT((ROW()-1)/2))),IF(B12="","",INDEX(XU_LY_LENH!$D$2:$D$61,INT((ROW()-1)/2))))</f>
        <v/>
      </c>
      <c r="F12" s="25" t="str">
        <f ca="1">IF(MOD(ROW(),2)=1,IF(B12="","",IF(INDEX(XU_LY_LENH!$G$2:$G$61,INT((ROW()-1)/2))="HOLD",E12,IF(D12&gt;=INDEX(XU_LY_LENH!$I$2:$I$61,INT((ROW()-1)/2)),INDEX(XU_LY_LENH!$D$2:$D$61,INT((ROW()-1)/2)),INDEX(XU_LY_LENH!$F$2:$F$61,INT((ROW()-1)/2))+(INDEX(XU_LY_LENH!$D$2:$D$61,INT((ROW()-1)/2))-INDEX(XU_LY_LENH!$F$2:$F$61,INT((ROW()-1)/2)))*(D12-INDEX(XU_LY_LENH!$B$2:$B$61,INT((ROW()-1)/2)))/MAX(INDEX(XU_LY_LENH!$I$2:$I$61,INT((ROW()-1)/2))-INDEX(XU_LY_LENH!$B$2:$B$61,INT((ROW()-1)/2)),0.000001)))),IF(B12="","",INDEX(XU_LY_LENH!$D$2:$D$61,INT((ROW()-1)/2))))</f>
        <v/>
      </c>
      <c r="G12" s="25" t="str">
        <f t="shared" ca="1" si="1"/>
        <v/>
      </c>
      <c r="H12" s="6" t="str">
        <f t="shared" ca="1" si="2"/>
        <v/>
      </c>
    </row>
    <row r="13" spans="1:8">
      <c r="A13" s="5">
        <f t="shared" si="0"/>
        <v>12</v>
      </c>
      <c r="B13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3" s="25" t="str">
        <f ca="1">IF(MOD(ROW(),2)=1,IF(B13="","",INDEX(XU_LY_LENH!$B$2:$B$61,INT((ROW()-1)/2))),IF(B13="","",INDEX(XU_LY_LENH!$I$2:$I$61,INT((ROW()-1)/2))))</f>
        <v/>
      </c>
      <c r="D13" s="25" t="str">
        <f ca="1">IF(MOD(ROW(),2)=1,IF(B13="","",IF(INDEX(XU_LY_LENH!$G$2:$G$61,INT((ROW()-1)/2))="HOLD",C13,MIN(INDEX(XU_LY_LENH!$I$2:$I$61,INT((ROW()-1)/2)),IF(IFERROR(INDEX(XU_LY_LENH!$C$2:$C$61,INT((ROW()-1)/2)+1),"")="",86400,IFERROR(INDEX(XU_LY_LENH!$B$2:$B$61,INT((ROW()-1)/2)+1),"")),86400))),IF(B13="","",MIN(IF(IFERROR(INDEX(XU_LY_LENH!$C$2:$C$61,INT((ROW()-1)/2)+1),"")="",86400,IFERROR(INDEX(XU_LY_LENH!$B$2:$B$61,INT((ROW()-1)/2)+1),"")),86400)))</f>
        <v/>
      </c>
      <c r="E13" s="25" t="str">
        <f ca="1">IF(MOD(ROW(),2)=1,IF(B13="","",INDEX(XU_LY_LENH!$F$2:$F$61,INT((ROW()-1)/2))),IF(B13="","",INDEX(XU_LY_LENH!$D$2:$D$61,INT((ROW()-1)/2))))</f>
        <v/>
      </c>
      <c r="F13" s="25" t="str">
        <f ca="1">IF(MOD(ROW(),2)=1,IF(B13="","",IF(INDEX(XU_LY_LENH!$G$2:$G$61,INT((ROW()-1)/2))="HOLD",E13,IF(D13&gt;=INDEX(XU_LY_LENH!$I$2:$I$61,INT((ROW()-1)/2)),INDEX(XU_LY_LENH!$D$2:$D$61,INT((ROW()-1)/2)),INDEX(XU_LY_LENH!$F$2:$F$61,INT((ROW()-1)/2))+(INDEX(XU_LY_LENH!$D$2:$D$61,INT((ROW()-1)/2))-INDEX(XU_LY_LENH!$F$2:$F$61,INT((ROW()-1)/2)))*(D13-INDEX(XU_LY_LENH!$B$2:$B$61,INT((ROW()-1)/2)))/MAX(INDEX(XU_LY_LENH!$I$2:$I$61,INT((ROW()-1)/2))-INDEX(XU_LY_LENH!$B$2:$B$61,INT((ROW()-1)/2)),0.000001)))),IF(B13="","",INDEX(XU_LY_LENH!$D$2:$D$61,INT((ROW()-1)/2))))</f>
        <v/>
      </c>
      <c r="G13" s="25" t="str">
        <f t="shared" ca="1" si="1"/>
        <v/>
      </c>
      <c r="H13" s="6" t="str">
        <f t="shared" ca="1" si="2"/>
        <v/>
      </c>
    </row>
    <row r="14" spans="1:8">
      <c r="A14" s="5">
        <f t="shared" si="0"/>
        <v>13</v>
      </c>
      <c r="B14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4" s="25" t="str">
        <f ca="1">IF(MOD(ROW(),2)=1,IF(B14="","",INDEX(XU_LY_LENH!$B$2:$B$61,INT((ROW()-1)/2))),IF(B14="","",INDEX(XU_LY_LENH!$I$2:$I$61,INT((ROW()-1)/2))))</f>
        <v/>
      </c>
      <c r="D14" s="25" t="str">
        <f ca="1">IF(MOD(ROW(),2)=1,IF(B14="","",IF(INDEX(XU_LY_LENH!$G$2:$G$61,INT((ROW()-1)/2))="HOLD",C14,MIN(INDEX(XU_LY_LENH!$I$2:$I$61,INT((ROW()-1)/2)),IF(IFERROR(INDEX(XU_LY_LENH!$C$2:$C$61,INT((ROW()-1)/2)+1),"")="",86400,IFERROR(INDEX(XU_LY_LENH!$B$2:$B$61,INT((ROW()-1)/2)+1),"")),86400))),IF(B14="","",MIN(IF(IFERROR(INDEX(XU_LY_LENH!$C$2:$C$61,INT((ROW()-1)/2)+1),"")="",86400,IFERROR(INDEX(XU_LY_LENH!$B$2:$B$61,INT((ROW()-1)/2)+1),"")),86400)))</f>
        <v/>
      </c>
      <c r="E14" s="25" t="str">
        <f ca="1">IF(MOD(ROW(),2)=1,IF(B14="","",INDEX(XU_LY_LENH!$F$2:$F$61,INT((ROW()-1)/2))),IF(B14="","",INDEX(XU_LY_LENH!$D$2:$D$61,INT((ROW()-1)/2))))</f>
        <v/>
      </c>
      <c r="F14" s="25" t="str">
        <f ca="1">IF(MOD(ROW(),2)=1,IF(B14="","",IF(INDEX(XU_LY_LENH!$G$2:$G$61,INT((ROW()-1)/2))="HOLD",E14,IF(D14&gt;=INDEX(XU_LY_LENH!$I$2:$I$61,INT((ROW()-1)/2)),INDEX(XU_LY_LENH!$D$2:$D$61,INT((ROW()-1)/2)),INDEX(XU_LY_LENH!$F$2:$F$61,INT((ROW()-1)/2))+(INDEX(XU_LY_LENH!$D$2:$D$61,INT((ROW()-1)/2))-INDEX(XU_LY_LENH!$F$2:$F$61,INT((ROW()-1)/2)))*(D14-INDEX(XU_LY_LENH!$B$2:$B$61,INT((ROW()-1)/2)))/MAX(INDEX(XU_LY_LENH!$I$2:$I$61,INT((ROW()-1)/2))-INDEX(XU_LY_LENH!$B$2:$B$61,INT((ROW()-1)/2)),0.000001)))),IF(B14="","",INDEX(XU_LY_LENH!$D$2:$D$61,INT((ROW()-1)/2))))</f>
        <v/>
      </c>
      <c r="G14" s="25" t="str">
        <f t="shared" ca="1" si="1"/>
        <v/>
      </c>
      <c r="H14" s="6" t="str">
        <f t="shared" ca="1" si="2"/>
        <v/>
      </c>
    </row>
    <row r="15" spans="1:8">
      <c r="A15" s="5">
        <f t="shared" si="0"/>
        <v>14</v>
      </c>
      <c r="B15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5" s="25" t="str">
        <f ca="1">IF(MOD(ROW(),2)=1,IF(B15="","",INDEX(XU_LY_LENH!$B$2:$B$61,INT((ROW()-1)/2))),IF(B15="","",INDEX(XU_LY_LENH!$I$2:$I$61,INT((ROW()-1)/2))))</f>
        <v/>
      </c>
      <c r="D15" s="25" t="str">
        <f ca="1">IF(MOD(ROW(),2)=1,IF(B15="","",IF(INDEX(XU_LY_LENH!$G$2:$G$61,INT((ROW()-1)/2))="HOLD",C15,MIN(INDEX(XU_LY_LENH!$I$2:$I$61,INT((ROW()-1)/2)),IF(IFERROR(INDEX(XU_LY_LENH!$C$2:$C$61,INT((ROW()-1)/2)+1),"")="",86400,IFERROR(INDEX(XU_LY_LENH!$B$2:$B$61,INT((ROW()-1)/2)+1),"")),86400))),IF(B15="","",MIN(IF(IFERROR(INDEX(XU_LY_LENH!$C$2:$C$61,INT((ROW()-1)/2)+1),"")="",86400,IFERROR(INDEX(XU_LY_LENH!$B$2:$B$61,INT((ROW()-1)/2)+1),"")),86400)))</f>
        <v/>
      </c>
      <c r="E15" s="25" t="str">
        <f ca="1">IF(MOD(ROW(),2)=1,IF(B15="","",INDEX(XU_LY_LENH!$F$2:$F$61,INT((ROW()-1)/2))),IF(B15="","",INDEX(XU_LY_LENH!$D$2:$D$61,INT((ROW()-1)/2))))</f>
        <v/>
      </c>
      <c r="F15" s="25" t="str">
        <f ca="1">IF(MOD(ROW(),2)=1,IF(B15="","",IF(INDEX(XU_LY_LENH!$G$2:$G$61,INT((ROW()-1)/2))="HOLD",E15,IF(D15&gt;=INDEX(XU_LY_LENH!$I$2:$I$61,INT((ROW()-1)/2)),INDEX(XU_LY_LENH!$D$2:$D$61,INT((ROW()-1)/2)),INDEX(XU_LY_LENH!$F$2:$F$61,INT((ROW()-1)/2))+(INDEX(XU_LY_LENH!$D$2:$D$61,INT((ROW()-1)/2))-INDEX(XU_LY_LENH!$F$2:$F$61,INT((ROW()-1)/2)))*(D15-INDEX(XU_LY_LENH!$B$2:$B$61,INT((ROW()-1)/2)))/MAX(INDEX(XU_LY_LENH!$I$2:$I$61,INT((ROW()-1)/2))-INDEX(XU_LY_LENH!$B$2:$B$61,INT((ROW()-1)/2)),0.000001)))),IF(B15="","",INDEX(XU_LY_LENH!$D$2:$D$61,INT((ROW()-1)/2))))</f>
        <v/>
      </c>
      <c r="G15" s="25" t="str">
        <f t="shared" ca="1" si="1"/>
        <v/>
      </c>
      <c r="H15" s="6" t="str">
        <f t="shared" ca="1" si="2"/>
        <v/>
      </c>
    </row>
    <row r="16" spans="1:8">
      <c r="A16" s="5">
        <f t="shared" si="0"/>
        <v>15</v>
      </c>
      <c r="B16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6" s="25" t="str">
        <f ca="1">IF(MOD(ROW(),2)=1,IF(B16="","",INDEX(XU_LY_LENH!$B$2:$B$61,INT((ROW()-1)/2))),IF(B16="","",INDEX(XU_LY_LENH!$I$2:$I$61,INT((ROW()-1)/2))))</f>
        <v/>
      </c>
      <c r="D16" s="25" t="str">
        <f ca="1">IF(MOD(ROW(),2)=1,IF(B16="","",IF(INDEX(XU_LY_LENH!$G$2:$G$61,INT((ROW()-1)/2))="HOLD",C16,MIN(INDEX(XU_LY_LENH!$I$2:$I$61,INT((ROW()-1)/2)),IF(IFERROR(INDEX(XU_LY_LENH!$C$2:$C$61,INT((ROW()-1)/2)+1),"")="",86400,IFERROR(INDEX(XU_LY_LENH!$B$2:$B$61,INT((ROW()-1)/2)+1),"")),86400))),IF(B16="","",MIN(IF(IFERROR(INDEX(XU_LY_LENH!$C$2:$C$61,INT((ROW()-1)/2)+1),"")="",86400,IFERROR(INDEX(XU_LY_LENH!$B$2:$B$61,INT((ROW()-1)/2)+1),"")),86400)))</f>
        <v/>
      </c>
      <c r="E16" s="25" t="str">
        <f ca="1">IF(MOD(ROW(),2)=1,IF(B16="","",INDEX(XU_LY_LENH!$F$2:$F$61,INT((ROW()-1)/2))),IF(B16="","",INDEX(XU_LY_LENH!$D$2:$D$61,INT((ROW()-1)/2))))</f>
        <v/>
      </c>
      <c r="F16" s="25" t="str">
        <f ca="1">IF(MOD(ROW(),2)=1,IF(B16="","",IF(INDEX(XU_LY_LENH!$G$2:$G$61,INT((ROW()-1)/2))="HOLD",E16,IF(D16&gt;=INDEX(XU_LY_LENH!$I$2:$I$61,INT((ROW()-1)/2)),INDEX(XU_LY_LENH!$D$2:$D$61,INT((ROW()-1)/2)),INDEX(XU_LY_LENH!$F$2:$F$61,INT((ROW()-1)/2))+(INDEX(XU_LY_LENH!$D$2:$D$61,INT((ROW()-1)/2))-INDEX(XU_LY_LENH!$F$2:$F$61,INT((ROW()-1)/2)))*(D16-INDEX(XU_LY_LENH!$B$2:$B$61,INT((ROW()-1)/2)))/MAX(INDEX(XU_LY_LENH!$I$2:$I$61,INT((ROW()-1)/2))-INDEX(XU_LY_LENH!$B$2:$B$61,INT((ROW()-1)/2)),0.000001)))),IF(B16="","",INDEX(XU_LY_LENH!$D$2:$D$61,INT((ROW()-1)/2))))</f>
        <v/>
      </c>
      <c r="G16" s="25" t="str">
        <f t="shared" ca="1" si="1"/>
        <v/>
      </c>
      <c r="H16" s="6" t="str">
        <f t="shared" ca="1" si="2"/>
        <v/>
      </c>
    </row>
    <row r="17" spans="1:8">
      <c r="A17" s="5">
        <f t="shared" si="0"/>
        <v>16</v>
      </c>
      <c r="B17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7" s="25" t="str">
        <f ca="1">IF(MOD(ROW(),2)=1,IF(B17="","",INDEX(XU_LY_LENH!$B$2:$B$61,INT((ROW()-1)/2))),IF(B17="","",INDEX(XU_LY_LENH!$I$2:$I$61,INT((ROW()-1)/2))))</f>
        <v/>
      </c>
      <c r="D17" s="25" t="str">
        <f ca="1">IF(MOD(ROW(),2)=1,IF(B17="","",IF(INDEX(XU_LY_LENH!$G$2:$G$61,INT((ROW()-1)/2))="HOLD",C17,MIN(INDEX(XU_LY_LENH!$I$2:$I$61,INT((ROW()-1)/2)),IF(IFERROR(INDEX(XU_LY_LENH!$C$2:$C$61,INT((ROW()-1)/2)+1),"")="",86400,IFERROR(INDEX(XU_LY_LENH!$B$2:$B$61,INT((ROW()-1)/2)+1),"")),86400))),IF(B17="","",MIN(IF(IFERROR(INDEX(XU_LY_LENH!$C$2:$C$61,INT((ROW()-1)/2)+1),"")="",86400,IFERROR(INDEX(XU_LY_LENH!$B$2:$B$61,INT((ROW()-1)/2)+1),"")),86400)))</f>
        <v/>
      </c>
      <c r="E17" s="25" t="str">
        <f ca="1">IF(MOD(ROW(),2)=1,IF(B17="","",INDEX(XU_LY_LENH!$F$2:$F$61,INT((ROW()-1)/2))),IF(B17="","",INDEX(XU_LY_LENH!$D$2:$D$61,INT((ROW()-1)/2))))</f>
        <v/>
      </c>
      <c r="F17" s="25" t="str">
        <f ca="1">IF(MOD(ROW(),2)=1,IF(B17="","",IF(INDEX(XU_LY_LENH!$G$2:$G$61,INT((ROW()-1)/2))="HOLD",E17,IF(D17&gt;=INDEX(XU_LY_LENH!$I$2:$I$61,INT((ROW()-1)/2)),INDEX(XU_LY_LENH!$D$2:$D$61,INT((ROW()-1)/2)),INDEX(XU_LY_LENH!$F$2:$F$61,INT((ROW()-1)/2))+(INDEX(XU_LY_LENH!$D$2:$D$61,INT((ROW()-1)/2))-INDEX(XU_LY_LENH!$F$2:$F$61,INT((ROW()-1)/2)))*(D17-INDEX(XU_LY_LENH!$B$2:$B$61,INT((ROW()-1)/2)))/MAX(INDEX(XU_LY_LENH!$I$2:$I$61,INT((ROW()-1)/2))-INDEX(XU_LY_LENH!$B$2:$B$61,INT((ROW()-1)/2)),0.000001)))),IF(B17="","",INDEX(XU_LY_LENH!$D$2:$D$61,INT((ROW()-1)/2))))</f>
        <v/>
      </c>
      <c r="G17" s="25" t="str">
        <f t="shared" ca="1" si="1"/>
        <v/>
      </c>
      <c r="H17" s="6" t="str">
        <f t="shared" ca="1" si="2"/>
        <v/>
      </c>
    </row>
    <row r="18" spans="1:8">
      <c r="A18" s="5">
        <f t="shared" si="0"/>
        <v>17</v>
      </c>
      <c r="B18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8" s="25" t="str">
        <f ca="1">IF(MOD(ROW(),2)=1,IF(B18="","",INDEX(XU_LY_LENH!$B$2:$B$61,INT((ROW()-1)/2))),IF(B18="","",INDEX(XU_LY_LENH!$I$2:$I$61,INT((ROW()-1)/2))))</f>
        <v/>
      </c>
      <c r="D18" s="25" t="str">
        <f ca="1">IF(MOD(ROW(),2)=1,IF(B18="","",IF(INDEX(XU_LY_LENH!$G$2:$G$61,INT((ROW()-1)/2))="HOLD",C18,MIN(INDEX(XU_LY_LENH!$I$2:$I$61,INT((ROW()-1)/2)),IF(IFERROR(INDEX(XU_LY_LENH!$C$2:$C$61,INT((ROW()-1)/2)+1),"")="",86400,IFERROR(INDEX(XU_LY_LENH!$B$2:$B$61,INT((ROW()-1)/2)+1),"")),86400))),IF(B18="","",MIN(IF(IFERROR(INDEX(XU_LY_LENH!$C$2:$C$61,INT((ROW()-1)/2)+1),"")="",86400,IFERROR(INDEX(XU_LY_LENH!$B$2:$B$61,INT((ROW()-1)/2)+1),"")),86400)))</f>
        <v/>
      </c>
      <c r="E18" s="25" t="str">
        <f ca="1">IF(MOD(ROW(),2)=1,IF(B18="","",INDEX(XU_LY_LENH!$F$2:$F$61,INT((ROW()-1)/2))),IF(B18="","",INDEX(XU_LY_LENH!$D$2:$D$61,INT((ROW()-1)/2))))</f>
        <v/>
      </c>
      <c r="F18" s="25" t="str">
        <f ca="1">IF(MOD(ROW(),2)=1,IF(B18="","",IF(INDEX(XU_LY_LENH!$G$2:$G$61,INT((ROW()-1)/2))="HOLD",E18,IF(D18&gt;=INDEX(XU_LY_LENH!$I$2:$I$61,INT((ROW()-1)/2)),INDEX(XU_LY_LENH!$D$2:$D$61,INT((ROW()-1)/2)),INDEX(XU_LY_LENH!$F$2:$F$61,INT((ROW()-1)/2))+(INDEX(XU_LY_LENH!$D$2:$D$61,INT((ROW()-1)/2))-INDEX(XU_LY_LENH!$F$2:$F$61,INT((ROW()-1)/2)))*(D18-INDEX(XU_LY_LENH!$B$2:$B$61,INT((ROW()-1)/2)))/MAX(INDEX(XU_LY_LENH!$I$2:$I$61,INT((ROW()-1)/2))-INDEX(XU_LY_LENH!$B$2:$B$61,INT((ROW()-1)/2)),0.000001)))),IF(B18="","",INDEX(XU_LY_LENH!$D$2:$D$61,INT((ROW()-1)/2))))</f>
        <v/>
      </c>
      <c r="G18" s="25" t="str">
        <f t="shared" ca="1" si="1"/>
        <v/>
      </c>
      <c r="H18" s="6" t="str">
        <f t="shared" ca="1" si="2"/>
        <v/>
      </c>
    </row>
    <row r="19" spans="1:8">
      <c r="A19" s="5">
        <f t="shared" si="0"/>
        <v>18</v>
      </c>
      <c r="B19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9" s="25" t="str">
        <f ca="1">IF(MOD(ROW(),2)=1,IF(B19="","",INDEX(XU_LY_LENH!$B$2:$B$61,INT((ROW()-1)/2))),IF(B19="","",INDEX(XU_LY_LENH!$I$2:$I$61,INT((ROW()-1)/2))))</f>
        <v/>
      </c>
      <c r="D19" s="25" t="str">
        <f ca="1">IF(MOD(ROW(),2)=1,IF(B19="","",IF(INDEX(XU_LY_LENH!$G$2:$G$61,INT((ROW()-1)/2))="HOLD",C19,MIN(INDEX(XU_LY_LENH!$I$2:$I$61,INT((ROW()-1)/2)),IF(IFERROR(INDEX(XU_LY_LENH!$C$2:$C$61,INT((ROW()-1)/2)+1),"")="",86400,IFERROR(INDEX(XU_LY_LENH!$B$2:$B$61,INT((ROW()-1)/2)+1),"")),86400))),IF(B19="","",MIN(IF(IFERROR(INDEX(XU_LY_LENH!$C$2:$C$61,INT((ROW()-1)/2)+1),"")="",86400,IFERROR(INDEX(XU_LY_LENH!$B$2:$B$61,INT((ROW()-1)/2)+1),"")),86400)))</f>
        <v/>
      </c>
      <c r="E19" s="25" t="str">
        <f ca="1">IF(MOD(ROW(),2)=1,IF(B19="","",INDEX(XU_LY_LENH!$F$2:$F$61,INT((ROW()-1)/2))),IF(B19="","",INDEX(XU_LY_LENH!$D$2:$D$61,INT((ROW()-1)/2))))</f>
        <v/>
      </c>
      <c r="F19" s="25" t="str">
        <f ca="1">IF(MOD(ROW(),2)=1,IF(B19="","",IF(INDEX(XU_LY_LENH!$G$2:$G$61,INT((ROW()-1)/2))="HOLD",E19,IF(D19&gt;=INDEX(XU_LY_LENH!$I$2:$I$61,INT((ROW()-1)/2)),INDEX(XU_LY_LENH!$D$2:$D$61,INT((ROW()-1)/2)),INDEX(XU_LY_LENH!$F$2:$F$61,INT((ROW()-1)/2))+(INDEX(XU_LY_LENH!$D$2:$D$61,INT((ROW()-1)/2))-INDEX(XU_LY_LENH!$F$2:$F$61,INT((ROW()-1)/2)))*(D19-INDEX(XU_LY_LENH!$B$2:$B$61,INT((ROW()-1)/2)))/MAX(INDEX(XU_LY_LENH!$I$2:$I$61,INT((ROW()-1)/2))-INDEX(XU_LY_LENH!$B$2:$B$61,INT((ROW()-1)/2)),0.000001)))),IF(B19="","",INDEX(XU_LY_LENH!$D$2:$D$61,INT((ROW()-1)/2))))</f>
        <v/>
      </c>
      <c r="G19" s="25" t="str">
        <f t="shared" ca="1" si="1"/>
        <v/>
      </c>
      <c r="H19" s="6" t="str">
        <f t="shared" ca="1" si="2"/>
        <v/>
      </c>
    </row>
    <row r="20" spans="1:8">
      <c r="A20" s="5">
        <f t="shared" si="0"/>
        <v>19</v>
      </c>
      <c r="B20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20" s="25" t="str">
        <f ca="1">IF(MOD(ROW(),2)=1,IF(B20="","",INDEX(XU_LY_LENH!$B$2:$B$61,INT((ROW()-1)/2))),IF(B20="","",INDEX(XU_LY_LENH!$I$2:$I$61,INT((ROW()-1)/2))))</f>
        <v/>
      </c>
      <c r="D20" s="25" t="str">
        <f ca="1">IF(MOD(ROW(),2)=1,IF(B20="","",IF(INDEX(XU_LY_LENH!$G$2:$G$61,INT((ROW()-1)/2))="HOLD",C20,MIN(INDEX(XU_LY_LENH!$I$2:$I$61,INT((ROW()-1)/2)),IF(IFERROR(INDEX(XU_LY_LENH!$C$2:$C$61,INT((ROW()-1)/2)+1),"")="",86400,IFERROR(INDEX(XU_LY_LENH!$B$2:$B$61,INT((ROW()-1)/2)+1),"")),86400))),IF(B20="","",MIN(IF(IFERROR(INDEX(XU_LY_LENH!$C$2:$C$61,INT((ROW()-1)/2)+1),"")="",86400,IFERROR(INDEX(XU_LY_LENH!$B$2:$B$61,INT((ROW()-1)/2)+1),"")),86400)))</f>
        <v/>
      </c>
      <c r="E20" s="25" t="str">
        <f ca="1">IF(MOD(ROW(),2)=1,IF(B20="","",INDEX(XU_LY_LENH!$F$2:$F$61,INT((ROW()-1)/2))),IF(B20="","",INDEX(XU_LY_LENH!$D$2:$D$61,INT((ROW()-1)/2))))</f>
        <v/>
      </c>
      <c r="F20" s="25" t="str">
        <f ca="1">IF(MOD(ROW(),2)=1,IF(B20="","",IF(INDEX(XU_LY_LENH!$G$2:$G$61,INT((ROW()-1)/2))="HOLD",E20,IF(D20&gt;=INDEX(XU_LY_LENH!$I$2:$I$61,INT((ROW()-1)/2)),INDEX(XU_LY_LENH!$D$2:$D$61,INT((ROW()-1)/2)),INDEX(XU_LY_LENH!$F$2:$F$61,INT((ROW()-1)/2))+(INDEX(XU_LY_LENH!$D$2:$D$61,INT((ROW()-1)/2))-INDEX(XU_LY_LENH!$F$2:$F$61,INT((ROW()-1)/2)))*(D20-INDEX(XU_LY_LENH!$B$2:$B$61,INT((ROW()-1)/2)))/MAX(INDEX(XU_LY_LENH!$I$2:$I$61,INT((ROW()-1)/2))-INDEX(XU_LY_LENH!$B$2:$B$61,INT((ROW()-1)/2)),0.000001)))),IF(B20="","",INDEX(XU_LY_LENH!$D$2:$D$61,INT((ROW()-1)/2))))</f>
        <v/>
      </c>
      <c r="G20" s="25" t="str">
        <f t="shared" ca="1" si="1"/>
        <v/>
      </c>
      <c r="H20" s="6" t="str">
        <f t="shared" ca="1" si="2"/>
        <v/>
      </c>
    </row>
    <row r="21" spans="1:8">
      <c r="A21" s="5">
        <f t="shared" si="0"/>
        <v>20</v>
      </c>
      <c r="B21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21" s="25" t="str">
        <f ca="1">IF(MOD(ROW(),2)=1,IF(B21="","",INDEX(XU_LY_LENH!$B$2:$B$61,INT((ROW()-1)/2))),IF(B21="","",INDEX(XU_LY_LENH!$I$2:$I$61,INT((ROW()-1)/2))))</f>
        <v/>
      </c>
      <c r="D21" s="25" t="str">
        <f ca="1">IF(MOD(ROW(),2)=1,IF(B21="","",IF(INDEX(XU_LY_LENH!$G$2:$G$61,INT((ROW()-1)/2))="HOLD",C21,MIN(INDEX(XU_LY_LENH!$I$2:$I$61,INT((ROW()-1)/2)),IF(IFERROR(INDEX(XU_LY_LENH!$C$2:$C$61,INT((ROW()-1)/2)+1),"")="",86400,IFERROR(INDEX(XU_LY_LENH!$B$2:$B$61,INT((ROW()-1)/2)+1),"")),86400))),IF(B21="","",MIN(IF(IFERROR(INDEX(XU_LY_LENH!$C$2:$C$61,INT((ROW()-1)/2)+1),"")="",86400,IFERROR(INDEX(XU_LY_LENH!$B$2:$B$61,INT((ROW()-1)/2)+1),"")),86400)))</f>
        <v/>
      </c>
      <c r="E21" s="25" t="str">
        <f ca="1">IF(MOD(ROW(),2)=1,IF(B21="","",INDEX(XU_LY_LENH!$F$2:$F$61,INT((ROW()-1)/2))),IF(B21="","",INDEX(XU_LY_LENH!$D$2:$D$61,INT((ROW()-1)/2))))</f>
        <v/>
      </c>
      <c r="F21" s="25" t="str">
        <f ca="1">IF(MOD(ROW(),2)=1,IF(B21="","",IF(INDEX(XU_LY_LENH!$G$2:$G$61,INT((ROW()-1)/2))="HOLD",E21,IF(D21&gt;=INDEX(XU_LY_LENH!$I$2:$I$61,INT((ROW()-1)/2)),INDEX(XU_LY_LENH!$D$2:$D$61,INT((ROW()-1)/2)),INDEX(XU_LY_LENH!$F$2:$F$61,INT((ROW()-1)/2))+(INDEX(XU_LY_LENH!$D$2:$D$61,INT((ROW()-1)/2))-INDEX(XU_LY_LENH!$F$2:$F$61,INT((ROW()-1)/2)))*(D21-INDEX(XU_LY_LENH!$B$2:$B$61,INT((ROW()-1)/2)))/MAX(INDEX(XU_LY_LENH!$I$2:$I$61,INT((ROW()-1)/2))-INDEX(XU_LY_LENH!$B$2:$B$61,INT((ROW()-1)/2)),0.000001)))),IF(B21="","",INDEX(XU_LY_LENH!$D$2:$D$61,INT((ROW()-1)/2))))</f>
        <v/>
      </c>
      <c r="G21" s="25" t="str">
        <f t="shared" ca="1" si="1"/>
        <v/>
      </c>
      <c r="H21" s="6" t="str">
        <f t="shared" ca="1" si="2"/>
        <v/>
      </c>
    </row>
    <row r="22" spans="1:8">
      <c r="A22" s="5">
        <f t="shared" si="0"/>
        <v>21</v>
      </c>
      <c r="B22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22" s="25" t="str">
        <f ca="1">IF(MOD(ROW(),2)=1,IF(B22="","",INDEX(XU_LY_LENH!$B$2:$B$61,INT((ROW()-1)/2))),IF(B22="","",INDEX(XU_LY_LENH!$I$2:$I$61,INT((ROW()-1)/2))))</f>
        <v/>
      </c>
      <c r="D22" s="25" t="str">
        <f ca="1">IF(MOD(ROW(),2)=1,IF(B22="","",IF(INDEX(XU_LY_LENH!$G$2:$G$61,INT((ROW()-1)/2))="HOLD",C22,MIN(INDEX(XU_LY_LENH!$I$2:$I$61,INT((ROW()-1)/2)),IF(IFERROR(INDEX(XU_LY_LENH!$C$2:$C$61,INT((ROW()-1)/2)+1),"")="",86400,IFERROR(INDEX(XU_LY_LENH!$B$2:$B$61,INT((ROW()-1)/2)+1),"")),86400))),IF(B22="","",MIN(IF(IFERROR(INDEX(XU_LY_LENH!$C$2:$C$61,INT((ROW()-1)/2)+1),"")="",86400,IFERROR(INDEX(XU_LY_LENH!$B$2:$B$61,INT((ROW()-1)/2)+1),"")),86400)))</f>
        <v/>
      </c>
      <c r="E22" s="25" t="str">
        <f ca="1">IF(MOD(ROW(),2)=1,IF(B22="","",INDEX(XU_LY_LENH!$F$2:$F$61,INT((ROW()-1)/2))),IF(B22="","",INDEX(XU_LY_LENH!$D$2:$D$61,INT((ROW()-1)/2))))</f>
        <v/>
      </c>
      <c r="F22" s="25" t="str">
        <f ca="1">IF(MOD(ROW(),2)=1,IF(B22="","",IF(INDEX(XU_LY_LENH!$G$2:$G$61,INT((ROW()-1)/2))="HOLD",E22,IF(D22&gt;=INDEX(XU_LY_LENH!$I$2:$I$61,INT((ROW()-1)/2)),INDEX(XU_LY_LENH!$D$2:$D$61,INT((ROW()-1)/2)),INDEX(XU_LY_LENH!$F$2:$F$61,INT((ROW()-1)/2))+(INDEX(XU_LY_LENH!$D$2:$D$61,INT((ROW()-1)/2))-INDEX(XU_LY_LENH!$F$2:$F$61,INT((ROW()-1)/2)))*(D22-INDEX(XU_LY_LENH!$B$2:$B$61,INT((ROW()-1)/2)))/MAX(INDEX(XU_LY_LENH!$I$2:$I$61,INT((ROW()-1)/2))-INDEX(XU_LY_LENH!$B$2:$B$61,INT((ROW()-1)/2)),0.000001)))),IF(B22="","",INDEX(XU_LY_LENH!$D$2:$D$61,INT((ROW()-1)/2))))</f>
        <v/>
      </c>
      <c r="G22" s="25" t="str">
        <f t="shared" ca="1" si="1"/>
        <v/>
      </c>
      <c r="H22" s="6" t="str">
        <f t="shared" ca="1" si="2"/>
        <v/>
      </c>
    </row>
    <row r="23" spans="1:8">
      <c r="A23" s="5">
        <f t="shared" si="0"/>
        <v>22</v>
      </c>
      <c r="B23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23" s="25" t="str">
        <f ca="1">IF(MOD(ROW(),2)=1,IF(B23="","",INDEX(XU_LY_LENH!$B$2:$B$61,INT((ROW()-1)/2))),IF(B23="","",INDEX(XU_LY_LENH!$I$2:$I$61,INT((ROW()-1)/2))))</f>
        <v/>
      </c>
      <c r="D23" s="25" t="str">
        <f ca="1">IF(MOD(ROW(),2)=1,IF(B23="","",IF(INDEX(XU_LY_LENH!$G$2:$G$61,INT((ROW()-1)/2))="HOLD",C23,MIN(INDEX(XU_LY_LENH!$I$2:$I$61,INT((ROW()-1)/2)),IF(IFERROR(INDEX(XU_LY_LENH!$C$2:$C$61,INT((ROW()-1)/2)+1),"")="",86400,IFERROR(INDEX(XU_LY_LENH!$B$2:$B$61,INT((ROW()-1)/2)+1),"")),86400))),IF(B23="","",MIN(IF(IFERROR(INDEX(XU_LY_LENH!$C$2:$C$61,INT((ROW()-1)/2)+1),"")="",86400,IFERROR(INDEX(XU_LY_LENH!$B$2:$B$61,INT((ROW()-1)/2)+1),"")),86400)))</f>
        <v/>
      </c>
      <c r="E23" s="25" t="str">
        <f ca="1">IF(MOD(ROW(),2)=1,IF(B23="","",INDEX(XU_LY_LENH!$F$2:$F$61,INT((ROW()-1)/2))),IF(B23="","",INDEX(XU_LY_LENH!$D$2:$D$61,INT((ROW()-1)/2))))</f>
        <v/>
      </c>
      <c r="F23" s="25" t="str">
        <f ca="1">IF(MOD(ROW(),2)=1,IF(B23="","",IF(INDEX(XU_LY_LENH!$G$2:$G$61,INT((ROW()-1)/2))="HOLD",E23,IF(D23&gt;=INDEX(XU_LY_LENH!$I$2:$I$61,INT((ROW()-1)/2)),INDEX(XU_LY_LENH!$D$2:$D$61,INT((ROW()-1)/2)),INDEX(XU_LY_LENH!$F$2:$F$61,INT((ROW()-1)/2))+(INDEX(XU_LY_LENH!$D$2:$D$61,INT((ROW()-1)/2))-INDEX(XU_LY_LENH!$F$2:$F$61,INT((ROW()-1)/2)))*(D23-INDEX(XU_LY_LENH!$B$2:$B$61,INT((ROW()-1)/2)))/MAX(INDEX(XU_LY_LENH!$I$2:$I$61,INT((ROW()-1)/2))-INDEX(XU_LY_LENH!$B$2:$B$61,INT((ROW()-1)/2)),0.000001)))),IF(B23="","",INDEX(XU_LY_LENH!$D$2:$D$61,INT((ROW()-1)/2))))</f>
        <v/>
      </c>
      <c r="G23" s="25" t="str">
        <f t="shared" ca="1" si="1"/>
        <v/>
      </c>
      <c r="H23" s="6" t="str">
        <f t="shared" ca="1" si="2"/>
        <v/>
      </c>
    </row>
    <row r="24" spans="1:8">
      <c r="A24" s="5">
        <f t="shared" si="0"/>
        <v>23</v>
      </c>
      <c r="B24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24" s="25" t="str">
        <f ca="1">IF(MOD(ROW(),2)=1,IF(B24="","",INDEX(XU_LY_LENH!$B$2:$B$61,INT((ROW()-1)/2))),IF(B24="","",INDEX(XU_LY_LENH!$I$2:$I$61,INT((ROW()-1)/2))))</f>
        <v/>
      </c>
      <c r="D24" s="25" t="str">
        <f ca="1">IF(MOD(ROW(),2)=1,IF(B24="","",IF(INDEX(XU_LY_LENH!$G$2:$G$61,INT((ROW()-1)/2))="HOLD",C24,MIN(INDEX(XU_LY_LENH!$I$2:$I$61,INT((ROW()-1)/2)),IF(IFERROR(INDEX(XU_LY_LENH!$C$2:$C$61,INT((ROW()-1)/2)+1),"")="",86400,IFERROR(INDEX(XU_LY_LENH!$B$2:$B$61,INT((ROW()-1)/2)+1),"")),86400))),IF(B24="","",MIN(IF(IFERROR(INDEX(XU_LY_LENH!$C$2:$C$61,INT((ROW()-1)/2)+1),"")="",86400,IFERROR(INDEX(XU_LY_LENH!$B$2:$B$61,INT((ROW()-1)/2)+1),"")),86400)))</f>
        <v/>
      </c>
      <c r="E24" s="25" t="str">
        <f ca="1">IF(MOD(ROW(),2)=1,IF(B24="","",INDEX(XU_LY_LENH!$F$2:$F$61,INT((ROW()-1)/2))),IF(B24="","",INDEX(XU_LY_LENH!$D$2:$D$61,INT((ROW()-1)/2))))</f>
        <v/>
      </c>
      <c r="F24" s="25" t="str">
        <f ca="1">IF(MOD(ROW(),2)=1,IF(B24="","",IF(INDEX(XU_LY_LENH!$G$2:$G$61,INT((ROW()-1)/2))="HOLD",E24,IF(D24&gt;=INDEX(XU_LY_LENH!$I$2:$I$61,INT((ROW()-1)/2)),INDEX(XU_LY_LENH!$D$2:$D$61,INT((ROW()-1)/2)),INDEX(XU_LY_LENH!$F$2:$F$61,INT((ROW()-1)/2))+(INDEX(XU_LY_LENH!$D$2:$D$61,INT((ROW()-1)/2))-INDEX(XU_LY_LENH!$F$2:$F$61,INT((ROW()-1)/2)))*(D24-INDEX(XU_LY_LENH!$B$2:$B$61,INT((ROW()-1)/2)))/MAX(INDEX(XU_LY_LENH!$I$2:$I$61,INT((ROW()-1)/2))-INDEX(XU_LY_LENH!$B$2:$B$61,INT((ROW()-1)/2)),0.000001)))),IF(B24="","",INDEX(XU_LY_LENH!$D$2:$D$61,INT((ROW()-1)/2))))</f>
        <v/>
      </c>
      <c r="G24" s="25" t="str">
        <f t="shared" ca="1" si="1"/>
        <v/>
      </c>
      <c r="H24" s="6" t="str">
        <f t="shared" ca="1" si="2"/>
        <v/>
      </c>
    </row>
    <row r="25" spans="1:8">
      <c r="A25" s="5">
        <f t="shared" si="0"/>
        <v>24</v>
      </c>
      <c r="B25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25" s="25" t="str">
        <f ca="1">IF(MOD(ROW(),2)=1,IF(B25="","",INDEX(XU_LY_LENH!$B$2:$B$61,INT((ROW()-1)/2))),IF(B25="","",INDEX(XU_LY_LENH!$I$2:$I$61,INT((ROW()-1)/2))))</f>
        <v/>
      </c>
      <c r="D25" s="25" t="str">
        <f ca="1">IF(MOD(ROW(),2)=1,IF(B25="","",IF(INDEX(XU_LY_LENH!$G$2:$G$61,INT((ROW()-1)/2))="HOLD",C25,MIN(INDEX(XU_LY_LENH!$I$2:$I$61,INT((ROW()-1)/2)),IF(IFERROR(INDEX(XU_LY_LENH!$C$2:$C$61,INT((ROW()-1)/2)+1),"")="",86400,IFERROR(INDEX(XU_LY_LENH!$B$2:$B$61,INT((ROW()-1)/2)+1),"")),86400))),IF(B25="","",MIN(IF(IFERROR(INDEX(XU_LY_LENH!$C$2:$C$61,INT((ROW()-1)/2)+1),"")="",86400,IFERROR(INDEX(XU_LY_LENH!$B$2:$B$61,INT((ROW()-1)/2)+1),"")),86400)))</f>
        <v/>
      </c>
      <c r="E25" s="25" t="str">
        <f ca="1">IF(MOD(ROW(),2)=1,IF(B25="","",INDEX(XU_LY_LENH!$F$2:$F$61,INT((ROW()-1)/2))),IF(B25="","",INDEX(XU_LY_LENH!$D$2:$D$61,INT((ROW()-1)/2))))</f>
        <v/>
      </c>
      <c r="F25" s="25" t="str">
        <f ca="1">IF(MOD(ROW(),2)=1,IF(B25="","",IF(INDEX(XU_LY_LENH!$G$2:$G$61,INT((ROW()-1)/2))="HOLD",E25,IF(D25&gt;=INDEX(XU_LY_LENH!$I$2:$I$61,INT((ROW()-1)/2)),INDEX(XU_LY_LENH!$D$2:$D$61,INT((ROW()-1)/2)),INDEX(XU_LY_LENH!$F$2:$F$61,INT((ROW()-1)/2))+(INDEX(XU_LY_LENH!$D$2:$D$61,INT((ROW()-1)/2))-INDEX(XU_LY_LENH!$F$2:$F$61,INT((ROW()-1)/2)))*(D25-INDEX(XU_LY_LENH!$B$2:$B$61,INT((ROW()-1)/2)))/MAX(INDEX(XU_LY_LENH!$I$2:$I$61,INT((ROW()-1)/2))-INDEX(XU_LY_LENH!$B$2:$B$61,INT((ROW()-1)/2)),0.000001)))),IF(B25="","",INDEX(XU_LY_LENH!$D$2:$D$61,INT((ROW()-1)/2))))</f>
        <v/>
      </c>
      <c r="G25" s="25" t="str">
        <f t="shared" ca="1" si="1"/>
        <v/>
      </c>
      <c r="H25" s="6" t="str">
        <f t="shared" ca="1" si="2"/>
        <v/>
      </c>
    </row>
    <row r="26" spans="1:8">
      <c r="A26" s="5">
        <f t="shared" si="0"/>
        <v>25</v>
      </c>
      <c r="B26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26" s="25" t="str">
        <f ca="1">IF(MOD(ROW(),2)=1,IF(B26="","",INDEX(XU_LY_LENH!$B$2:$B$61,INT((ROW()-1)/2))),IF(B26="","",INDEX(XU_LY_LENH!$I$2:$I$61,INT((ROW()-1)/2))))</f>
        <v/>
      </c>
      <c r="D26" s="25" t="str">
        <f ca="1">IF(MOD(ROW(),2)=1,IF(B26="","",IF(INDEX(XU_LY_LENH!$G$2:$G$61,INT((ROW()-1)/2))="HOLD",C26,MIN(INDEX(XU_LY_LENH!$I$2:$I$61,INT((ROW()-1)/2)),IF(IFERROR(INDEX(XU_LY_LENH!$C$2:$C$61,INT((ROW()-1)/2)+1),"")="",86400,IFERROR(INDEX(XU_LY_LENH!$B$2:$B$61,INT((ROW()-1)/2)+1),"")),86400))),IF(B26="","",MIN(IF(IFERROR(INDEX(XU_LY_LENH!$C$2:$C$61,INT((ROW()-1)/2)+1),"")="",86400,IFERROR(INDEX(XU_LY_LENH!$B$2:$B$61,INT((ROW()-1)/2)+1),"")),86400)))</f>
        <v/>
      </c>
      <c r="E26" s="25" t="str">
        <f ca="1">IF(MOD(ROW(),2)=1,IF(B26="","",INDEX(XU_LY_LENH!$F$2:$F$61,INT((ROW()-1)/2))),IF(B26="","",INDEX(XU_LY_LENH!$D$2:$D$61,INT((ROW()-1)/2))))</f>
        <v/>
      </c>
      <c r="F26" s="25" t="str">
        <f ca="1">IF(MOD(ROW(),2)=1,IF(B26="","",IF(INDEX(XU_LY_LENH!$G$2:$G$61,INT((ROW()-1)/2))="HOLD",E26,IF(D26&gt;=INDEX(XU_LY_LENH!$I$2:$I$61,INT((ROW()-1)/2)),INDEX(XU_LY_LENH!$D$2:$D$61,INT((ROW()-1)/2)),INDEX(XU_LY_LENH!$F$2:$F$61,INT((ROW()-1)/2))+(INDEX(XU_LY_LENH!$D$2:$D$61,INT((ROW()-1)/2))-INDEX(XU_LY_LENH!$F$2:$F$61,INT((ROW()-1)/2)))*(D26-INDEX(XU_LY_LENH!$B$2:$B$61,INT((ROW()-1)/2)))/MAX(INDEX(XU_LY_LENH!$I$2:$I$61,INT((ROW()-1)/2))-INDEX(XU_LY_LENH!$B$2:$B$61,INT((ROW()-1)/2)),0.000001)))),IF(B26="","",INDEX(XU_LY_LENH!$D$2:$D$61,INT((ROW()-1)/2))))</f>
        <v/>
      </c>
      <c r="G26" s="25" t="str">
        <f t="shared" ca="1" si="1"/>
        <v/>
      </c>
      <c r="H26" s="6" t="str">
        <f t="shared" ca="1" si="2"/>
        <v/>
      </c>
    </row>
    <row r="27" spans="1:8">
      <c r="A27" s="5">
        <f t="shared" si="0"/>
        <v>26</v>
      </c>
      <c r="B27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27" s="25" t="str">
        <f ca="1">IF(MOD(ROW(),2)=1,IF(B27="","",INDEX(XU_LY_LENH!$B$2:$B$61,INT((ROW()-1)/2))),IF(B27="","",INDEX(XU_LY_LENH!$I$2:$I$61,INT((ROW()-1)/2))))</f>
        <v/>
      </c>
      <c r="D27" s="25" t="str">
        <f ca="1">IF(MOD(ROW(),2)=1,IF(B27="","",IF(INDEX(XU_LY_LENH!$G$2:$G$61,INT((ROW()-1)/2))="HOLD",C27,MIN(INDEX(XU_LY_LENH!$I$2:$I$61,INT((ROW()-1)/2)),IF(IFERROR(INDEX(XU_LY_LENH!$C$2:$C$61,INT((ROW()-1)/2)+1),"")="",86400,IFERROR(INDEX(XU_LY_LENH!$B$2:$B$61,INT((ROW()-1)/2)+1),"")),86400))),IF(B27="","",MIN(IF(IFERROR(INDEX(XU_LY_LENH!$C$2:$C$61,INT((ROW()-1)/2)+1),"")="",86400,IFERROR(INDEX(XU_LY_LENH!$B$2:$B$61,INT((ROW()-1)/2)+1),"")),86400)))</f>
        <v/>
      </c>
      <c r="E27" s="25" t="str">
        <f ca="1">IF(MOD(ROW(),2)=1,IF(B27="","",INDEX(XU_LY_LENH!$F$2:$F$61,INT((ROW()-1)/2))),IF(B27="","",INDEX(XU_LY_LENH!$D$2:$D$61,INT((ROW()-1)/2))))</f>
        <v/>
      </c>
      <c r="F27" s="25" t="str">
        <f ca="1">IF(MOD(ROW(),2)=1,IF(B27="","",IF(INDEX(XU_LY_LENH!$G$2:$G$61,INT((ROW()-1)/2))="HOLD",E27,IF(D27&gt;=INDEX(XU_LY_LENH!$I$2:$I$61,INT((ROW()-1)/2)),INDEX(XU_LY_LENH!$D$2:$D$61,INT((ROW()-1)/2)),INDEX(XU_LY_LENH!$F$2:$F$61,INT((ROW()-1)/2))+(INDEX(XU_LY_LENH!$D$2:$D$61,INT((ROW()-1)/2))-INDEX(XU_LY_LENH!$F$2:$F$61,INT((ROW()-1)/2)))*(D27-INDEX(XU_LY_LENH!$B$2:$B$61,INT((ROW()-1)/2)))/MAX(INDEX(XU_LY_LENH!$I$2:$I$61,INT((ROW()-1)/2))-INDEX(XU_LY_LENH!$B$2:$B$61,INT((ROW()-1)/2)),0.000001)))),IF(B27="","",INDEX(XU_LY_LENH!$D$2:$D$61,INT((ROW()-1)/2))))</f>
        <v/>
      </c>
      <c r="G27" s="25" t="str">
        <f t="shared" ca="1" si="1"/>
        <v/>
      </c>
      <c r="H27" s="6" t="str">
        <f t="shared" ca="1" si="2"/>
        <v/>
      </c>
    </row>
    <row r="28" spans="1:8">
      <c r="A28" s="5">
        <f t="shared" si="0"/>
        <v>27</v>
      </c>
      <c r="B28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28" s="25" t="str">
        <f ca="1">IF(MOD(ROW(),2)=1,IF(B28="","",INDEX(XU_LY_LENH!$B$2:$B$61,INT((ROW()-1)/2))),IF(B28="","",INDEX(XU_LY_LENH!$I$2:$I$61,INT((ROW()-1)/2))))</f>
        <v/>
      </c>
      <c r="D28" s="25" t="str">
        <f ca="1">IF(MOD(ROW(),2)=1,IF(B28="","",IF(INDEX(XU_LY_LENH!$G$2:$G$61,INT((ROW()-1)/2))="HOLD",C28,MIN(INDEX(XU_LY_LENH!$I$2:$I$61,INT((ROW()-1)/2)),IF(IFERROR(INDEX(XU_LY_LENH!$C$2:$C$61,INT((ROW()-1)/2)+1),"")="",86400,IFERROR(INDEX(XU_LY_LENH!$B$2:$B$61,INT((ROW()-1)/2)+1),"")),86400))),IF(B28="","",MIN(IF(IFERROR(INDEX(XU_LY_LENH!$C$2:$C$61,INT((ROW()-1)/2)+1),"")="",86400,IFERROR(INDEX(XU_LY_LENH!$B$2:$B$61,INT((ROW()-1)/2)+1),"")),86400)))</f>
        <v/>
      </c>
      <c r="E28" s="25" t="str">
        <f ca="1">IF(MOD(ROW(),2)=1,IF(B28="","",INDEX(XU_LY_LENH!$F$2:$F$61,INT((ROW()-1)/2))),IF(B28="","",INDEX(XU_LY_LENH!$D$2:$D$61,INT((ROW()-1)/2))))</f>
        <v/>
      </c>
      <c r="F28" s="25" t="str">
        <f ca="1">IF(MOD(ROW(),2)=1,IF(B28="","",IF(INDEX(XU_LY_LENH!$G$2:$G$61,INT((ROW()-1)/2))="HOLD",E28,IF(D28&gt;=INDEX(XU_LY_LENH!$I$2:$I$61,INT((ROW()-1)/2)),INDEX(XU_LY_LENH!$D$2:$D$61,INT((ROW()-1)/2)),INDEX(XU_LY_LENH!$F$2:$F$61,INT((ROW()-1)/2))+(INDEX(XU_LY_LENH!$D$2:$D$61,INT((ROW()-1)/2))-INDEX(XU_LY_LENH!$F$2:$F$61,INT((ROW()-1)/2)))*(D28-INDEX(XU_LY_LENH!$B$2:$B$61,INT((ROW()-1)/2)))/MAX(INDEX(XU_LY_LENH!$I$2:$I$61,INT((ROW()-1)/2))-INDEX(XU_LY_LENH!$B$2:$B$61,INT((ROW()-1)/2)),0.000001)))),IF(B28="","",INDEX(XU_LY_LENH!$D$2:$D$61,INT((ROW()-1)/2))))</f>
        <v/>
      </c>
      <c r="G28" s="25" t="str">
        <f t="shared" ca="1" si="1"/>
        <v/>
      </c>
      <c r="H28" s="6" t="str">
        <f t="shared" ca="1" si="2"/>
        <v/>
      </c>
    </row>
    <row r="29" spans="1:8">
      <c r="A29" s="5">
        <f t="shared" si="0"/>
        <v>28</v>
      </c>
      <c r="B29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29" s="25" t="str">
        <f ca="1">IF(MOD(ROW(),2)=1,IF(B29="","",INDEX(XU_LY_LENH!$B$2:$B$61,INT((ROW()-1)/2))),IF(B29="","",INDEX(XU_LY_LENH!$I$2:$I$61,INT((ROW()-1)/2))))</f>
        <v/>
      </c>
      <c r="D29" s="25" t="str">
        <f ca="1">IF(MOD(ROW(),2)=1,IF(B29="","",IF(INDEX(XU_LY_LENH!$G$2:$G$61,INT((ROW()-1)/2))="HOLD",C29,MIN(INDEX(XU_LY_LENH!$I$2:$I$61,INT((ROW()-1)/2)),IF(IFERROR(INDEX(XU_LY_LENH!$C$2:$C$61,INT((ROW()-1)/2)+1),"")="",86400,IFERROR(INDEX(XU_LY_LENH!$B$2:$B$61,INT((ROW()-1)/2)+1),"")),86400))),IF(B29="","",MIN(IF(IFERROR(INDEX(XU_LY_LENH!$C$2:$C$61,INT((ROW()-1)/2)+1),"")="",86400,IFERROR(INDEX(XU_LY_LENH!$B$2:$B$61,INT((ROW()-1)/2)+1),"")),86400)))</f>
        <v/>
      </c>
      <c r="E29" s="25" t="str">
        <f ca="1">IF(MOD(ROW(),2)=1,IF(B29="","",INDEX(XU_LY_LENH!$F$2:$F$61,INT((ROW()-1)/2))),IF(B29="","",INDEX(XU_LY_LENH!$D$2:$D$61,INT((ROW()-1)/2))))</f>
        <v/>
      </c>
      <c r="F29" s="25" t="str">
        <f ca="1">IF(MOD(ROW(),2)=1,IF(B29="","",IF(INDEX(XU_LY_LENH!$G$2:$G$61,INT((ROW()-1)/2))="HOLD",E29,IF(D29&gt;=INDEX(XU_LY_LENH!$I$2:$I$61,INT((ROW()-1)/2)),INDEX(XU_LY_LENH!$D$2:$D$61,INT((ROW()-1)/2)),INDEX(XU_LY_LENH!$F$2:$F$61,INT((ROW()-1)/2))+(INDEX(XU_LY_LENH!$D$2:$D$61,INT((ROW()-1)/2))-INDEX(XU_LY_LENH!$F$2:$F$61,INT((ROW()-1)/2)))*(D29-INDEX(XU_LY_LENH!$B$2:$B$61,INT((ROW()-1)/2)))/MAX(INDEX(XU_LY_LENH!$I$2:$I$61,INT((ROW()-1)/2))-INDEX(XU_LY_LENH!$B$2:$B$61,INT((ROW()-1)/2)),0.000001)))),IF(B29="","",INDEX(XU_LY_LENH!$D$2:$D$61,INT((ROW()-1)/2))))</f>
        <v/>
      </c>
      <c r="G29" s="25" t="str">
        <f t="shared" ca="1" si="1"/>
        <v/>
      </c>
      <c r="H29" s="6" t="str">
        <f t="shared" ca="1" si="2"/>
        <v/>
      </c>
    </row>
    <row r="30" spans="1:8">
      <c r="A30" s="5">
        <f t="shared" si="0"/>
        <v>29</v>
      </c>
      <c r="B30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30" s="25" t="str">
        <f ca="1">IF(MOD(ROW(),2)=1,IF(B30="","",INDEX(XU_LY_LENH!$B$2:$B$61,INT((ROW()-1)/2))),IF(B30="","",INDEX(XU_LY_LENH!$I$2:$I$61,INT((ROW()-1)/2))))</f>
        <v/>
      </c>
      <c r="D30" s="25" t="str">
        <f ca="1">IF(MOD(ROW(),2)=1,IF(B30="","",IF(INDEX(XU_LY_LENH!$G$2:$G$61,INT((ROW()-1)/2))="HOLD",C30,MIN(INDEX(XU_LY_LENH!$I$2:$I$61,INT((ROW()-1)/2)),IF(IFERROR(INDEX(XU_LY_LENH!$C$2:$C$61,INT((ROW()-1)/2)+1),"")="",86400,IFERROR(INDEX(XU_LY_LENH!$B$2:$B$61,INT((ROW()-1)/2)+1),"")),86400))),IF(B30="","",MIN(IF(IFERROR(INDEX(XU_LY_LENH!$C$2:$C$61,INT((ROW()-1)/2)+1),"")="",86400,IFERROR(INDEX(XU_LY_LENH!$B$2:$B$61,INT((ROW()-1)/2)+1),"")),86400)))</f>
        <v/>
      </c>
      <c r="E30" s="25" t="str">
        <f ca="1">IF(MOD(ROW(),2)=1,IF(B30="","",INDEX(XU_LY_LENH!$F$2:$F$61,INT((ROW()-1)/2))),IF(B30="","",INDEX(XU_LY_LENH!$D$2:$D$61,INT((ROW()-1)/2))))</f>
        <v/>
      </c>
      <c r="F30" s="25" t="str">
        <f ca="1">IF(MOD(ROW(),2)=1,IF(B30="","",IF(INDEX(XU_LY_LENH!$G$2:$G$61,INT((ROW()-1)/2))="HOLD",E30,IF(D30&gt;=INDEX(XU_LY_LENH!$I$2:$I$61,INT((ROW()-1)/2)),INDEX(XU_LY_LENH!$D$2:$D$61,INT((ROW()-1)/2)),INDEX(XU_LY_LENH!$F$2:$F$61,INT((ROW()-1)/2))+(INDEX(XU_LY_LENH!$D$2:$D$61,INT((ROW()-1)/2))-INDEX(XU_LY_LENH!$F$2:$F$61,INT((ROW()-1)/2)))*(D30-INDEX(XU_LY_LENH!$B$2:$B$61,INT((ROW()-1)/2)))/MAX(INDEX(XU_LY_LENH!$I$2:$I$61,INT((ROW()-1)/2))-INDEX(XU_LY_LENH!$B$2:$B$61,INT((ROW()-1)/2)),0.000001)))),IF(B30="","",INDEX(XU_LY_LENH!$D$2:$D$61,INT((ROW()-1)/2))))</f>
        <v/>
      </c>
      <c r="G30" s="25" t="str">
        <f t="shared" ca="1" si="1"/>
        <v/>
      </c>
      <c r="H30" s="6" t="str">
        <f t="shared" ca="1" si="2"/>
        <v/>
      </c>
    </row>
    <row r="31" spans="1:8">
      <c r="A31" s="5">
        <f t="shared" si="0"/>
        <v>30</v>
      </c>
      <c r="B31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31" s="25" t="str">
        <f ca="1">IF(MOD(ROW(),2)=1,IF(B31="","",INDEX(XU_LY_LENH!$B$2:$B$61,INT((ROW()-1)/2))),IF(B31="","",INDEX(XU_LY_LENH!$I$2:$I$61,INT((ROW()-1)/2))))</f>
        <v/>
      </c>
      <c r="D31" s="25" t="str">
        <f ca="1">IF(MOD(ROW(),2)=1,IF(B31="","",IF(INDEX(XU_LY_LENH!$G$2:$G$61,INT((ROW()-1)/2))="HOLD",C31,MIN(INDEX(XU_LY_LENH!$I$2:$I$61,INT((ROW()-1)/2)),IF(IFERROR(INDEX(XU_LY_LENH!$C$2:$C$61,INT((ROW()-1)/2)+1),"")="",86400,IFERROR(INDEX(XU_LY_LENH!$B$2:$B$61,INT((ROW()-1)/2)+1),"")),86400))),IF(B31="","",MIN(IF(IFERROR(INDEX(XU_LY_LENH!$C$2:$C$61,INT((ROW()-1)/2)+1),"")="",86400,IFERROR(INDEX(XU_LY_LENH!$B$2:$B$61,INT((ROW()-1)/2)+1),"")),86400)))</f>
        <v/>
      </c>
      <c r="E31" s="25" t="str">
        <f ca="1">IF(MOD(ROW(),2)=1,IF(B31="","",INDEX(XU_LY_LENH!$F$2:$F$61,INT((ROW()-1)/2))),IF(B31="","",INDEX(XU_LY_LENH!$D$2:$D$61,INT((ROW()-1)/2))))</f>
        <v/>
      </c>
      <c r="F31" s="25" t="str">
        <f ca="1">IF(MOD(ROW(),2)=1,IF(B31="","",IF(INDEX(XU_LY_LENH!$G$2:$G$61,INT((ROW()-1)/2))="HOLD",E31,IF(D31&gt;=INDEX(XU_LY_LENH!$I$2:$I$61,INT((ROW()-1)/2)),INDEX(XU_LY_LENH!$D$2:$D$61,INT((ROW()-1)/2)),INDEX(XU_LY_LENH!$F$2:$F$61,INT((ROW()-1)/2))+(INDEX(XU_LY_LENH!$D$2:$D$61,INT((ROW()-1)/2))-INDEX(XU_LY_LENH!$F$2:$F$61,INT((ROW()-1)/2)))*(D31-INDEX(XU_LY_LENH!$B$2:$B$61,INT((ROW()-1)/2)))/MAX(INDEX(XU_LY_LENH!$I$2:$I$61,INT((ROW()-1)/2))-INDEX(XU_LY_LENH!$B$2:$B$61,INT((ROW()-1)/2)),0.000001)))),IF(B31="","",INDEX(XU_LY_LENH!$D$2:$D$61,INT((ROW()-1)/2))))</f>
        <v/>
      </c>
      <c r="G31" s="25" t="str">
        <f t="shared" ca="1" si="1"/>
        <v/>
      </c>
      <c r="H31" s="6" t="str">
        <f t="shared" ca="1" si="2"/>
        <v/>
      </c>
    </row>
    <row r="32" spans="1:8">
      <c r="A32" s="5">
        <f t="shared" si="0"/>
        <v>31</v>
      </c>
      <c r="B32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32" s="25" t="str">
        <f ca="1">IF(MOD(ROW(),2)=1,IF(B32="","",INDEX(XU_LY_LENH!$B$2:$B$61,INT((ROW()-1)/2))),IF(B32="","",INDEX(XU_LY_LENH!$I$2:$I$61,INT((ROW()-1)/2))))</f>
        <v/>
      </c>
      <c r="D32" s="25" t="str">
        <f ca="1">IF(MOD(ROW(),2)=1,IF(B32="","",IF(INDEX(XU_LY_LENH!$G$2:$G$61,INT((ROW()-1)/2))="HOLD",C32,MIN(INDEX(XU_LY_LENH!$I$2:$I$61,INT((ROW()-1)/2)),IF(IFERROR(INDEX(XU_LY_LENH!$C$2:$C$61,INT((ROW()-1)/2)+1),"")="",86400,IFERROR(INDEX(XU_LY_LENH!$B$2:$B$61,INT((ROW()-1)/2)+1),"")),86400))),IF(B32="","",MIN(IF(IFERROR(INDEX(XU_LY_LENH!$C$2:$C$61,INT((ROW()-1)/2)+1),"")="",86400,IFERROR(INDEX(XU_LY_LENH!$B$2:$B$61,INT((ROW()-1)/2)+1),"")),86400)))</f>
        <v/>
      </c>
      <c r="E32" s="25" t="str">
        <f ca="1">IF(MOD(ROW(),2)=1,IF(B32="","",INDEX(XU_LY_LENH!$F$2:$F$61,INT((ROW()-1)/2))),IF(B32="","",INDEX(XU_LY_LENH!$D$2:$D$61,INT((ROW()-1)/2))))</f>
        <v/>
      </c>
      <c r="F32" s="25" t="str">
        <f ca="1">IF(MOD(ROW(),2)=1,IF(B32="","",IF(INDEX(XU_LY_LENH!$G$2:$G$61,INT((ROW()-1)/2))="HOLD",E32,IF(D32&gt;=INDEX(XU_LY_LENH!$I$2:$I$61,INT((ROW()-1)/2)),INDEX(XU_LY_LENH!$D$2:$D$61,INT((ROW()-1)/2)),INDEX(XU_LY_LENH!$F$2:$F$61,INT((ROW()-1)/2))+(INDEX(XU_LY_LENH!$D$2:$D$61,INT((ROW()-1)/2))-INDEX(XU_LY_LENH!$F$2:$F$61,INT((ROW()-1)/2)))*(D32-INDEX(XU_LY_LENH!$B$2:$B$61,INT((ROW()-1)/2)))/MAX(INDEX(XU_LY_LENH!$I$2:$I$61,INT((ROW()-1)/2))-INDEX(XU_LY_LENH!$B$2:$B$61,INT((ROW()-1)/2)),0.000001)))),IF(B32="","",INDEX(XU_LY_LENH!$D$2:$D$61,INT((ROW()-1)/2))))</f>
        <v/>
      </c>
      <c r="G32" s="25" t="str">
        <f t="shared" ca="1" si="1"/>
        <v/>
      </c>
      <c r="H32" s="6" t="str">
        <f t="shared" ca="1" si="2"/>
        <v/>
      </c>
    </row>
    <row r="33" spans="1:8">
      <c r="A33" s="5">
        <f t="shared" si="0"/>
        <v>32</v>
      </c>
      <c r="B33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33" s="25" t="str">
        <f ca="1">IF(MOD(ROW(),2)=1,IF(B33="","",INDEX(XU_LY_LENH!$B$2:$B$61,INT((ROW()-1)/2))),IF(B33="","",INDEX(XU_LY_LENH!$I$2:$I$61,INT((ROW()-1)/2))))</f>
        <v/>
      </c>
      <c r="D33" s="25" t="str">
        <f ca="1">IF(MOD(ROW(),2)=1,IF(B33="","",IF(INDEX(XU_LY_LENH!$G$2:$G$61,INT((ROW()-1)/2))="HOLD",C33,MIN(INDEX(XU_LY_LENH!$I$2:$I$61,INT((ROW()-1)/2)),IF(IFERROR(INDEX(XU_LY_LENH!$C$2:$C$61,INT((ROW()-1)/2)+1),"")="",86400,IFERROR(INDEX(XU_LY_LENH!$B$2:$B$61,INT((ROW()-1)/2)+1),"")),86400))),IF(B33="","",MIN(IF(IFERROR(INDEX(XU_LY_LENH!$C$2:$C$61,INT((ROW()-1)/2)+1),"")="",86400,IFERROR(INDEX(XU_LY_LENH!$B$2:$B$61,INT((ROW()-1)/2)+1),"")),86400)))</f>
        <v/>
      </c>
      <c r="E33" s="25" t="str">
        <f ca="1">IF(MOD(ROW(),2)=1,IF(B33="","",INDEX(XU_LY_LENH!$F$2:$F$61,INT((ROW()-1)/2))),IF(B33="","",INDEX(XU_LY_LENH!$D$2:$D$61,INT((ROW()-1)/2))))</f>
        <v/>
      </c>
      <c r="F33" s="25" t="str">
        <f ca="1">IF(MOD(ROW(),2)=1,IF(B33="","",IF(INDEX(XU_LY_LENH!$G$2:$G$61,INT((ROW()-1)/2))="HOLD",E33,IF(D33&gt;=INDEX(XU_LY_LENH!$I$2:$I$61,INT((ROW()-1)/2)),INDEX(XU_LY_LENH!$D$2:$D$61,INT((ROW()-1)/2)),INDEX(XU_LY_LENH!$F$2:$F$61,INT((ROW()-1)/2))+(INDEX(XU_LY_LENH!$D$2:$D$61,INT((ROW()-1)/2))-INDEX(XU_LY_LENH!$F$2:$F$61,INT((ROW()-1)/2)))*(D33-INDEX(XU_LY_LENH!$B$2:$B$61,INT((ROW()-1)/2)))/MAX(INDEX(XU_LY_LENH!$I$2:$I$61,INT((ROW()-1)/2))-INDEX(XU_LY_LENH!$B$2:$B$61,INT((ROW()-1)/2)),0.000001)))),IF(B33="","",INDEX(XU_LY_LENH!$D$2:$D$61,INT((ROW()-1)/2))))</f>
        <v/>
      </c>
      <c r="G33" s="25" t="str">
        <f t="shared" ca="1" si="1"/>
        <v/>
      </c>
      <c r="H33" s="6" t="str">
        <f t="shared" ca="1" si="2"/>
        <v/>
      </c>
    </row>
    <row r="34" spans="1:8">
      <c r="A34" s="5">
        <f t="shared" si="0"/>
        <v>33</v>
      </c>
      <c r="B34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34" s="25" t="str">
        <f ca="1">IF(MOD(ROW(),2)=1,IF(B34="","",INDEX(XU_LY_LENH!$B$2:$B$61,INT((ROW()-1)/2))),IF(B34="","",INDEX(XU_LY_LENH!$I$2:$I$61,INT((ROW()-1)/2))))</f>
        <v/>
      </c>
      <c r="D34" s="25" t="str">
        <f ca="1">IF(MOD(ROW(),2)=1,IF(B34="","",IF(INDEX(XU_LY_LENH!$G$2:$G$61,INT((ROW()-1)/2))="HOLD",C34,MIN(INDEX(XU_LY_LENH!$I$2:$I$61,INT((ROW()-1)/2)),IF(IFERROR(INDEX(XU_LY_LENH!$C$2:$C$61,INT((ROW()-1)/2)+1),"")="",86400,IFERROR(INDEX(XU_LY_LENH!$B$2:$B$61,INT((ROW()-1)/2)+1),"")),86400))),IF(B34="","",MIN(IF(IFERROR(INDEX(XU_LY_LENH!$C$2:$C$61,INT((ROW()-1)/2)+1),"")="",86400,IFERROR(INDEX(XU_LY_LENH!$B$2:$B$61,INT((ROW()-1)/2)+1),"")),86400)))</f>
        <v/>
      </c>
      <c r="E34" s="25" t="str">
        <f ca="1">IF(MOD(ROW(),2)=1,IF(B34="","",INDEX(XU_LY_LENH!$F$2:$F$61,INT((ROW()-1)/2))),IF(B34="","",INDEX(XU_LY_LENH!$D$2:$D$61,INT((ROW()-1)/2))))</f>
        <v/>
      </c>
      <c r="F34" s="25" t="str">
        <f ca="1">IF(MOD(ROW(),2)=1,IF(B34="","",IF(INDEX(XU_LY_LENH!$G$2:$G$61,INT((ROW()-1)/2))="HOLD",E34,IF(D34&gt;=INDEX(XU_LY_LENH!$I$2:$I$61,INT((ROW()-1)/2)),INDEX(XU_LY_LENH!$D$2:$D$61,INT((ROW()-1)/2)),INDEX(XU_LY_LENH!$F$2:$F$61,INT((ROW()-1)/2))+(INDEX(XU_LY_LENH!$D$2:$D$61,INT((ROW()-1)/2))-INDEX(XU_LY_LENH!$F$2:$F$61,INT((ROW()-1)/2)))*(D34-INDEX(XU_LY_LENH!$B$2:$B$61,INT((ROW()-1)/2)))/MAX(INDEX(XU_LY_LENH!$I$2:$I$61,INT((ROW()-1)/2))-INDEX(XU_LY_LENH!$B$2:$B$61,INT((ROW()-1)/2)),0.000001)))),IF(B34="","",INDEX(XU_LY_LENH!$D$2:$D$61,INT((ROW()-1)/2))))</f>
        <v/>
      </c>
      <c r="G34" s="25" t="str">
        <f t="shared" ca="1" si="1"/>
        <v/>
      </c>
      <c r="H34" s="6" t="str">
        <f t="shared" ca="1" si="2"/>
        <v/>
      </c>
    </row>
    <row r="35" spans="1:8">
      <c r="A35" s="5">
        <f t="shared" ref="A35:A66" si="3">ROW()-1</f>
        <v>34</v>
      </c>
      <c r="B35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35" s="25" t="str">
        <f ca="1">IF(MOD(ROW(),2)=1,IF(B35="","",INDEX(XU_LY_LENH!$B$2:$B$61,INT((ROW()-1)/2))),IF(B35="","",INDEX(XU_LY_LENH!$I$2:$I$61,INT((ROW()-1)/2))))</f>
        <v/>
      </c>
      <c r="D35" s="25" t="str">
        <f ca="1">IF(MOD(ROW(),2)=1,IF(B35="","",IF(INDEX(XU_LY_LENH!$G$2:$G$61,INT((ROW()-1)/2))="HOLD",C35,MIN(INDEX(XU_LY_LENH!$I$2:$I$61,INT((ROW()-1)/2)),IF(IFERROR(INDEX(XU_LY_LENH!$C$2:$C$61,INT((ROW()-1)/2)+1),"")="",86400,IFERROR(INDEX(XU_LY_LENH!$B$2:$B$61,INT((ROW()-1)/2)+1),"")),86400))),IF(B35="","",MIN(IF(IFERROR(INDEX(XU_LY_LENH!$C$2:$C$61,INT((ROW()-1)/2)+1),"")="",86400,IFERROR(INDEX(XU_LY_LENH!$B$2:$B$61,INT((ROW()-1)/2)+1),"")),86400)))</f>
        <v/>
      </c>
      <c r="E35" s="25" t="str">
        <f ca="1">IF(MOD(ROW(),2)=1,IF(B35="","",INDEX(XU_LY_LENH!$F$2:$F$61,INT((ROW()-1)/2))),IF(B35="","",INDEX(XU_LY_LENH!$D$2:$D$61,INT((ROW()-1)/2))))</f>
        <v/>
      </c>
      <c r="F35" s="25" t="str">
        <f ca="1">IF(MOD(ROW(),2)=1,IF(B35="","",IF(INDEX(XU_LY_LENH!$G$2:$G$61,INT((ROW()-1)/2))="HOLD",E35,IF(D35&gt;=INDEX(XU_LY_LENH!$I$2:$I$61,INT((ROW()-1)/2)),INDEX(XU_LY_LENH!$D$2:$D$61,INT((ROW()-1)/2)),INDEX(XU_LY_LENH!$F$2:$F$61,INT((ROW()-1)/2))+(INDEX(XU_LY_LENH!$D$2:$D$61,INT((ROW()-1)/2))-INDEX(XU_LY_LENH!$F$2:$F$61,INT((ROW()-1)/2)))*(D35-INDEX(XU_LY_LENH!$B$2:$B$61,INT((ROW()-1)/2)))/MAX(INDEX(XU_LY_LENH!$I$2:$I$61,INT((ROW()-1)/2))-INDEX(XU_LY_LENH!$B$2:$B$61,INT((ROW()-1)/2)),0.000001)))),IF(B35="","",INDEX(XU_LY_LENH!$D$2:$D$61,INT((ROW()-1)/2))))</f>
        <v/>
      </c>
      <c r="G35" s="25" t="str">
        <f t="shared" ref="G35:G66" ca="1" si="4">IF(B35="","",D35-C35)</f>
        <v/>
      </c>
      <c r="H35" s="6" t="str">
        <f t="shared" ref="H35:H66" ca="1" si="5">IF(B35="","",IF(MOD(ROW(),2)=1,"Ramp lệnh "&amp;INT((ROW()-1)/2),"Giữ sau lệnh "&amp;INT((ROW()-1)/2)))</f>
        <v/>
      </c>
    </row>
    <row r="36" spans="1:8">
      <c r="A36" s="5">
        <f t="shared" si="3"/>
        <v>35</v>
      </c>
      <c r="B36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36" s="25" t="str">
        <f ca="1">IF(MOD(ROW(),2)=1,IF(B36="","",INDEX(XU_LY_LENH!$B$2:$B$61,INT((ROW()-1)/2))),IF(B36="","",INDEX(XU_LY_LENH!$I$2:$I$61,INT((ROW()-1)/2))))</f>
        <v/>
      </c>
      <c r="D36" s="25" t="str">
        <f ca="1">IF(MOD(ROW(),2)=1,IF(B36="","",IF(INDEX(XU_LY_LENH!$G$2:$G$61,INT((ROW()-1)/2))="HOLD",C36,MIN(INDEX(XU_LY_LENH!$I$2:$I$61,INT((ROW()-1)/2)),IF(IFERROR(INDEX(XU_LY_LENH!$C$2:$C$61,INT((ROW()-1)/2)+1),"")="",86400,IFERROR(INDEX(XU_LY_LENH!$B$2:$B$61,INT((ROW()-1)/2)+1),"")),86400))),IF(B36="","",MIN(IF(IFERROR(INDEX(XU_LY_LENH!$C$2:$C$61,INT((ROW()-1)/2)+1),"")="",86400,IFERROR(INDEX(XU_LY_LENH!$B$2:$B$61,INT((ROW()-1)/2)+1),"")),86400)))</f>
        <v/>
      </c>
      <c r="E36" s="25" t="str">
        <f ca="1">IF(MOD(ROW(),2)=1,IF(B36="","",INDEX(XU_LY_LENH!$F$2:$F$61,INT((ROW()-1)/2))),IF(B36="","",INDEX(XU_LY_LENH!$D$2:$D$61,INT((ROW()-1)/2))))</f>
        <v/>
      </c>
      <c r="F36" s="25" t="str">
        <f ca="1">IF(MOD(ROW(),2)=1,IF(B36="","",IF(INDEX(XU_LY_LENH!$G$2:$G$61,INT((ROW()-1)/2))="HOLD",E36,IF(D36&gt;=INDEX(XU_LY_LENH!$I$2:$I$61,INT((ROW()-1)/2)),INDEX(XU_LY_LENH!$D$2:$D$61,INT((ROW()-1)/2)),INDEX(XU_LY_LENH!$F$2:$F$61,INT((ROW()-1)/2))+(INDEX(XU_LY_LENH!$D$2:$D$61,INT((ROW()-1)/2))-INDEX(XU_LY_LENH!$F$2:$F$61,INT((ROW()-1)/2)))*(D36-INDEX(XU_LY_LENH!$B$2:$B$61,INT((ROW()-1)/2)))/MAX(INDEX(XU_LY_LENH!$I$2:$I$61,INT((ROW()-1)/2))-INDEX(XU_LY_LENH!$B$2:$B$61,INT((ROW()-1)/2)),0.000001)))),IF(B36="","",INDEX(XU_LY_LENH!$D$2:$D$61,INT((ROW()-1)/2))))</f>
        <v/>
      </c>
      <c r="G36" s="25" t="str">
        <f t="shared" ca="1" si="4"/>
        <v/>
      </c>
      <c r="H36" s="6" t="str">
        <f t="shared" ca="1" si="5"/>
        <v/>
      </c>
    </row>
    <row r="37" spans="1:8">
      <c r="A37" s="5">
        <f t="shared" si="3"/>
        <v>36</v>
      </c>
      <c r="B37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37" s="25" t="str">
        <f ca="1">IF(MOD(ROW(),2)=1,IF(B37="","",INDEX(XU_LY_LENH!$B$2:$B$61,INT((ROW()-1)/2))),IF(B37="","",INDEX(XU_LY_LENH!$I$2:$I$61,INT((ROW()-1)/2))))</f>
        <v/>
      </c>
      <c r="D37" s="25" t="str">
        <f ca="1">IF(MOD(ROW(),2)=1,IF(B37="","",IF(INDEX(XU_LY_LENH!$G$2:$G$61,INT((ROW()-1)/2))="HOLD",C37,MIN(INDEX(XU_LY_LENH!$I$2:$I$61,INT((ROW()-1)/2)),IF(IFERROR(INDEX(XU_LY_LENH!$C$2:$C$61,INT((ROW()-1)/2)+1),"")="",86400,IFERROR(INDEX(XU_LY_LENH!$B$2:$B$61,INT((ROW()-1)/2)+1),"")),86400))),IF(B37="","",MIN(IF(IFERROR(INDEX(XU_LY_LENH!$C$2:$C$61,INT((ROW()-1)/2)+1),"")="",86400,IFERROR(INDEX(XU_LY_LENH!$B$2:$B$61,INT((ROW()-1)/2)+1),"")),86400)))</f>
        <v/>
      </c>
      <c r="E37" s="25" t="str">
        <f ca="1">IF(MOD(ROW(),2)=1,IF(B37="","",INDEX(XU_LY_LENH!$F$2:$F$61,INT((ROW()-1)/2))),IF(B37="","",INDEX(XU_LY_LENH!$D$2:$D$61,INT((ROW()-1)/2))))</f>
        <v/>
      </c>
      <c r="F37" s="25" t="str">
        <f ca="1">IF(MOD(ROW(),2)=1,IF(B37="","",IF(INDEX(XU_LY_LENH!$G$2:$G$61,INT((ROW()-1)/2))="HOLD",E37,IF(D37&gt;=INDEX(XU_LY_LENH!$I$2:$I$61,INT((ROW()-1)/2)),INDEX(XU_LY_LENH!$D$2:$D$61,INT((ROW()-1)/2)),INDEX(XU_LY_LENH!$F$2:$F$61,INT((ROW()-1)/2))+(INDEX(XU_LY_LENH!$D$2:$D$61,INT((ROW()-1)/2))-INDEX(XU_LY_LENH!$F$2:$F$61,INT((ROW()-1)/2)))*(D37-INDEX(XU_LY_LENH!$B$2:$B$61,INT((ROW()-1)/2)))/MAX(INDEX(XU_LY_LENH!$I$2:$I$61,INT((ROW()-1)/2))-INDEX(XU_LY_LENH!$B$2:$B$61,INT((ROW()-1)/2)),0.000001)))),IF(B37="","",INDEX(XU_LY_LENH!$D$2:$D$61,INT((ROW()-1)/2))))</f>
        <v/>
      </c>
      <c r="G37" s="25" t="str">
        <f t="shared" ca="1" si="4"/>
        <v/>
      </c>
      <c r="H37" s="6" t="str">
        <f t="shared" ca="1" si="5"/>
        <v/>
      </c>
    </row>
    <row r="38" spans="1:8">
      <c r="A38" s="5">
        <f t="shared" si="3"/>
        <v>37</v>
      </c>
      <c r="B38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38" s="25" t="str">
        <f ca="1">IF(MOD(ROW(),2)=1,IF(B38="","",INDEX(XU_LY_LENH!$B$2:$B$61,INT((ROW()-1)/2))),IF(B38="","",INDEX(XU_LY_LENH!$I$2:$I$61,INT((ROW()-1)/2))))</f>
        <v/>
      </c>
      <c r="D38" s="25" t="str">
        <f ca="1">IF(MOD(ROW(),2)=1,IF(B38="","",IF(INDEX(XU_LY_LENH!$G$2:$G$61,INT((ROW()-1)/2))="HOLD",C38,MIN(INDEX(XU_LY_LENH!$I$2:$I$61,INT((ROW()-1)/2)),IF(IFERROR(INDEX(XU_LY_LENH!$C$2:$C$61,INT((ROW()-1)/2)+1),"")="",86400,IFERROR(INDEX(XU_LY_LENH!$B$2:$B$61,INT((ROW()-1)/2)+1),"")),86400))),IF(B38="","",MIN(IF(IFERROR(INDEX(XU_LY_LENH!$C$2:$C$61,INT((ROW()-1)/2)+1),"")="",86400,IFERROR(INDEX(XU_LY_LENH!$B$2:$B$61,INT((ROW()-1)/2)+1),"")),86400)))</f>
        <v/>
      </c>
      <c r="E38" s="25" t="str">
        <f ca="1">IF(MOD(ROW(),2)=1,IF(B38="","",INDEX(XU_LY_LENH!$F$2:$F$61,INT((ROW()-1)/2))),IF(B38="","",INDEX(XU_LY_LENH!$D$2:$D$61,INT((ROW()-1)/2))))</f>
        <v/>
      </c>
      <c r="F38" s="25" t="str">
        <f ca="1">IF(MOD(ROW(),2)=1,IF(B38="","",IF(INDEX(XU_LY_LENH!$G$2:$G$61,INT((ROW()-1)/2))="HOLD",E38,IF(D38&gt;=INDEX(XU_LY_LENH!$I$2:$I$61,INT((ROW()-1)/2)),INDEX(XU_LY_LENH!$D$2:$D$61,INT((ROW()-1)/2)),INDEX(XU_LY_LENH!$F$2:$F$61,INT((ROW()-1)/2))+(INDEX(XU_LY_LENH!$D$2:$D$61,INT((ROW()-1)/2))-INDEX(XU_LY_LENH!$F$2:$F$61,INT((ROW()-1)/2)))*(D38-INDEX(XU_LY_LENH!$B$2:$B$61,INT((ROW()-1)/2)))/MAX(INDEX(XU_LY_LENH!$I$2:$I$61,INT((ROW()-1)/2))-INDEX(XU_LY_LENH!$B$2:$B$61,INT((ROW()-1)/2)),0.000001)))),IF(B38="","",INDEX(XU_LY_LENH!$D$2:$D$61,INT((ROW()-1)/2))))</f>
        <v/>
      </c>
      <c r="G38" s="25" t="str">
        <f t="shared" ca="1" si="4"/>
        <v/>
      </c>
      <c r="H38" s="6" t="str">
        <f t="shared" ca="1" si="5"/>
        <v/>
      </c>
    </row>
    <row r="39" spans="1:8">
      <c r="A39" s="5">
        <f t="shared" si="3"/>
        <v>38</v>
      </c>
      <c r="B39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39" s="25" t="str">
        <f ca="1">IF(MOD(ROW(),2)=1,IF(B39="","",INDEX(XU_LY_LENH!$B$2:$B$61,INT((ROW()-1)/2))),IF(B39="","",INDEX(XU_LY_LENH!$I$2:$I$61,INT((ROW()-1)/2))))</f>
        <v/>
      </c>
      <c r="D39" s="25" t="str">
        <f ca="1">IF(MOD(ROW(),2)=1,IF(B39="","",IF(INDEX(XU_LY_LENH!$G$2:$G$61,INT((ROW()-1)/2))="HOLD",C39,MIN(INDEX(XU_LY_LENH!$I$2:$I$61,INT((ROW()-1)/2)),IF(IFERROR(INDEX(XU_LY_LENH!$C$2:$C$61,INT((ROW()-1)/2)+1),"")="",86400,IFERROR(INDEX(XU_LY_LENH!$B$2:$B$61,INT((ROW()-1)/2)+1),"")),86400))),IF(B39="","",MIN(IF(IFERROR(INDEX(XU_LY_LENH!$C$2:$C$61,INT((ROW()-1)/2)+1),"")="",86400,IFERROR(INDEX(XU_LY_LENH!$B$2:$B$61,INT((ROW()-1)/2)+1),"")),86400)))</f>
        <v/>
      </c>
      <c r="E39" s="25" t="str">
        <f ca="1">IF(MOD(ROW(),2)=1,IF(B39="","",INDEX(XU_LY_LENH!$F$2:$F$61,INT((ROW()-1)/2))),IF(B39="","",INDEX(XU_LY_LENH!$D$2:$D$61,INT((ROW()-1)/2))))</f>
        <v/>
      </c>
      <c r="F39" s="25" t="str">
        <f ca="1">IF(MOD(ROW(),2)=1,IF(B39="","",IF(INDEX(XU_LY_LENH!$G$2:$G$61,INT((ROW()-1)/2))="HOLD",E39,IF(D39&gt;=INDEX(XU_LY_LENH!$I$2:$I$61,INT((ROW()-1)/2)),INDEX(XU_LY_LENH!$D$2:$D$61,INT((ROW()-1)/2)),INDEX(XU_LY_LENH!$F$2:$F$61,INT((ROW()-1)/2))+(INDEX(XU_LY_LENH!$D$2:$D$61,INT((ROW()-1)/2))-INDEX(XU_LY_LENH!$F$2:$F$61,INT((ROW()-1)/2)))*(D39-INDEX(XU_LY_LENH!$B$2:$B$61,INT((ROW()-1)/2)))/MAX(INDEX(XU_LY_LENH!$I$2:$I$61,INT((ROW()-1)/2))-INDEX(XU_LY_LENH!$B$2:$B$61,INT((ROW()-1)/2)),0.000001)))),IF(B39="","",INDEX(XU_LY_LENH!$D$2:$D$61,INT((ROW()-1)/2))))</f>
        <v/>
      </c>
      <c r="G39" s="25" t="str">
        <f t="shared" ca="1" si="4"/>
        <v/>
      </c>
      <c r="H39" s="6" t="str">
        <f t="shared" ca="1" si="5"/>
        <v/>
      </c>
    </row>
    <row r="40" spans="1:8">
      <c r="A40" s="5">
        <f t="shared" si="3"/>
        <v>39</v>
      </c>
      <c r="B40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40" s="25" t="str">
        <f ca="1">IF(MOD(ROW(),2)=1,IF(B40="","",INDEX(XU_LY_LENH!$B$2:$B$61,INT((ROW()-1)/2))),IF(B40="","",INDEX(XU_LY_LENH!$I$2:$I$61,INT((ROW()-1)/2))))</f>
        <v/>
      </c>
      <c r="D40" s="25" t="str">
        <f ca="1">IF(MOD(ROW(),2)=1,IF(B40="","",IF(INDEX(XU_LY_LENH!$G$2:$G$61,INT((ROW()-1)/2))="HOLD",C40,MIN(INDEX(XU_LY_LENH!$I$2:$I$61,INT((ROW()-1)/2)),IF(IFERROR(INDEX(XU_LY_LENH!$C$2:$C$61,INT((ROW()-1)/2)+1),"")="",86400,IFERROR(INDEX(XU_LY_LENH!$B$2:$B$61,INT((ROW()-1)/2)+1),"")),86400))),IF(B40="","",MIN(IF(IFERROR(INDEX(XU_LY_LENH!$C$2:$C$61,INT((ROW()-1)/2)+1),"")="",86400,IFERROR(INDEX(XU_LY_LENH!$B$2:$B$61,INT((ROW()-1)/2)+1),"")),86400)))</f>
        <v/>
      </c>
      <c r="E40" s="25" t="str">
        <f ca="1">IF(MOD(ROW(),2)=1,IF(B40="","",INDEX(XU_LY_LENH!$F$2:$F$61,INT((ROW()-1)/2))),IF(B40="","",INDEX(XU_LY_LENH!$D$2:$D$61,INT((ROW()-1)/2))))</f>
        <v/>
      </c>
      <c r="F40" s="25" t="str">
        <f ca="1">IF(MOD(ROW(),2)=1,IF(B40="","",IF(INDEX(XU_LY_LENH!$G$2:$G$61,INT((ROW()-1)/2))="HOLD",E40,IF(D40&gt;=INDEX(XU_LY_LENH!$I$2:$I$61,INT((ROW()-1)/2)),INDEX(XU_LY_LENH!$D$2:$D$61,INT((ROW()-1)/2)),INDEX(XU_LY_LENH!$F$2:$F$61,INT((ROW()-1)/2))+(INDEX(XU_LY_LENH!$D$2:$D$61,INT((ROW()-1)/2))-INDEX(XU_LY_LENH!$F$2:$F$61,INT((ROW()-1)/2)))*(D40-INDEX(XU_LY_LENH!$B$2:$B$61,INT((ROW()-1)/2)))/MAX(INDEX(XU_LY_LENH!$I$2:$I$61,INT((ROW()-1)/2))-INDEX(XU_LY_LENH!$B$2:$B$61,INT((ROW()-1)/2)),0.000001)))),IF(B40="","",INDEX(XU_LY_LENH!$D$2:$D$61,INT((ROW()-1)/2))))</f>
        <v/>
      </c>
      <c r="G40" s="25" t="str">
        <f t="shared" ca="1" si="4"/>
        <v/>
      </c>
      <c r="H40" s="6" t="str">
        <f t="shared" ca="1" si="5"/>
        <v/>
      </c>
    </row>
    <row r="41" spans="1:8">
      <c r="A41" s="5">
        <f t="shared" si="3"/>
        <v>40</v>
      </c>
      <c r="B41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41" s="25" t="str">
        <f ca="1">IF(MOD(ROW(),2)=1,IF(B41="","",INDEX(XU_LY_LENH!$B$2:$B$61,INT((ROW()-1)/2))),IF(B41="","",INDEX(XU_LY_LENH!$I$2:$I$61,INT((ROW()-1)/2))))</f>
        <v/>
      </c>
      <c r="D41" s="25" t="str">
        <f ca="1">IF(MOD(ROW(),2)=1,IF(B41="","",IF(INDEX(XU_LY_LENH!$G$2:$G$61,INT((ROW()-1)/2))="HOLD",C41,MIN(INDEX(XU_LY_LENH!$I$2:$I$61,INT((ROW()-1)/2)),IF(IFERROR(INDEX(XU_LY_LENH!$C$2:$C$61,INT((ROW()-1)/2)+1),"")="",86400,IFERROR(INDEX(XU_LY_LENH!$B$2:$B$61,INT((ROW()-1)/2)+1),"")),86400))),IF(B41="","",MIN(IF(IFERROR(INDEX(XU_LY_LENH!$C$2:$C$61,INT((ROW()-1)/2)+1),"")="",86400,IFERROR(INDEX(XU_LY_LENH!$B$2:$B$61,INT((ROW()-1)/2)+1),"")),86400)))</f>
        <v/>
      </c>
      <c r="E41" s="25" t="str">
        <f ca="1">IF(MOD(ROW(),2)=1,IF(B41="","",INDEX(XU_LY_LENH!$F$2:$F$61,INT((ROW()-1)/2))),IF(B41="","",INDEX(XU_LY_LENH!$D$2:$D$61,INT((ROW()-1)/2))))</f>
        <v/>
      </c>
      <c r="F41" s="25" t="str">
        <f ca="1">IF(MOD(ROW(),2)=1,IF(B41="","",IF(INDEX(XU_LY_LENH!$G$2:$G$61,INT((ROW()-1)/2))="HOLD",E41,IF(D41&gt;=INDEX(XU_LY_LENH!$I$2:$I$61,INT((ROW()-1)/2)),INDEX(XU_LY_LENH!$D$2:$D$61,INT((ROW()-1)/2)),INDEX(XU_LY_LENH!$F$2:$F$61,INT((ROW()-1)/2))+(INDEX(XU_LY_LENH!$D$2:$D$61,INT((ROW()-1)/2))-INDEX(XU_LY_LENH!$F$2:$F$61,INT((ROW()-1)/2)))*(D41-INDEX(XU_LY_LENH!$B$2:$B$61,INT((ROW()-1)/2)))/MAX(INDEX(XU_LY_LENH!$I$2:$I$61,INT((ROW()-1)/2))-INDEX(XU_LY_LENH!$B$2:$B$61,INT((ROW()-1)/2)),0.000001)))),IF(B41="","",INDEX(XU_LY_LENH!$D$2:$D$61,INT((ROW()-1)/2))))</f>
        <v/>
      </c>
      <c r="G41" s="25" t="str">
        <f t="shared" ca="1" si="4"/>
        <v/>
      </c>
      <c r="H41" s="6" t="str">
        <f t="shared" ca="1" si="5"/>
        <v/>
      </c>
    </row>
    <row r="42" spans="1:8">
      <c r="A42" s="5">
        <f t="shared" si="3"/>
        <v>41</v>
      </c>
      <c r="B42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42" s="25" t="str">
        <f ca="1">IF(MOD(ROW(),2)=1,IF(B42="","",INDEX(XU_LY_LENH!$B$2:$B$61,INT((ROW()-1)/2))),IF(B42="","",INDEX(XU_LY_LENH!$I$2:$I$61,INT((ROW()-1)/2))))</f>
        <v/>
      </c>
      <c r="D42" s="25" t="str">
        <f ca="1">IF(MOD(ROW(),2)=1,IF(B42="","",IF(INDEX(XU_LY_LENH!$G$2:$G$61,INT((ROW()-1)/2))="HOLD",C42,MIN(INDEX(XU_LY_LENH!$I$2:$I$61,INT((ROW()-1)/2)),IF(IFERROR(INDEX(XU_LY_LENH!$C$2:$C$61,INT((ROW()-1)/2)+1),"")="",86400,IFERROR(INDEX(XU_LY_LENH!$B$2:$B$61,INT((ROW()-1)/2)+1),"")),86400))),IF(B42="","",MIN(IF(IFERROR(INDEX(XU_LY_LENH!$C$2:$C$61,INT((ROW()-1)/2)+1),"")="",86400,IFERROR(INDEX(XU_LY_LENH!$B$2:$B$61,INT((ROW()-1)/2)+1),"")),86400)))</f>
        <v/>
      </c>
      <c r="E42" s="25" t="str">
        <f ca="1">IF(MOD(ROW(),2)=1,IF(B42="","",INDEX(XU_LY_LENH!$F$2:$F$61,INT((ROW()-1)/2))),IF(B42="","",INDEX(XU_LY_LENH!$D$2:$D$61,INT((ROW()-1)/2))))</f>
        <v/>
      </c>
      <c r="F42" s="25" t="str">
        <f ca="1">IF(MOD(ROW(),2)=1,IF(B42="","",IF(INDEX(XU_LY_LENH!$G$2:$G$61,INT((ROW()-1)/2))="HOLD",E42,IF(D42&gt;=INDEX(XU_LY_LENH!$I$2:$I$61,INT((ROW()-1)/2)),INDEX(XU_LY_LENH!$D$2:$D$61,INT((ROW()-1)/2)),INDEX(XU_LY_LENH!$F$2:$F$61,INT((ROW()-1)/2))+(INDEX(XU_LY_LENH!$D$2:$D$61,INT((ROW()-1)/2))-INDEX(XU_LY_LENH!$F$2:$F$61,INT((ROW()-1)/2)))*(D42-INDEX(XU_LY_LENH!$B$2:$B$61,INT((ROW()-1)/2)))/MAX(INDEX(XU_LY_LENH!$I$2:$I$61,INT((ROW()-1)/2))-INDEX(XU_LY_LENH!$B$2:$B$61,INT((ROW()-1)/2)),0.000001)))),IF(B42="","",INDEX(XU_LY_LENH!$D$2:$D$61,INT((ROW()-1)/2))))</f>
        <v/>
      </c>
      <c r="G42" s="25" t="str">
        <f t="shared" ca="1" si="4"/>
        <v/>
      </c>
      <c r="H42" s="6" t="str">
        <f t="shared" ca="1" si="5"/>
        <v/>
      </c>
    </row>
    <row r="43" spans="1:8">
      <c r="A43" s="5">
        <f t="shared" si="3"/>
        <v>42</v>
      </c>
      <c r="B43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43" s="25" t="str">
        <f ca="1">IF(MOD(ROW(),2)=1,IF(B43="","",INDEX(XU_LY_LENH!$B$2:$B$61,INT((ROW()-1)/2))),IF(B43="","",INDEX(XU_LY_LENH!$I$2:$I$61,INT((ROW()-1)/2))))</f>
        <v/>
      </c>
      <c r="D43" s="25" t="str">
        <f ca="1">IF(MOD(ROW(),2)=1,IF(B43="","",IF(INDEX(XU_LY_LENH!$G$2:$G$61,INT((ROW()-1)/2))="HOLD",C43,MIN(INDEX(XU_LY_LENH!$I$2:$I$61,INT((ROW()-1)/2)),IF(IFERROR(INDEX(XU_LY_LENH!$C$2:$C$61,INT((ROW()-1)/2)+1),"")="",86400,IFERROR(INDEX(XU_LY_LENH!$B$2:$B$61,INT((ROW()-1)/2)+1),"")),86400))),IF(B43="","",MIN(IF(IFERROR(INDEX(XU_LY_LENH!$C$2:$C$61,INT((ROW()-1)/2)+1),"")="",86400,IFERROR(INDEX(XU_LY_LENH!$B$2:$B$61,INT((ROW()-1)/2)+1),"")),86400)))</f>
        <v/>
      </c>
      <c r="E43" s="25" t="str">
        <f ca="1">IF(MOD(ROW(),2)=1,IF(B43="","",INDEX(XU_LY_LENH!$F$2:$F$61,INT((ROW()-1)/2))),IF(B43="","",INDEX(XU_LY_LENH!$D$2:$D$61,INT((ROW()-1)/2))))</f>
        <v/>
      </c>
      <c r="F43" s="25" t="str">
        <f ca="1">IF(MOD(ROW(),2)=1,IF(B43="","",IF(INDEX(XU_LY_LENH!$G$2:$G$61,INT((ROW()-1)/2))="HOLD",E43,IF(D43&gt;=INDEX(XU_LY_LENH!$I$2:$I$61,INT((ROW()-1)/2)),INDEX(XU_LY_LENH!$D$2:$D$61,INT((ROW()-1)/2)),INDEX(XU_LY_LENH!$F$2:$F$61,INT((ROW()-1)/2))+(INDEX(XU_LY_LENH!$D$2:$D$61,INT((ROW()-1)/2))-INDEX(XU_LY_LENH!$F$2:$F$61,INT((ROW()-1)/2)))*(D43-INDEX(XU_LY_LENH!$B$2:$B$61,INT((ROW()-1)/2)))/MAX(INDEX(XU_LY_LENH!$I$2:$I$61,INT((ROW()-1)/2))-INDEX(XU_LY_LENH!$B$2:$B$61,INT((ROW()-1)/2)),0.000001)))),IF(B43="","",INDEX(XU_LY_LENH!$D$2:$D$61,INT((ROW()-1)/2))))</f>
        <v/>
      </c>
      <c r="G43" s="25" t="str">
        <f t="shared" ca="1" si="4"/>
        <v/>
      </c>
      <c r="H43" s="6" t="str">
        <f t="shared" ca="1" si="5"/>
        <v/>
      </c>
    </row>
    <row r="44" spans="1:8">
      <c r="A44" s="5">
        <f t="shared" si="3"/>
        <v>43</v>
      </c>
      <c r="B44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44" s="25" t="str">
        <f ca="1">IF(MOD(ROW(),2)=1,IF(B44="","",INDEX(XU_LY_LENH!$B$2:$B$61,INT((ROW()-1)/2))),IF(B44="","",INDEX(XU_LY_LENH!$I$2:$I$61,INT((ROW()-1)/2))))</f>
        <v/>
      </c>
      <c r="D44" s="25" t="str">
        <f ca="1">IF(MOD(ROW(),2)=1,IF(B44="","",IF(INDEX(XU_LY_LENH!$G$2:$G$61,INT((ROW()-1)/2))="HOLD",C44,MIN(INDEX(XU_LY_LENH!$I$2:$I$61,INT((ROW()-1)/2)),IF(IFERROR(INDEX(XU_LY_LENH!$C$2:$C$61,INT((ROW()-1)/2)+1),"")="",86400,IFERROR(INDEX(XU_LY_LENH!$B$2:$B$61,INT((ROW()-1)/2)+1),"")),86400))),IF(B44="","",MIN(IF(IFERROR(INDEX(XU_LY_LENH!$C$2:$C$61,INT((ROW()-1)/2)+1),"")="",86400,IFERROR(INDEX(XU_LY_LENH!$B$2:$B$61,INT((ROW()-1)/2)+1),"")),86400)))</f>
        <v/>
      </c>
      <c r="E44" s="25" t="str">
        <f ca="1">IF(MOD(ROW(),2)=1,IF(B44="","",INDEX(XU_LY_LENH!$F$2:$F$61,INT((ROW()-1)/2))),IF(B44="","",INDEX(XU_LY_LENH!$D$2:$D$61,INT((ROW()-1)/2))))</f>
        <v/>
      </c>
      <c r="F44" s="25" t="str">
        <f ca="1">IF(MOD(ROW(),2)=1,IF(B44="","",IF(INDEX(XU_LY_LENH!$G$2:$G$61,INT((ROW()-1)/2))="HOLD",E44,IF(D44&gt;=INDEX(XU_LY_LENH!$I$2:$I$61,INT((ROW()-1)/2)),INDEX(XU_LY_LENH!$D$2:$D$61,INT((ROW()-1)/2)),INDEX(XU_LY_LENH!$F$2:$F$61,INT((ROW()-1)/2))+(INDEX(XU_LY_LENH!$D$2:$D$61,INT((ROW()-1)/2))-INDEX(XU_LY_LENH!$F$2:$F$61,INT((ROW()-1)/2)))*(D44-INDEX(XU_LY_LENH!$B$2:$B$61,INT((ROW()-1)/2)))/MAX(INDEX(XU_LY_LENH!$I$2:$I$61,INT((ROW()-1)/2))-INDEX(XU_LY_LENH!$B$2:$B$61,INT((ROW()-1)/2)),0.000001)))),IF(B44="","",INDEX(XU_LY_LENH!$D$2:$D$61,INT((ROW()-1)/2))))</f>
        <v/>
      </c>
      <c r="G44" s="25" t="str">
        <f t="shared" ca="1" si="4"/>
        <v/>
      </c>
      <c r="H44" s="6" t="str">
        <f t="shared" ca="1" si="5"/>
        <v/>
      </c>
    </row>
    <row r="45" spans="1:8">
      <c r="A45" s="5">
        <f t="shared" si="3"/>
        <v>44</v>
      </c>
      <c r="B45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45" s="25" t="str">
        <f ca="1">IF(MOD(ROW(),2)=1,IF(B45="","",INDEX(XU_LY_LENH!$B$2:$B$61,INT((ROW()-1)/2))),IF(B45="","",INDEX(XU_LY_LENH!$I$2:$I$61,INT((ROW()-1)/2))))</f>
        <v/>
      </c>
      <c r="D45" s="25" t="str">
        <f ca="1">IF(MOD(ROW(),2)=1,IF(B45="","",IF(INDEX(XU_LY_LENH!$G$2:$G$61,INT((ROW()-1)/2))="HOLD",C45,MIN(INDEX(XU_LY_LENH!$I$2:$I$61,INT((ROW()-1)/2)),IF(IFERROR(INDEX(XU_LY_LENH!$C$2:$C$61,INT((ROW()-1)/2)+1),"")="",86400,IFERROR(INDEX(XU_LY_LENH!$B$2:$B$61,INT((ROW()-1)/2)+1),"")),86400))),IF(B45="","",MIN(IF(IFERROR(INDEX(XU_LY_LENH!$C$2:$C$61,INT((ROW()-1)/2)+1),"")="",86400,IFERROR(INDEX(XU_LY_LENH!$B$2:$B$61,INT((ROW()-1)/2)+1),"")),86400)))</f>
        <v/>
      </c>
      <c r="E45" s="25" t="str">
        <f ca="1">IF(MOD(ROW(),2)=1,IF(B45="","",INDEX(XU_LY_LENH!$F$2:$F$61,INT((ROW()-1)/2))),IF(B45="","",INDEX(XU_LY_LENH!$D$2:$D$61,INT((ROW()-1)/2))))</f>
        <v/>
      </c>
      <c r="F45" s="25" t="str">
        <f ca="1">IF(MOD(ROW(),2)=1,IF(B45="","",IF(INDEX(XU_LY_LENH!$G$2:$G$61,INT((ROW()-1)/2))="HOLD",E45,IF(D45&gt;=INDEX(XU_LY_LENH!$I$2:$I$61,INT((ROW()-1)/2)),INDEX(XU_LY_LENH!$D$2:$D$61,INT((ROW()-1)/2)),INDEX(XU_LY_LENH!$F$2:$F$61,INT((ROW()-1)/2))+(INDEX(XU_LY_LENH!$D$2:$D$61,INT((ROW()-1)/2))-INDEX(XU_LY_LENH!$F$2:$F$61,INT((ROW()-1)/2)))*(D45-INDEX(XU_LY_LENH!$B$2:$B$61,INT((ROW()-1)/2)))/MAX(INDEX(XU_LY_LENH!$I$2:$I$61,INT((ROW()-1)/2))-INDEX(XU_LY_LENH!$B$2:$B$61,INT((ROW()-1)/2)),0.000001)))),IF(B45="","",INDEX(XU_LY_LENH!$D$2:$D$61,INT((ROW()-1)/2))))</f>
        <v/>
      </c>
      <c r="G45" s="25" t="str">
        <f t="shared" ca="1" si="4"/>
        <v/>
      </c>
      <c r="H45" s="6" t="str">
        <f t="shared" ca="1" si="5"/>
        <v/>
      </c>
    </row>
    <row r="46" spans="1:8">
      <c r="A46" s="5">
        <f t="shared" si="3"/>
        <v>45</v>
      </c>
      <c r="B46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46" s="25" t="str">
        <f ca="1">IF(MOD(ROW(),2)=1,IF(B46="","",INDEX(XU_LY_LENH!$B$2:$B$61,INT((ROW()-1)/2))),IF(B46="","",INDEX(XU_LY_LENH!$I$2:$I$61,INT((ROW()-1)/2))))</f>
        <v/>
      </c>
      <c r="D46" s="25" t="str">
        <f ca="1">IF(MOD(ROW(),2)=1,IF(B46="","",IF(INDEX(XU_LY_LENH!$G$2:$G$61,INT((ROW()-1)/2))="HOLD",C46,MIN(INDEX(XU_LY_LENH!$I$2:$I$61,INT((ROW()-1)/2)),IF(IFERROR(INDEX(XU_LY_LENH!$C$2:$C$61,INT((ROW()-1)/2)+1),"")="",86400,IFERROR(INDEX(XU_LY_LENH!$B$2:$B$61,INT((ROW()-1)/2)+1),"")),86400))),IF(B46="","",MIN(IF(IFERROR(INDEX(XU_LY_LENH!$C$2:$C$61,INT((ROW()-1)/2)+1),"")="",86400,IFERROR(INDEX(XU_LY_LENH!$B$2:$B$61,INT((ROW()-1)/2)+1),"")),86400)))</f>
        <v/>
      </c>
      <c r="E46" s="25" t="str">
        <f ca="1">IF(MOD(ROW(),2)=1,IF(B46="","",INDEX(XU_LY_LENH!$F$2:$F$61,INT((ROW()-1)/2))),IF(B46="","",INDEX(XU_LY_LENH!$D$2:$D$61,INT((ROW()-1)/2))))</f>
        <v/>
      </c>
      <c r="F46" s="25" t="str">
        <f ca="1">IF(MOD(ROW(),2)=1,IF(B46="","",IF(INDEX(XU_LY_LENH!$G$2:$G$61,INT((ROW()-1)/2))="HOLD",E46,IF(D46&gt;=INDEX(XU_LY_LENH!$I$2:$I$61,INT((ROW()-1)/2)),INDEX(XU_LY_LENH!$D$2:$D$61,INT((ROW()-1)/2)),INDEX(XU_LY_LENH!$F$2:$F$61,INT((ROW()-1)/2))+(INDEX(XU_LY_LENH!$D$2:$D$61,INT((ROW()-1)/2))-INDEX(XU_LY_LENH!$F$2:$F$61,INT((ROW()-1)/2)))*(D46-INDEX(XU_LY_LENH!$B$2:$B$61,INT((ROW()-1)/2)))/MAX(INDEX(XU_LY_LENH!$I$2:$I$61,INT((ROW()-1)/2))-INDEX(XU_LY_LENH!$B$2:$B$61,INT((ROW()-1)/2)),0.000001)))),IF(B46="","",INDEX(XU_LY_LENH!$D$2:$D$61,INT((ROW()-1)/2))))</f>
        <v/>
      </c>
      <c r="G46" s="25" t="str">
        <f t="shared" ca="1" si="4"/>
        <v/>
      </c>
      <c r="H46" s="6" t="str">
        <f t="shared" ca="1" si="5"/>
        <v/>
      </c>
    </row>
    <row r="47" spans="1:8">
      <c r="A47" s="5">
        <f t="shared" si="3"/>
        <v>46</v>
      </c>
      <c r="B47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47" s="25" t="str">
        <f ca="1">IF(MOD(ROW(),2)=1,IF(B47="","",INDEX(XU_LY_LENH!$B$2:$B$61,INT((ROW()-1)/2))),IF(B47="","",INDEX(XU_LY_LENH!$I$2:$I$61,INT((ROW()-1)/2))))</f>
        <v/>
      </c>
      <c r="D47" s="25" t="str">
        <f ca="1">IF(MOD(ROW(),2)=1,IF(B47="","",IF(INDEX(XU_LY_LENH!$G$2:$G$61,INT((ROW()-1)/2))="HOLD",C47,MIN(INDEX(XU_LY_LENH!$I$2:$I$61,INT((ROW()-1)/2)),IF(IFERROR(INDEX(XU_LY_LENH!$C$2:$C$61,INT((ROW()-1)/2)+1),"")="",86400,IFERROR(INDEX(XU_LY_LENH!$B$2:$B$61,INT((ROW()-1)/2)+1),"")),86400))),IF(B47="","",MIN(IF(IFERROR(INDEX(XU_LY_LENH!$C$2:$C$61,INT((ROW()-1)/2)+1),"")="",86400,IFERROR(INDEX(XU_LY_LENH!$B$2:$B$61,INT((ROW()-1)/2)+1),"")),86400)))</f>
        <v/>
      </c>
      <c r="E47" s="25" t="str">
        <f ca="1">IF(MOD(ROW(),2)=1,IF(B47="","",INDEX(XU_LY_LENH!$F$2:$F$61,INT((ROW()-1)/2))),IF(B47="","",INDEX(XU_LY_LENH!$D$2:$D$61,INT((ROW()-1)/2))))</f>
        <v/>
      </c>
      <c r="F47" s="25" t="str">
        <f ca="1">IF(MOD(ROW(),2)=1,IF(B47="","",IF(INDEX(XU_LY_LENH!$G$2:$G$61,INT((ROW()-1)/2))="HOLD",E47,IF(D47&gt;=INDEX(XU_LY_LENH!$I$2:$I$61,INT((ROW()-1)/2)),INDEX(XU_LY_LENH!$D$2:$D$61,INT((ROW()-1)/2)),INDEX(XU_LY_LENH!$F$2:$F$61,INT((ROW()-1)/2))+(INDEX(XU_LY_LENH!$D$2:$D$61,INT((ROW()-1)/2))-INDEX(XU_LY_LENH!$F$2:$F$61,INT((ROW()-1)/2)))*(D47-INDEX(XU_LY_LENH!$B$2:$B$61,INT((ROW()-1)/2)))/MAX(INDEX(XU_LY_LENH!$I$2:$I$61,INT((ROW()-1)/2))-INDEX(XU_LY_LENH!$B$2:$B$61,INT((ROW()-1)/2)),0.000001)))),IF(B47="","",INDEX(XU_LY_LENH!$D$2:$D$61,INT((ROW()-1)/2))))</f>
        <v/>
      </c>
      <c r="G47" s="25" t="str">
        <f t="shared" ca="1" si="4"/>
        <v/>
      </c>
      <c r="H47" s="6" t="str">
        <f t="shared" ca="1" si="5"/>
        <v/>
      </c>
    </row>
    <row r="48" spans="1:8">
      <c r="A48" s="5">
        <f t="shared" si="3"/>
        <v>47</v>
      </c>
      <c r="B48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48" s="25" t="str">
        <f ca="1">IF(MOD(ROW(),2)=1,IF(B48="","",INDEX(XU_LY_LENH!$B$2:$B$61,INT((ROW()-1)/2))),IF(B48="","",INDEX(XU_LY_LENH!$I$2:$I$61,INT((ROW()-1)/2))))</f>
        <v/>
      </c>
      <c r="D48" s="25" t="str">
        <f ca="1">IF(MOD(ROW(),2)=1,IF(B48="","",IF(INDEX(XU_LY_LENH!$G$2:$G$61,INT((ROW()-1)/2))="HOLD",C48,MIN(INDEX(XU_LY_LENH!$I$2:$I$61,INT((ROW()-1)/2)),IF(IFERROR(INDEX(XU_LY_LENH!$C$2:$C$61,INT((ROW()-1)/2)+1),"")="",86400,IFERROR(INDEX(XU_LY_LENH!$B$2:$B$61,INT((ROW()-1)/2)+1),"")),86400))),IF(B48="","",MIN(IF(IFERROR(INDEX(XU_LY_LENH!$C$2:$C$61,INT((ROW()-1)/2)+1),"")="",86400,IFERROR(INDEX(XU_LY_LENH!$B$2:$B$61,INT((ROW()-1)/2)+1),"")),86400)))</f>
        <v/>
      </c>
      <c r="E48" s="25" t="str">
        <f ca="1">IF(MOD(ROW(),2)=1,IF(B48="","",INDEX(XU_LY_LENH!$F$2:$F$61,INT((ROW()-1)/2))),IF(B48="","",INDEX(XU_LY_LENH!$D$2:$D$61,INT((ROW()-1)/2))))</f>
        <v/>
      </c>
      <c r="F48" s="25" t="str">
        <f ca="1">IF(MOD(ROW(),2)=1,IF(B48="","",IF(INDEX(XU_LY_LENH!$G$2:$G$61,INT((ROW()-1)/2))="HOLD",E48,IF(D48&gt;=INDEX(XU_LY_LENH!$I$2:$I$61,INT((ROW()-1)/2)),INDEX(XU_LY_LENH!$D$2:$D$61,INT((ROW()-1)/2)),INDEX(XU_LY_LENH!$F$2:$F$61,INT((ROW()-1)/2))+(INDEX(XU_LY_LENH!$D$2:$D$61,INT((ROW()-1)/2))-INDEX(XU_LY_LENH!$F$2:$F$61,INT((ROW()-1)/2)))*(D48-INDEX(XU_LY_LENH!$B$2:$B$61,INT((ROW()-1)/2)))/MAX(INDEX(XU_LY_LENH!$I$2:$I$61,INT((ROW()-1)/2))-INDEX(XU_LY_LENH!$B$2:$B$61,INT((ROW()-1)/2)),0.000001)))),IF(B48="","",INDEX(XU_LY_LENH!$D$2:$D$61,INT((ROW()-1)/2))))</f>
        <v/>
      </c>
      <c r="G48" s="25" t="str">
        <f t="shared" ca="1" si="4"/>
        <v/>
      </c>
      <c r="H48" s="6" t="str">
        <f t="shared" ca="1" si="5"/>
        <v/>
      </c>
    </row>
    <row r="49" spans="1:8">
      <c r="A49" s="5">
        <f t="shared" si="3"/>
        <v>48</v>
      </c>
      <c r="B49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49" s="25" t="str">
        <f ca="1">IF(MOD(ROW(),2)=1,IF(B49="","",INDEX(XU_LY_LENH!$B$2:$B$61,INT((ROW()-1)/2))),IF(B49="","",INDEX(XU_LY_LENH!$I$2:$I$61,INT((ROW()-1)/2))))</f>
        <v/>
      </c>
      <c r="D49" s="25" t="str">
        <f ca="1">IF(MOD(ROW(),2)=1,IF(B49="","",IF(INDEX(XU_LY_LENH!$G$2:$G$61,INT((ROW()-1)/2))="HOLD",C49,MIN(INDEX(XU_LY_LENH!$I$2:$I$61,INT((ROW()-1)/2)),IF(IFERROR(INDEX(XU_LY_LENH!$C$2:$C$61,INT((ROW()-1)/2)+1),"")="",86400,IFERROR(INDEX(XU_LY_LENH!$B$2:$B$61,INT((ROW()-1)/2)+1),"")),86400))),IF(B49="","",MIN(IF(IFERROR(INDEX(XU_LY_LENH!$C$2:$C$61,INT((ROW()-1)/2)+1),"")="",86400,IFERROR(INDEX(XU_LY_LENH!$B$2:$B$61,INT((ROW()-1)/2)+1),"")),86400)))</f>
        <v/>
      </c>
      <c r="E49" s="25" t="str">
        <f ca="1">IF(MOD(ROW(),2)=1,IF(B49="","",INDEX(XU_LY_LENH!$F$2:$F$61,INT((ROW()-1)/2))),IF(B49="","",INDEX(XU_LY_LENH!$D$2:$D$61,INT((ROW()-1)/2))))</f>
        <v/>
      </c>
      <c r="F49" s="25" t="str">
        <f ca="1">IF(MOD(ROW(),2)=1,IF(B49="","",IF(INDEX(XU_LY_LENH!$G$2:$G$61,INT((ROW()-1)/2))="HOLD",E49,IF(D49&gt;=INDEX(XU_LY_LENH!$I$2:$I$61,INT((ROW()-1)/2)),INDEX(XU_LY_LENH!$D$2:$D$61,INT((ROW()-1)/2)),INDEX(XU_LY_LENH!$F$2:$F$61,INT((ROW()-1)/2))+(INDEX(XU_LY_LENH!$D$2:$D$61,INT((ROW()-1)/2))-INDEX(XU_LY_LENH!$F$2:$F$61,INT((ROW()-1)/2)))*(D49-INDEX(XU_LY_LENH!$B$2:$B$61,INT((ROW()-1)/2)))/MAX(INDEX(XU_LY_LENH!$I$2:$I$61,INT((ROW()-1)/2))-INDEX(XU_LY_LENH!$B$2:$B$61,INT((ROW()-1)/2)),0.000001)))),IF(B49="","",INDEX(XU_LY_LENH!$D$2:$D$61,INT((ROW()-1)/2))))</f>
        <v/>
      </c>
      <c r="G49" s="25" t="str">
        <f t="shared" ca="1" si="4"/>
        <v/>
      </c>
      <c r="H49" s="6" t="str">
        <f t="shared" ca="1" si="5"/>
        <v/>
      </c>
    </row>
    <row r="50" spans="1:8">
      <c r="A50" s="5">
        <f t="shared" si="3"/>
        <v>49</v>
      </c>
      <c r="B50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50" s="25" t="str">
        <f ca="1">IF(MOD(ROW(),2)=1,IF(B50="","",INDEX(XU_LY_LENH!$B$2:$B$61,INT((ROW()-1)/2))),IF(B50="","",INDEX(XU_LY_LENH!$I$2:$I$61,INT((ROW()-1)/2))))</f>
        <v/>
      </c>
      <c r="D50" s="25" t="str">
        <f ca="1">IF(MOD(ROW(),2)=1,IF(B50="","",IF(INDEX(XU_LY_LENH!$G$2:$G$61,INT((ROW()-1)/2))="HOLD",C50,MIN(INDEX(XU_LY_LENH!$I$2:$I$61,INT((ROW()-1)/2)),IF(IFERROR(INDEX(XU_LY_LENH!$C$2:$C$61,INT((ROW()-1)/2)+1),"")="",86400,IFERROR(INDEX(XU_LY_LENH!$B$2:$B$61,INT((ROW()-1)/2)+1),"")),86400))),IF(B50="","",MIN(IF(IFERROR(INDEX(XU_LY_LENH!$C$2:$C$61,INT((ROW()-1)/2)+1),"")="",86400,IFERROR(INDEX(XU_LY_LENH!$B$2:$B$61,INT((ROW()-1)/2)+1),"")),86400)))</f>
        <v/>
      </c>
      <c r="E50" s="25" t="str">
        <f ca="1">IF(MOD(ROW(),2)=1,IF(B50="","",INDEX(XU_LY_LENH!$F$2:$F$61,INT((ROW()-1)/2))),IF(B50="","",INDEX(XU_LY_LENH!$D$2:$D$61,INT((ROW()-1)/2))))</f>
        <v/>
      </c>
      <c r="F50" s="25" t="str">
        <f ca="1">IF(MOD(ROW(),2)=1,IF(B50="","",IF(INDEX(XU_LY_LENH!$G$2:$G$61,INT((ROW()-1)/2))="HOLD",E50,IF(D50&gt;=INDEX(XU_LY_LENH!$I$2:$I$61,INT((ROW()-1)/2)),INDEX(XU_LY_LENH!$D$2:$D$61,INT((ROW()-1)/2)),INDEX(XU_LY_LENH!$F$2:$F$61,INT((ROW()-1)/2))+(INDEX(XU_LY_LENH!$D$2:$D$61,INT((ROW()-1)/2))-INDEX(XU_LY_LENH!$F$2:$F$61,INT((ROW()-1)/2)))*(D50-INDEX(XU_LY_LENH!$B$2:$B$61,INT((ROW()-1)/2)))/MAX(INDEX(XU_LY_LENH!$I$2:$I$61,INT((ROW()-1)/2))-INDEX(XU_LY_LENH!$B$2:$B$61,INT((ROW()-1)/2)),0.000001)))),IF(B50="","",INDEX(XU_LY_LENH!$D$2:$D$61,INT((ROW()-1)/2))))</f>
        <v/>
      </c>
      <c r="G50" s="25" t="str">
        <f t="shared" ca="1" si="4"/>
        <v/>
      </c>
      <c r="H50" s="6" t="str">
        <f t="shared" ca="1" si="5"/>
        <v/>
      </c>
    </row>
    <row r="51" spans="1:8">
      <c r="A51" s="5">
        <f t="shared" si="3"/>
        <v>50</v>
      </c>
      <c r="B51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51" s="25" t="str">
        <f ca="1">IF(MOD(ROW(),2)=1,IF(B51="","",INDEX(XU_LY_LENH!$B$2:$B$61,INT((ROW()-1)/2))),IF(B51="","",INDEX(XU_LY_LENH!$I$2:$I$61,INT((ROW()-1)/2))))</f>
        <v/>
      </c>
      <c r="D51" s="25" t="str">
        <f ca="1">IF(MOD(ROW(),2)=1,IF(B51="","",IF(INDEX(XU_LY_LENH!$G$2:$G$61,INT((ROW()-1)/2))="HOLD",C51,MIN(INDEX(XU_LY_LENH!$I$2:$I$61,INT((ROW()-1)/2)),IF(IFERROR(INDEX(XU_LY_LENH!$C$2:$C$61,INT((ROW()-1)/2)+1),"")="",86400,IFERROR(INDEX(XU_LY_LENH!$B$2:$B$61,INT((ROW()-1)/2)+1),"")),86400))),IF(B51="","",MIN(IF(IFERROR(INDEX(XU_LY_LENH!$C$2:$C$61,INT((ROW()-1)/2)+1),"")="",86400,IFERROR(INDEX(XU_LY_LENH!$B$2:$B$61,INT((ROW()-1)/2)+1),"")),86400)))</f>
        <v/>
      </c>
      <c r="E51" s="25" t="str">
        <f ca="1">IF(MOD(ROW(),2)=1,IF(B51="","",INDEX(XU_LY_LENH!$F$2:$F$61,INT((ROW()-1)/2))),IF(B51="","",INDEX(XU_LY_LENH!$D$2:$D$61,INT((ROW()-1)/2))))</f>
        <v/>
      </c>
      <c r="F51" s="25" t="str">
        <f ca="1">IF(MOD(ROW(),2)=1,IF(B51="","",IF(INDEX(XU_LY_LENH!$G$2:$G$61,INT((ROW()-1)/2))="HOLD",E51,IF(D51&gt;=INDEX(XU_LY_LENH!$I$2:$I$61,INT((ROW()-1)/2)),INDEX(XU_LY_LENH!$D$2:$D$61,INT((ROW()-1)/2)),INDEX(XU_LY_LENH!$F$2:$F$61,INT((ROW()-1)/2))+(INDEX(XU_LY_LENH!$D$2:$D$61,INT((ROW()-1)/2))-INDEX(XU_LY_LENH!$F$2:$F$61,INT((ROW()-1)/2)))*(D51-INDEX(XU_LY_LENH!$B$2:$B$61,INT((ROW()-1)/2)))/MAX(INDEX(XU_LY_LENH!$I$2:$I$61,INT((ROW()-1)/2))-INDEX(XU_LY_LENH!$B$2:$B$61,INT((ROW()-1)/2)),0.000001)))),IF(B51="","",INDEX(XU_LY_LENH!$D$2:$D$61,INT((ROW()-1)/2))))</f>
        <v/>
      </c>
      <c r="G51" s="25" t="str">
        <f t="shared" ca="1" si="4"/>
        <v/>
      </c>
      <c r="H51" s="6" t="str">
        <f t="shared" ca="1" si="5"/>
        <v/>
      </c>
    </row>
    <row r="52" spans="1:8">
      <c r="A52" s="5">
        <f t="shared" si="3"/>
        <v>51</v>
      </c>
      <c r="B52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52" s="25" t="str">
        <f ca="1">IF(MOD(ROW(),2)=1,IF(B52="","",INDEX(XU_LY_LENH!$B$2:$B$61,INT((ROW()-1)/2))),IF(B52="","",INDEX(XU_LY_LENH!$I$2:$I$61,INT((ROW()-1)/2))))</f>
        <v/>
      </c>
      <c r="D52" s="25" t="str">
        <f ca="1">IF(MOD(ROW(),2)=1,IF(B52="","",IF(INDEX(XU_LY_LENH!$G$2:$G$61,INT((ROW()-1)/2))="HOLD",C52,MIN(INDEX(XU_LY_LENH!$I$2:$I$61,INT((ROW()-1)/2)),IF(IFERROR(INDEX(XU_LY_LENH!$C$2:$C$61,INT((ROW()-1)/2)+1),"")="",86400,IFERROR(INDEX(XU_LY_LENH!$B$2:$B$61,INT((ROW()-1)/2)+1),"")),86400))),IF(B52="","",MIN(IF(IFERROR(INDEX(XU_LY_LENH!$C$2:$C$61,INT((ROW()-1)/2)+1),"")="",86400,IFERROR(INDEX(XU_LY_LENH!$B$2:$B$61,INT((ROW()-1)/2)+1),"")),86400)))</f>
        <v/>
      </c>
      <c r="E52" s="25" t="str">
        <f ca="1">IF(MOD(ROW(),2)=1,IF(B52="","",INDEX(XU_LY_LENH!$F$2:$F$61,INT((ROW()-1)/2))),IF(B52="","",INDEX(XU_LY_LENH!$D$2:$D$61,INT((ROW()-1)/2))))</f>
        <v/>
      </c>
      <c r="F52" s="25" t="str">
        <f ca="1">IF(MOD(ROW(),2)=1,IF(B52="","",IF(INDEX(XU_LY_LENH!$G$2:$G$61,INT((ROW()-1)/2))="HOLD",E52,IF(D52&gt;=INDEX(XU_LY_LENH!$I$2:$I$61,INT((ROW()-1)/2)),INDEX(XU_LY_LENH!$D$2:$D$61,INT((ROW()-1)/2)),INDEX(XU_LY_LENH!$F$2:$F$61,INT((ROW()-1)/2))+(INDEX(XU_LY_LENH!$D$2:$D$61,INT((ROW()-1)/2))-INDEX(XU_LY_LENH!$F$2:$F$61,INT((ROW()-1)/2)))*(D52-INDEX(XU_LY_LENH!$B$2:$B$61,INT((ROW()-1)/2)))/MAX(INDEX(XU_LY_LENH!$I$2:$I$61,INT((ROW()-1)/2))-INDEX(XU_LY_LENH!$B$2:$B$61,INT((ROW()-1)/2)),0.000001)))),IF(B52="","",INDEX(XU_LY_LENH!$D$2:$D$61,INT((ROW()-1)/2))))</f>
        <v/>
      </c>
      <c r="G52" s="25" t="str">
        <f t="shared" ca="1" si="4"/>
        <v/>
      </c>
      <c r="H52" s="6" t="str">
        <f t="shared" ca="1" si="5"/>
        <v/>
      </c>
    </row>
    <row r="53" spans="1:8">
      <c r="A53" s="5">
        <f t="shared" si="3"/>
        <v>52</v>
      </c>
      <c r="B53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53" s="25" t="str">
        <f ca="1">IF(MOD(ROW(),2)=1,IF(B53="","",INDEX(XU_LY_LENH!$B$2:$B$61,INT((ROW()-1)/2))),IF(B53="","",INDEX(XU_LY_LENH!$I$2:$I$61,INT((ROW()-1)/2))))</f>
        <v/>
      </c>
      <c r="D53" s="25" t="str">
        <f ca="1">IF(MOD(ROW(),2)=1,IF(B53="","",IF(INDEX(XU_LY_LENH!$G$2:$G$61,INT((ROW()-1)/2))="HOLD",C53,MIN(INDEX(XU_LY_LENH!$I$2:$I$61,INT((ROW()-1)/2)),IF(IFERROR(INDEX(XU_LY_LENH!$C$2:$C$61,INT((ROW()-1)/2)+1),"")="",86400,IFERROR(INDEX(XU_LY_LENH!$B$2:$B$61,INT((ROW()-1)/2)+1),"")),86400))),IF(B53="","",MIN(IF(IFERROR(INDEX(XU_LY_LENH!$C$2:$C$61,INT((ROW()-1)/2)+1),"")="",86400,IFERROR(INDEX(XU_LY_LENH!$B$2:$B$61,INT((ROW()-1)/2)+1),"")),86400)))</f>
        <v/>
      </c>
      <c r="E53" s="25" t="str">
        <f ca="1">IF(MOD(ROW(),2)=1,IF(B53="","",INDEX(XU_LY_LENH!$F$2:$F$61,INT((ROW()-1)/2))),IF(B53="","",INDEX(XU_LY_LENH!$D$2:$D$61,INT((ROW()-1)/2))))</f>
        <v/>
      </c>
      <c r="F53" s="25" t="str">
        <f ca="1">IF(MOD(ROW(),2)=1,IF(B53="","",IF(INDEX(XU_LY_LENH!$G$2:$G$61,INT((ROW()-1)/2))="HOLD",E53,IF(D53&gt;=INDEX(XU_LY_LENH!$I$2:$I$61,INT((ROW()-1)/2)),INDEX(XU_LY_LENH!$D$2:$D$61,INT((ROW()-1)/2)),INDEX(XU_LY_LENH!$F$2:$F$61,INT((ROW()-1)/2))+(INDEX(XU_LY_LENH!$D$2:$D$61,INT((ROW()-1)/2))-INDEX(XU_LY_LENH!$F$2:$F$61,INT((ROW()-1)/2)))*(D53-INDEX(XU_LY_LENH!$B$2:$B$61,INT((ROW()-1)/2)))/MAX(INDEX(XU_LY_LENH!$I$2:$I$61,INT((ROW()-1)/2))-INDEX(XU_LY_LENH!$B$2:$B$61,INT((ROW()-1)/2)),0.000001)))),IF(B53="","",INDEX(XU_LY_LENH!$D$2:$D$61,INT((ROW()-1)/2))))</f>
        <v/>
      </c>
      <c r="G53" s="25" t="str">
        <f t="shared" ca="1" si="4"/>
        <v/>
      </c>
      <c r="H53" s="6" t="str">
        <f t="shared" ca="1" si="5"/>
        <v/>
      </c>
    </row>
    <row r="54" spans="1:8">
      <c r="A54" s="5">
        <f t="shared" si="3"/>
        <v>53</v>
      </c>
      <c r="B54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54" s="25" t="str">
        <f ca="1">IF(MOD(ROW(),2)=1,IF(B54="","",INDEX(XU_LY_LENH!$B$2:$B$61,INT((ROW()-1)/2))),IF(B54="","",INDEX(XU_LY_LENH!$I$2:$I$61,INT((ROW()-1)/2))))</f>
        <v/>
      </c>
      <c r="D54" s="25" t="str">
        <f ca="1">IF(MOD(ROW(),2)=1,IF(B54="","",IF(INDEX(XU_LY_LENH!$G$2:$G$61,INT((ROW()-1)/2))="HOLD",C54,MIN(INDEX(XU_LY_LENH!$I$2:$I$61,INT((ROW()-1)/2)),IF(IFERROR(INDEX(XU_LY_LENH!$C$2:$C$61,INT((ROW()-1)/2)+1),"")="",86400,IFERROR(INDEX(XU_LY_LENH!$B$2:$B$61,INT((ROW()-1)/2)+1),"")),86400))),IF(B54="","",MIN(IF(IFERROR(INDEX(XU_LY_LENH!$C$2:$C$61,INT((ROW()-1)/2)+1),"")="",86400,IFERROR(INDEX(XU_LY_LENH!$B$2:$B$61,INT((ROW()-1)/2)+1),"")),86400)))</f>
        <v/>
      </c>
      <c r="E54" s="25" t="str">
        <f ca="1">IF(MOD(ROW(),2)=1,IF(B54="","",INDEX(XU_LY_LENH!$F$2:$F$61,INT((ROW()-1)/2))),IF(B54="","",INDEX(XU_LY_LENH!$D$2:$D$61,INT((ROW()-1)/2))))</f>
        <v/>
      </c>
      <c r="F54" s="25" t="str">
        <f ca="1">IF(MOD(ROW(),2)=1,IF(B54="","",IF(INDEX(XU_LY_LENH!$G$2:$G$61,INT((ROW()-1)/2))="HOLD",E54,IF(D54&gt;=INDEX(XU_LY_LENH!$I$2:$I$61,INT((ROW()-1)/2)),INDEX(XU_LY_LENH!$D$2:$D$61,INT((ROW()-1)/2)),INDEX(XU_LY_LENH!$F$2:$F$61,INT((ROW()-1)/2))+(INDEX(XU_LY_LENH!$D$2:$D$61,INT((ROW()-1)/2))-INDEX(XU_LY_LENH!$F$2:$F$61,INT((ROW()-1)/2)))*(D54-INDEX(XU_LY_LENH!$B$2:$B$61,INT((ROW()-1)/2)))/MAX(INDEX(XU_LY_LENH!$I$2:$I$61,INT((ROW()-1)/2))-INDEX(XU_LY_LENH!$B$2:$B$61,INT((ROW()-1)/2)),0.000001)))),IF(B54="","",INDEX(XU_LY_LENH!$D$2:$D$61,INT((ROW()-1)/2))))</f>
        <v/>
      </c>
      <c r="G54" s="25" t="str">
        <f t="shared" ca="1" si="4"/>
        <v/>
      </c>
      <c r="H54" s="6" t="str">
        <f t="shared" ca="1" si="5"/>
        <v/>
      </c>
    </row>
    <row r="55" spans="1:8">
      <c r="A55" s="5">
        <f t="shared" si="3"/>
        <v>54</v>
      </c>
      <c r="B55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55" s="25" t="str">
        <f ca="1">IF(MOD(ROW(),2)=1,IF(B55="","",INDEX(XU_LY_LENH!$B$2:$B$61,INT((ROW()-1)/2))),IF(B55="","",INDEX(XU_LY_LENH!$I$2:$I$61,INT((ROW()-1)/2))))</f>
        <v/>
      </c>
      <c r="D55" s="25" t="str">
        <f ca="1">IF(MOD(ROW(),2)=1,IF(B55="","",IF(INDEX(XU_LY_LENH!$G$2:$G$61,INT((ROW()-1)/2))="HOLD",C55,MIN(INDEX(XU_LY_LENH!$I$2:$I$61,INT((ROW()-1)/2)),IF(IFERROR(INDEX(XU_LY_LENH!$C$2:$C$61,INT((ROW()-1)/2)+1),"")="",86400,IFERROR(INDEX(XU_LY_LENH!$B$2:$B$61,INT((ROW()-1)/2)+1),"")),86400))),IF(B55="","",MIN(IF(IFERROR(INDEX(XU_LY_LENH!$C$2:$C$61,INT((ROW()-1)/2)+1),"")="",86400,IFERROR(INDEX(XU_LY_LENH!$B$2:$B$61,INT((ROW()-1)/2)+1),"")),86400)))</f>
        <v/>
      </c>
      <c r="E55" s="25" t="str">
        <f ca="1">IF(MOD(ROW(),2)=1,IF(B55="","",INDEX(XU_LY_LENH!$F$2:$F$61,INT((ROW()-1)/2))),IF(B55="","",INDEX(XU_LY_LENH!$D$2:$D$61,INT((ROW()-1)/2))))</f>
        <v/>
      </c>
      <c r="F55" s="25" t="str">
        <f ca="1">IF(MOD(ROW(),2)=1,IF(B55="","",IF(INDEX(XU_LY_LENH!$G$2:$G$61,INT((ROW()-1)/2))="HOLD",E55,IF(D55&gt;=INDEX(XU_LY_LENH!$I$2:$I$61,INT((ROW()-1)/2)),INDEX(XU_LY_LENH!$D$2:$D$61,INT((ROW()-1)/2)),INDEX(XU_LY_LENH!$F$2:$F$61,INT((ROW()-1)/2))+(INDEX(XU_LY_LENH!$D$2:$D$61,INT((ROW()-1)/2))-INDEX(XU_LY_LENH!$F$2:$F$61,INT((ROW()-1)/2)))*(D55-INDEX(XU_LY_LENH!$B$2:$B$61,INT((ROW()-1)/2)))/MAX(INDEX(XU_LY_LENH!$I$2:$I$61,INT((ROW()-1)/2))-INDEX(XU_LY_LENH!$B$2:$B$61,INT((ROW()-1)/2)),0.000001)))),IF(B55="","",INDEX(XU_LY_LENH!$D$2:$D$61,INT((ROW()-1)/2))))</f>
        <v/>
      </c>
      <c r="G55" s="25" t="str">
        <f t="shared" ca="1" si="4"/>
        <v/>
      </c>
      <c r="H55" s="6" t="str">
        <f t="shared" ca="1" si="5"/>
        <v/>
      </c>
    </row>
    <row r="56" spans="1:8">
      <c r="A56" s="5">
        <f t="shared" si="3"/>
        <v>55</v>
      </c>
      <c r="B56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56" s="25" t="str">
        <f ca="1">IF(MOD(ROW(),2)=1,IF(B56="","",INDEX(XU_LY_LENH!$B$2:$B$61,INT((ROW()-1)/2))),IF(B56="","",INDEX(XU_LY_LENH!$I$2:$I$61,INT((ROW()-1)/2))))</f>
        <v/>
      </c>
      <c r="D56" s="25" t="str">
        <f ca="1">IF(MOD(ROW(),2)=1,IF(B56="","",IF(INDEX(XU_LY_LENH!$G$2:$G$61,INT((ROW()-1)/2))="HOLD",C56,MIN(INDEX(XU_LY_LENH!$I$2:$I$61,INT((ROW()-1)/2)),IF(IFERROR(INDEX(XU_LY_LENH!$C$2:$C$61,INT((ROW()-1)/2)+1),"")="",86400,IFERROR(INDEX(XU_LY_LENH!$B$2:$B$61,INT((ROW()-1)/2)+1),"")),86400))),IF(B56="","",MIN(IF(IFERROR(INDEX(XU_LY_LENH!$C$2:$C$61,INT((ROW()-1)/2)+1),"")="",86400,IFERROR(INDEX(XU_LY_LENH!$B$2:$B$61,INT((ROW()-1)/2)+1),"")),86400)))</f>
        <v/>
      </c>
      <c r="E56" s="25" t="str">
        <f ca="1">IF(MOD(ROW(),2)=1,IF(B56="","",INDEX(XU_LY_LENH!$F$2:$F$61,INT((ROW()-1)/2))),IF(B56="","",INDEX(XU_LY_LENH!$D$2:$D$61,INT((ROW()-1)/2))))</f>
        <v/>
      </c>
      <c r="F56" s="25" t="str">
        <f ca="1">IF(MOD(ROW(),2)=1,IF(B56="","",IF(INDEX(XU_LY_LENH!$G$2:$G$61,INT((ROW()-1)/2))="HOLD",E56,IF(D56&gt;=INDEX(XU_LY_LENH!$I$2:$I$61,INT((ROW()-1)/2)),INDEX(XU_LY_LENH!$D$2:$D$61,INT((ROW()-1)/2)),INDEX(XU_LY_LENH!$F$2:$F$61,INT((ROW()-1)/2))+(INDEX(XU_LY_LENH!$D$2:$D$61,INT((ROW()-1)/2))-INDEX(XU_LY_LENH!$F$2:$F$61,INT((ROW()-1)/2)))*(D56-INDEX(XU_LY_LENH!$B$2:$B$61,INT((ROW()-1)/2)))/MAX(INDEX(XU_LY_LENH!$I$2:$I$61,INT((ROW()-1)/2))-INDEX(XU_LY_LENH!$B$2:$B$61,INT((ROW()-1)/2)),0.000001)))),IF(B56="","",INDEX(XU_LY_LENH!$D$2:$D$61,INT((ROW()-1)/2))))</f>
        <v/>
      </c>
      <c r="G56" s="25" t="str">
        <f t="shared" ca="1" si="4"/>
        <v/>
      </c>
      <c r="H56" s="6" t="str">
        <f t="shared" ca="1" si="5"/>
        <v/>
      </c>
    </row>
    <row r="57" spans="1:8">
      <c r="A57" s="5">
        <f t="shared" si="3"/>
        <v>56</v>
      </c>
      <c r="B57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57" s="25" t="str">
        <f ca="1">IF(MOD(ROW(),2)=1,IF(B57="","",INDEX(XU_LY_LENH!$B$2:$B$61,INT((ROW()-1)/2))),IF(B57="","",INDEX(XU_LY_LENH!$I$2:$I$61,INT((ROW()-1)/2))))</f>
        <v/>
      </c>
      <c r="D57" s="25" t="str">
        <f ca="1">IF(MOD(ROW(),2)=1,IF(B57="","",IF(INDEX(XU_LY_LENH!$G$2:$G$61,INT((ROW()-1)/2))="HOLD",C57,MIN(INDEX(XU_LY_LENH!$I$2:$I$61,INT((ROW()-1)/2)),IF(IFERROR(INDEX(XU_LY_LENH!$C$2:$C$61,INT((ROW()-1)/2)+1),"")="",86400,IFERROR(INDEX(XU_LY_LENH!$B$2:$B$61,INT((ROW()-1)/2)+1),"")),86400))),IF(B57="","",MIN(IF(IFERROR(INDEX(XU_LY_LENH!$C$2:$C$61,INT((ROW()-1)/2)+1),"")="",86400,IFERROR(INDEX(XU_LY_LENH!$B$2:$B$61,INT((ROW()-1)/2)+1),"")),86400)))</f>
        <v/>
      </c>
      <c r="E57" s="25" t="str">
        <f ca="1">IF(MOD(ROW(),2)=1,IF(B57="","",INDEX(XU_LY_LENH!$F$2:$F$61,INT((ROW()-1)/2))),IF(B57="","",INDEX(XU_LY_LENH!$D$2:$D$61,INT((ROW()-1)/2))))</f>
        <v/>
      </c>
      <c r="F57" s="25" t="str">
        <f ca="1">IF(MOD(ROW(),2)=1,IF(B57="","",IF(INDEX(XU_LY_LENH!$G$2:$G$61,INT((ROW()-1)/2))="HOLD",E57,IF(D57&gt;=INDEX(XU_LY_LENH!$I$2:$I$61,INT((ROW()-1)/2)),INDEX(XU_LY_LENH!$D$2:$D$61,INT((ROW()-1)/2)),INDEX(XU_LY_LENH!$F$2:$F$61,INT((ROW()-1)/2))+(INDEX(XU_LY_LENH!$D$2:$D$61,INT((ROW()-1)/2))-INDEX(XU_LY_LENH!$F$2:$F$61,INT((ROW()-1)/2)))*(D57-INDEX(XU_LY_LENH!$B$2:$B$61,INT((ROW()-1)/2)))/MAX(INDEX(XU_LY_LENH!$I$2:$I$61,INT((ROW()-1)/2))-INDEX(XU_LY_LENH!$B$2:$B$61,INT((ROW()-1)/2)),0.000001)))),IF(B57="","",INDEX(XU_LY_LENH!$D$2:$D$61,INT((ROW()-1)/2))))</f>
        <v/>
      </c>
      <c r="G57" s="25" t="str">
        <f t="shared" ca="1" si="4"/>
        <v/>
      </c>
      <c r="H57" s="6" t="str">
        <f t="shared" ca="1" si="5"/>
        <v/>
      </c>
    </row>
    <row r="58" spans="1:8">
      <c r="A58" s="5">
        <f t="shared" si="3"/>
        <v>57</v>
      </c>
      <c r="B58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58" s="25" t="str">
        <f ca="1">IF(MOD(ROW(),2)=1,IF(B58="","",INDEX(XU_LY_LENH!$B$2:$B$61,INT((ROW()-1)/2))),IF(B58="","",INDEX(XU_LY_LENH!$I$2:$I$61,INT((ROW()-1)/2))))</f>
        <v/>
      </c>
      <c r="D58" s="25" t="str">
        <f ca="1">IF(MOD(ROW(),2)=1,IF(B58="","",IF(INDEX(XU_LY_LENH!$G$2:$G$61,INT((ROW()-1)/2))="HOLD",C58,MIN(INDEX(XU_LY_LENH!$I$2:$I$61,INT((ROW()-1)/2)),IF(IFERROR(INDEX(XU_LY_LENH!$C$2:$C$61,INT((ROW()-1)/2)+1),"")="",86400,IFERROR(INDEX(XU_LY_LENH!$B$2:$B$61,INT((ROW()-1)/2)+1),"")),86400))),IF(B58="","",MIN(IF(IFERROR(INDEX(XU_LY_LENH!$C$2:$C$61,INT((ROW()-1)/2)+1),"")="",86400,IFERROR(INDEX(XU_LY_LENH!$B$2:$B$61,INT((ROW()-1)/2)+1),"")),86400)))</f>
        <v/>
      </c>
      <c r="E58" s="25" t="str">
        <f ca="1">IF(MOD(ROW(),2)=1,IF(B58="","",INDEX(XU_LY_LENH!$F$2:$F$61,INT((ROW()-1)/2))),IF(B58="","",INDEX(XU_LY_LENH!$D$2:$D$61,INT((ROW()-1)/2))))</f>
        <v/>
      </c>
      <c r="F58" s="25" t="str">
        <f ca="1">IF(MOD(ROW(),2)=1,IF(B58="","",IF(INDEX(XU_LY_LENH!$G$2:$G$61,INT((ROW()-1)/2))="HOLD",E58,IF(D58&gt;=INDEX(XU_LY_LENH!$I$2:$I$61,INT((ROW()-1)/2)),INDEX(XU_LY_LENH!$D$2:$D$61,INT((ROW()-1)/2)),INDEX(XU_LY_LENH!$F$2:$F$61,INT((ROW()-1)/2))+(INDEX(XU_LY_LENH!$D$2:$D$61,INT((ROW()-1)/2))-INDEX(XU_LY_LENH!$F$2:$F$61,INT((ROW()-1)/2)))*(D58-INDEX(XU_LY_LENH!$B$2:$B$61,INT((ROW()-1)/2)))/MAX(INDEX(XU_LY_LENH!$I$2:$I$61,INT((ROW()-1)/2))-INDEX(XU_LY_LENH!$B$2:$B$61,INT((ROW()-1)/2)),0.000001)))),IF(B58="","",INDEX(XU_LY_LENH!$D$2:$D$61,INT((ROW()-1)/2))))</f>
        <v/>
      </c>
      <c r="G58" s="25" t="str">
        <f t="shared" ca="1" si="4"/>
        <v/>
      </c>
      <c r="H58" s="6" t="str">
        <f t="shared" ca="1" si="5"/>
        <v/>
      </c>
    </row>
    <row r="59" spans="1:8">
      <c r="A59" s="5">
        <f t="shared" si="3"/>
        <v>58</v>
      </c>
      <c r="B59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59" s="25" t="str">
        <f ca="1">IF(MOD(ROW(),2)=1,IF(B59="","",INDEX(XU_LY_LENH!$B$2:$B$61,INT((ROW()-1)/2))),IF(B59="","",INDEX(XU_LY_LENH!$I$2:$I$61,INT((ROW()-1)/2))))</f>
        <v/>
      </c>
      <c r="D59" s="25" t="str">
        <f ca="1">IF(MOD(ROW(),2)=1,IF(B59="","",IF(INDEX(XU_LY_LENH!$G$2:$G$61,INT((ROW()-1)/2))="HOLD",C59,MIN(INDEX(XU_LY_LENH!$I$2:$I$61,INT((ROW()-1)/2)),IF(IFERROR(INDEX(XU_LY_LENH!$C$2:$C$61,INT((ROW()-1)/2)+1),"")="",86400,IFERROR(INDEX(XU_LY_LENH!$B$2:$B$61,INT((ROW()-1)/2)+1),"")),86400))),IF(B59="","",MIN(IF(IFERROR(INDEX(XU_LY_LENH!$C$2:$C$61,INT((ROW()-1)/2)+1),"")="",86400,IFERROR(INDEX(XU_LY_LENH!$B$2:$B$61,INT((ROW()-1)/2)+1),"")),86400)))</f>
        <v/>
      </c>
      <c r="E59" s="25" t="str">
        <f ca="1">IF(MOD(ROW(),2)=1,IF(B59="","",INDEX(XU_LY_LENH!$F$2:$F$61,INT((ROW()-1)/2))),IF(B59="","",INDEX(XU_LY_LENH!$D$2:$D$61,INT((ROW()-1)/2))))</f>
        <v/>
      </c>
      <c r="F59" s="25" t="str">
        <f ca="1">IF(MOD(ROW(),2)=1,IF(B59="","",IF(INDEX(XU_LY_LENH!$G$2:$G$61,INT((ROW()-1)/2))="HOLD",E59,IF(D59&gt;=INDEX(XU_LY_LENH!$I$2:$I$61,INT((ROW()-1)/2)),INDEX(XU_LY_LENH!$D$2:$D$61,INT((ROW()-1)/2)),INDEX(XU_LY_LENH!$F$2:$F$61,INT((ROW()-1)/2))+(INDEX(XU_LY_LENH!$D$2:$D$61,INT((ROW()-1)/2))-INDEX(XU_LY_LENH!$F$2:$F$61,INT((ROW()-1)/2)))*(D59-INDEX(XU_LY_LENH!$B$2:$B$61,INT((ROW()-1)/2)))/MAX(INDEX(XU_LY_LENH!$I$2:$I$61,INT((ROW()-1)/2))-INDEX(XU_LY_LENH!$B$2:$B$61,INT((ROW()-1)/2)),0.000001)))),IF(B59="","",INDEX(XU_LY_LENH!$D$2:$D$61,INT((ROW()-1)/2))))</f>
        <v/>
      </c>
      <c r="G59" s="25" t="str">
        <f t="shared" ca="1" si="4"/>
        <v/>
      </c>
      <c r="H59" s="6" t="str">
        <f t="shared" ca="1" si="5"/>
        <v/>
      </c>
    </row>
    <row r="60" spans="1:8">
      <c r="A60" s="5">
        <f t="shared" si="3"/>
        <v>59</v>
      </c>
      <c r="B60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60" s="25" t="str">
        <f ca="1">IF(MOD(ROW(),2)=1,IF(B60="","",INDEX(XU_LY_LENH!$B$2:$B$61,INT((ROW()-1)/2))),IF(B60="","",INDEX(XU_LY_LENH!$I$2:$I$61,INT((ROW()-1)/2))))</f>
        <v/>
      </c>
      <c r="D60" s="25" t="str">
        <f ca="1">IF(MOD(ROW(),2)=1,IF(B60="","",IF(INDEX(XU_LY_LENH!$G$2:$G$61,INT((ROW()-1)/2))="HOLD",C60,MIN(INDEX(XU_LY_LENH!$I$2:$I$61,INT((ROW()-1)/2)),IF(IFERROR(INDEX(XU_LY_LENH!$C$2:$C$61,INT((ROW()-1)/2)+1),"")="",86400,IFERROR(INDEX(XU_LY_LENH!$B$2:$B$61,INT((ROW()-1)/2)+1),"")),86400))),IF(B60="","",MIN(IF(IFERROR(INDEX(XU_LY_LENH!$C$2:$C$61,INT((ROW()-1)/2)+1),"")="",86400,IFERROR(INDEX(XU_LY_LENH!$B$2:$B$61,INT((ROW()-1)/2)+1),"")),86400)))</f>
        <v/>
      </c>
      <c r="E60" s="25" t="str">
        <f ca="1">IF(MOD(ROW(),2)=1,IF(B60="","",INDEX(XU_LY_LENH!$F$2:$F$61,INT((ROW()-1)/2))),IF(B60="","",INDEX(XU_LY_LENH!$D$2:$D$61,INT((ROW()-1)/2))))</f>
        <v/>
      </c>
      <c r="F60" s="25" t="str">
        <f ca="1">IF(MOD(ROW(),2)=1,IF(B60="","",IF(INDEX(XU_LY_LENH!$G$2:$G$61,INT((ROW()-1)/2))="HOLD",E60,IF(D60&gt;=INDEX(XU_LY_LENH!$I$2:$I$61,INT((ROW()-1)/2)),INDEX(XU_LY_LENH!$D$2:$D$61,INT((ROW()-1)/2)),INDEX(XU_LY_LENH!$F$2:$F$61,INT((ROW()-1)/2))+(INDEX(XU_LY_LENH!$D$2:$D$61,INT((ROW()-1)/2))-INDEX(XU_LY_LENH!$F$2:$F$61,INT((ROW()-1)/2)))*(D60-INDEX(XU_LY_LENH!$B$2:$B$61,INT((ROW()-1)/2)))/MAX(INDEX(XU_LY_LENH!$I$2:$I$61,INT((ROW()-1)/2))-INDEX(XU_LY_LENH!$B$2:$B$61,INT((ROW()-1)/2)),0.000001)))),IF(B60="","",INDEX(XU_LY_LENH!$D$2:$D$61,INT((ROW()-1)/2))))</f>
        <v/>
      </c>
      <c r="G60" s="25" t="str">
        <f t="shared" ca="1" si="4"/>
        <v/>
      </c>
      <c r="H60" s="6" t="str">
        <f t="shared" ca="1" si="5"/>
        <v/>
      </c>
    </row>
    <row r="61" spans="1:8">
      <c r="A61" s="5">
        <f t="shared" si="3"/>
        <v>60</v>
      </c>
      <c r="B61" s="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61" s="25" t="str">
        <f ca="1">IF(MOD(ROW(),2)=1,IF(B61="","",INDEX(XU_LY_LENH!$B$2:$B$61,INT((ROW()-1)/2))),IF(B61="","",INDEX(XU_LY_LENH!$I$2:$I$61,INT((ROW()-1)/2))))</f>
        <v/>
      </c>
      <c r="D61" s="25" t="str">
        <f ca="1">IF(MOD(ROW(),2)=1,IF(B61="","",IF(INDEX(XU_LY_LENH!$G$2:$G$61,INT((ROW()-1)/2))="HOLD",C61,MIN(INDEX(XU_LY_LENH!$I$2:$I$61,INT((ROW()-1)/2)),IF(IFERROR(INDEX(XU_LY_LENH!$C$2:$C$61,INT((ROW()-1)/2)+1),"")="",86400,IFERROR(INDEX(XU_LY_LENH!$B$2:$B$61,INT((ROW()-1)/2)+1),"")),86400))),IF(B61="","",MIN(IF(IFERROR(INDEX(XU_LY_LENH!$C$2:$C$61,INT((ROW()-1)/2)+1),"")="",86400,IFERROR(INDEX(XU_LY_LENH!$B$2:$B$61,INT((ROW()-1)/2)+1),"")),86400)))</f>
        <v/>
      </c>
      <c r="E61" s="25" t="str">
        <f ca="1">IF(MOD(ROW(),2)=1,IF(B61="","",INDEX(XU_LY_LENH!$F$2:$F$61,INT((ROW()-1)/2))),IF(B61="","",INDEX(XU_LY_LENH!$D$2:$D$61,INT((ROW()-1)/2))))</f>
        <v/>
      </c>
      <c r="F61" s="25" t="str">
        <f ca="1">IF(MOD(ROW(),2)=1,IF(B61="","",IF(INDEX(XU_LY_LENH!$G$2:$G$61,INT((ROW()-1)/2))="HOLD",E61,IF(D61&gt;=INDEX(XU_LY_LENH!$I$2:$I$61,INT((ROW()-1)/2)),INDEX(XU_LY_LENH!$D$2:$D$61,INT((ROW()-1)/2)),INDEX(XU_LY_LENH!$F$2:$F$61,INT((ROW()-1)/2))+(INDEX(XU_LY_LENH!$D$2:$D$61,INT((ROW()-1)/2))-INDEX(XU_LY_LENH!$F$2:$F$61,INT((ROW()-1)/2)))*(D61-INDEX(XU_LY_LENH!$B$2:$B$61,INT((ROW()-1)/2)))/MAX(INDEX(XU_LY_LENH!$I$2:$I$61,INT((ROW()-1)/2))-INDEX(XU_LY_LENH!$B$2:$B$61,INT((ROW()-1)/2)),0.000001)))),IF(B61="","",INDEX(XU_LY_LENH!$D$2:$D$61,INT((ROW()-1)/2))))</f>
        <v/>
      </c>
      <c r="G61" s="25" t="str">
        <f t="shared" ca="1" si="4"/>
        <v/>
      </c>
      <c r="H61" s="6" t="str">
        <f t="shared" ca="1" si="5"/>
        <v/>
      </c>
    </row>
    <row r="62" spans="1:8">
      <c r="A62" s="7">
        <f t="shared" si="3"/>
        <v>61</v>
      </c>
      <c r="B62" s="14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62" s="26" t="str">
        <f ca="1">IF(MOD(ROW(),2)=1,IF(B62="","",INDEX(XU_LY_LENH!$B$2:$B$61,INT((ROW()-1)/2))),IF(B62="","",INDEX(XU_LY_LENH!$I$2:$I$61,INT((ROW()-1)/2))))</f>
        <v/>
      </c>
      <c r="D62" s="26" t="str">
        <f ca="1">IF(MOD(ROW(),2)=1,IF(B62="","",IF(INDEX(XU_LY_LENH!$G$2:$G$61,INT((ROW()-1)/2))="HOLD",C62,MIN(INDEX(XU_LY_LENH!$I$2:$I$61,INT((ROW()-1)/2)),IF(IFERROR(INDEX(XU_LY_LENH!$C$2:$C$61,INT((ROW()-1)/2)+1),"")="",86400,IFERROR(INDEX(XU_LY_LENH!$B$2:$B$61,INT((ROW()-1)/2)+1),"")),86400))),IF(B62="","",MIN(IF(IFERROR(INDEX(XU_LY_LENH!$C$2:$C$61,INT((ROW()-1)/2)+1),"")="",86400,IFERROR(INDEX(XU_LY_LENH!$B$2:$B$61,INT((ROW()-1)/2)+1),"")),86400)))</f>
        <v/>
      </c>
      <c r="E62" s="26" t="str">
        <f ca="1">IF(MOD(ROW(),2)=1,IF(B62="","",INDEX(XU_LY_LENH!$F$2:$F$61,INT((ROW()-1)/2))),IF(B62="","",INDEX(XU_LY_LENH!$D$2:$D$61,INT((ROW()-1)/2))))</f>
        <v/>
      </c>
      <c r="F62" s="26" t="str">
        <f ca="1">IF(MOD(ROW(),2)=1,IF(B62="","",IF(INDEX(XU_LY_LENH!$G$2:$G$61,INT((ROW()-1)/2))="HOLD",E62,IF(D62&gt;=INDEX(XU_LY_LENH!$I$2:$I$61,INT((ROW()-1)/2)),INDEX(XU_LY_LENH!$D$2:$D$61,INT((ROW()-1)/2)),INDEX(XU_LY_LENH!$F$2:$F$61,INT((ROW()-1)/2))+(INDEX(XU_LY_LENH!$D$2:$D$61,INT((ROW()-1)/2))-INDEX(XU_LY_LENH!$F$2:$F$61,INT((ROW()-1)/2)))*(D62-INDEX(XU_LY_LENH!$B$2:$B$61,INT((ROW()-1)/2)))/MAX(INDEX(XU_LY_LENH!$I$2:$I$61,INT((ROW()-1)/2))-INDEX(XU_LY_LENH!$B$2:$B$61,INT((ROW()-1)/2)),0.000001)))),IF(B62="","",INDEX(XU_LY_LENH!$D$2:$D$61,INT((ROW()-1)/2))))</f>
        <v/>
      </c>
      <c r="G62" s="26" t="str">
        <f t="shared" ca="1" si="4"/>
        <v/>
      </c>
      <c r="H62" s="8" t="str">
        <f t="shared" ca="1" si="5"/>
        <v/>
      </c>
    </row>
    <row r="63" spans="1:8">
      <c r="A63">
        <f t="shared" si="3"/>
        <v>62</v>
      </c>
      <c r="B6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63" t="str">
        <f ca="1">IF(MOD(ROW(),2)=1,IF(B63="","",INDEX(XU_LY_LENH!$B$2:$B$61,INT((ROW()-1)/2))),IF(B63="","",INDEX(XU_LY_LENH!$I$2:$I$61,INT((ROW()-1)/2))))</f>
        <v/>
      </c>
      <c r="D63" t="str">
        <f ca="1">IF(MOD(ROW(),2)=1,IF(B63="","",IF(INDEX(XU_LY_LENH!$G$2:$G$61,INT((ROW()-1)/2))="HOLD",C63,MIN(INDEX(XU_LY_LENH!$I$2:$I$61,INT((ROW()-1)/2)),IF(IFERROR(INDEX(XU_LY_LENH!$C$2:$C$61,INT((ROW()-1)/2)+1),"")="",86400,IFERROR(INDEX(XU_LY_LENH!$B$2:$B$61,INT((ROW()-1)/2)+1),"")),86400))),IF(B63="","",MIN(IF(IFERROR(INDEX(XU_LY_LENH!$C$2:$C$61,INT((ROW()-1)/2)+1),"")="",86400,IFERROR(INDEX(XU_LY_LENH!$B$2:$B$61,INT((ROW()-1)/2)+1),"")),86400)))</f>
        <v/>
      </c>
      <c r="E63" t="str">
        <f ca="1">IF(MOD(ROW(),2)=1,IF(B63="","",INDEX(XU_LY_LENH!$F$2:$F$61,INT((ROW()-1)/2))),IF(B63="","",INDEX(XU_LY_LENH!$D$2:$D$61,INT((ROW()-1)/2))))</f>
        <v/>
      </c>
      <c r="F63" t="str">
        <f ca="1">IF(MOD(ROW(),2)=1,IF(B63="","",IF(INDEX(XU_LY_LENH!$G$2:$G$61,INT((ROW()-1)/2))="HOLD",E63,IF(D63&gt;=INDEX(XU_LY_LENH!$I$2:$I$61,INT((ROW()-1)/2)),INDEX(XU_LY_LENH!$D$2:$D$61,INT((ROW()-1)/2)),INDEX(XU_LY_LENH!$F$2:$F$61,INT((ROW()-1)/2))+(INDEX(XU_LY_LENH!$D$2:$D$61,INT((ROW()-1)/2))-INDEX(XU_LY_LENH!$F$2:$F$61,INT((ROW()-1)/2)))*(D63-INDEX(XU_LY_LENH!$B$2:$B$61,INT((ROW()-1)/2)))/MAX(INDEX(XU_LY_LENH!$I$2:$I$61,INT((ROW()-1)/2))-INDEX(XU_LY_LENH!$B$2:$B$61,INT((ROW()-1)/2)),0.000001)))),IF(B63="","",INDEX(XU_LY_LENH!$D$2:$D$61,INT((ROW()-1)/2))))</f>
        <v/>
      </c>
      <c r="G63" t="str">
        <f t="shared" ca="1" si="4"/>
        <v/>
      </c>
      <c r="H63" t="str">
        <f t="shared" ca="1" si="5"/>
        <v/>
      </c>
    </row>
    <row r="64" spans="1:8">
      <c r="A64">
        <f t="shared" si="3"/>
        <v>63</v>
      </c>
      <c r="B64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64" t="str">
        <f ca="1">IF(MOD(ROW(),2)=1,IF(B64="","",INDEX(XU_LY_LENH!$B$2:$B$61,INT((ROW()-1)/2))),IF(B64="","",INDEX(XU_LY_LENH!$I$2:$I$61,INT((ROW()-1)/2))))</f>
        <v/>
      </c>
      <c r="D64" t="str">
        <f ca="1">IF(MOD(ROW(),2)=1,IF(B64="","",IF(INDEX(XU_LY_LENH!$G$2:$G$61,INT((ROW()-1)/2))="HOLD",C64,MIN(INDEX(XU_LY_LENH!$I$2:$I$61,INT((ROW()-1)/2)),IF(IFERROR(INDEX(XU_LY_LENH!$C$2:$C$61,INT((ROW()-1)/2)+1),"")="",86400,IFERROR(INDEX(XU_LY_LENH!$B$2:$B$61,INT((ROW()-1)/2)+1),"")),86400))),IF(B64="","",MIN(IF(IFERROR(INDEX(XU_LY_LENH!$C$2:$C$61,INT((ROW()-1)/2)+1),"")="",86400,IFERROR(INDEX(XU_LY_LENH!$B$2:$B$61,INT((ROW()-1)/2)+1),"")),86400)))</f>
        <v/>
      </c>
      <c r="E64" t="str">
        <f ca="1">IF(MOD(ROW(),2)=1,IF(B64="","",INDEX(XU_LY_LENH!$F$2:$F$61,INT((ROW()-1)/2))),IF(B64="","",INDEX(XU_LY_LENH!$D$2:$D$61,INT((ROW()-1)/2))))</f>
        <v/>
      </c>
      <c r="F64" t="str">
        <f ca="1">IF(MOD(ROW(),2)=1,IF(B64="","",IF(INDEX(XU_LY_LENH!$G$2:$G$61,INT((ROW()-1)/2))="HOLD",E64,IF(D64&gt;=INDEX(XU_LY_LENH!$I$2:$I$61,INT((ROW()-1)/2)),INDEX(XU_LY_LENH!$D$2:$D$61,INT((ROW()-1)/2)),INDEX(XU_LY_LENH!$F$2:$F$61,INT((ROW()-1)/2))+(INDEX(XU_LY_LENH!$D$2:$D$61,INT((ROW()-1)/2))-INDEX(XU_LY_LENH!$F$2:$F$61,INT((ROW()-1)/2)))*(D64-INDEX(XU_LY_LENH!$B$2:$B$61,INT((ROW()-1)/2)))/MAX(INDEX(XU_LY_LENH!$I$2:$I$61,INT((ROW()-1)/2))-INDEX(XU_LY_LENH!$B$2:$B$61,INT((ROW()-1)/2)),0.000001)))),IF(B64="","",INDEX(XU_LY_LENH!$D$2:$D$61,INT((ROW()-1)/2))))</f>
        <v/>
      </c>
      <c r="G64" t="str">
        <f t="shared" ca="1" si="4"/>
        <v/>
      </c>
      <c r="H64" t="str">
        <f t="shared" ca="1" si="5"/>
        <v/>
      </c>
    </row>
    <row r="65" spans="1:8">
      <c r="A65">
        <f t="shared" si="3"/>
        <v>64</v>
      </c>
      <c r="B65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65" t="str">
        <f ca="1">IF(MOD(ROW(),2)=1,IF(B65="","",INDEX(XU_LY_LENH!$B$2:$B$61,INT((ROW()-1)/2))),IF(B65="","",INDEX(XU_LY_LENH!$I$2:$I$61,INT((ROW()-1)/2))))</f>
        <v/>
      </c>
      <c r="D65" t="str">
        <f ca="1">IF(MOD(ROW(),2)=1,IF(B65="","",IF(INDEX(XU_LY_LENH!$G$2:$G$61,INT((ROW()-1)/2))="HOLD",C65,MIN(INDEX(XU_LY_LENH!$I$2:$I$61,INT((ROW()-1)/2)),IF(IFERROR(INDEX(XU_LY_LENH!$C$2:$C$61,INT((ROW()-1)/2)+1),"")="",86400,IFERROR(INDEX(XU_LY_LENH!$B$2:$B$61,INT((ROW()-1)/2)+1),"")),86400))),IF(B65="","",MIN(IF(IFERROR(INDEX(XU_LY_LENH!$C$2:$C$61,INT((ROW()-1)/2)+1),"")="",86400,IFERROR(INDEX(XU_LY_LENH!$B$2:$B$61,INT((ROW()-1)/2)+1),"")),86400)))</f>
        <v/>
      </c>
      <c r="E65" t="str">
        <f ca="1">IF(MOD(ROW(),2)=1,IF(B65="","",INDEX(XU_LY_LENH!$F$2:$F$61,INT((ROW()-1)/2))),IF(B65="","",INDEX(XU_LY_LENH!$D$2:$D$61,INT((ROW()-1)/2))))</f>
        <v/>
      </c>
      <c r="F65" t="str">
        <f ca="1">IF(MOD(ROW(),2)=1,IF(B65="","",IF(INDEX(XU_LY_LENH!$G$2:$G$61,INT((ROW()-1)/2))="HOLD",E65,IF(D65&gt;=INDEX(XU_LY_LENH!$I$2:$I$61,INT((ROW()-1)/2)),INDEX(XU_LY_LENH!$D$2:$D$61,INT((ROW()-1)/2)),INDEX(XU_LY_LENH!$F$2:$F$61,INT((ROW()-1)/2))+(INDEX(XU_LY_LENH!$D$2:$D$61,INT((ROW()-1)/2))-INDEX(XU_LY_LENH!$F$2:$F$61,INT((ROW()-1)/2)))*(D65-INDEX(XU_LY_LENH!$B$2:$B$61,INT((ROW()-1)/2)))/MAX(INDEX(XU_LY_LENH!$I$2:$I$61,INT((ROW()-1)/2))-INDEX(XU_LY_LENH!$B$2:$B$61,INT((ROW()-1)/2)),0.000001)))),IF(B65="","",INDEX(XU_LY_LENH!$D$2:$D$61,INT((ROW()-1)/2))))</f>
        <v/>
      </c>
      <c r="G65" t="str">
        <f t="shared" ca="1" si="4"/>
        <v/>
      </c>
      <c r="H65" t="str">
        <f t="shared" ca="1" si="5"/>
        <v/>
      </c>
    </row>
    <row r="66" spans="1:8">
      <c r="A66">
        <f t="shared" si="3"/>
        <v>65</v>
      </c>
      <c r="B66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66" t="str">
        <f ca="1">IF(MOD(ROW(),2)=1,IF(B66="","",INDEX(XU_LY_LENH!$B$2:$B$61,INT((ROW()-1)/2))),IF(B66="","",INDEX(XU_LY_LENH!$I$2:$I$61,INT((ROW()-1)/2))))</f>
        <v/>
      </c>
      <c r="D66" t="str">
        <f ca="1">IF(MOD(ROW(),2)=1,IF(B66="","",IF(INDEX(XU_LY_LENH!$G$2:$G$61,INT((ROW()-1)/2))="HOLD",C66,MIN(INDEX(XU_LY_LENH!$I$2:$I$61,INT((ROW()-1)/2)),IF(IFERROR(INDEX(XU_LY_LENH!$C$2:$C$61,INT((ROW()-1)/2)+1),"")="",86400,IFERROR(INDEX(XU_LY_LENH!$B$2:$B$61,INT((ROW()-1)/2)+1),"")),86400))),IF(B66="","",MIN(IF(IFERROR(INDEX(XU_LY_LENH!$C$2:$C$61,INT((ROW()-1)/2)+1),"")="",86400,IFERROR(INDEX(XU_LY_LENH!$B$2:$B$61,INT((ROW()-1)/2)+1),"")),86400)))</f>
        <v/>
      </c>
      <c r="E66" t="str">
        <f ca="1">IF(MOD(ROW(),2)=1,IF(B66="","",INDEX(XU_LY_LENH!$F$2:$F$61,INT((ROW()-1)/2))),IF(B66="","",INDEX(XU_LY_LENH!$D$2:$D$61,INT((ROW()-1)/2))))</f>
        <v/>
      </c>
      <c r="F66" t="str">
        <f ca="1">IF(MOD(ROW(),2)=1,IF(B66="","",IF(INDEX(XU_LY_LENH!$G$2:$G$61,INT((ROW()-1)/2))="HOLD",E66,IF(D66&gt;=INDEX(XU_LY_LENH!$I$2:$I$61,INT((ROW()-1)/2)),INDEX(XU_LY_LENH!$D$2:$D$61,INT((ROW()-1)/2)),INDEX(XU_LY_LENH!$F$2:$F$61,INT((ROW()-1)/2))+(INDEX(XU_LY_LENH!$D$2:$D$61,INT((ROW()-1)/2))-INDEX(XU_LY_LENH!$F$2:$F$61,INT((ROW()-1)/2)))*(D66-INDEX(XU_LY_LENH!$B$2:$B$61,INT((ROW()-1)/2)))/MAX(INDEX(XU_LY_LENH!$I$2:$I$61,INT((ROW()-1)/2))-INDEX(XU_LY_LENH!$B$2:$B$61,INT((ROW()-1)/2)),0.000001)))),IF(B66="","",INDEX(XU_LY_LENH!$D$2:$D$61,INT((ROW()-1)/2))))</f>
        <v/>
      </c>
      <c r="G66" t="str">
        <f t="shared" ca="1" si="4"/>
        <v/>
      </c>
      <c r="H66" t="str">
        <f t="shared" ca="1" si="5"/>
        <v/>
      </c>
    </row>
    <row r="67" spans="1:8">
      <c r="A67">
        <f t="shared" ref="A67:A98" si="6">ROW()-1</f>
        <v>66</v>
      </c>
      <c r="B67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67" t="str">
        <f ca="1">IF(MOD(ROW(),2)=1,IF(B67="","",INDEX(XU_LY_LENH!$B$2:$B$61,INT((ROW()-1)/2))),IF(B67="","",INDEX(XU_LY_LENH!$I$2:$I$61,INT((ROW()-1)/2))))</f>
        <v/>
      </c>
      <c r="D67" t="str">
        <f ca="1">IF(MOD(ROW(),2)=1,IF(B67="","",IF(INDEX(XU_LY_LENH!$G$2:$G$61,INT((ROW()-1)/2))="HOLD",C67,MIN(INDEX(XU_LY_LENH!$I$2:$I$61,INT((ROW()-1)/2)),IF(IFERROR(INDEX(XU_LY_LENH!$C$2:$C$61,INT((ROW()-1)/2)+1),"")="",86400,IFERROR(INDEX(XU_LY_LENH!$B$2:$B$61,INT((ROW()-1)/2)+1),"")),86400))),IF(B67="","",MIN(IF(IFERROR(INDEX(XU_LY_LENH!$C$2:$C$61,INT((ROW()-1)/2)+1),"")="",86400,IFERROR(INDEX(XU_LY_LENH!$B$2:$B$61,INT((ROW()-1)/2)+1),"")),86400)))</f>
        <v/>
      </c>
      <c r="E67" t="str">
        <f ca="1">IF(MOD(ROW(),2)=1,IF(B67="","",INDEX(XU_LY_LENH!$F$2:$F$61,INT((ROW()-1)/2))),IF(B67="","",INDEX(XU_LY_LENH!$D$2:$D$61,INT((ROW()-1)/2))))</f>
        <v/>
      </c>
      <c r="F67" t="str">
        <f ca="1">IF(MOD(ROW(),2)=1,IF(B67="","",IF(INDEX(XU_LY_LENH!$G$2:$G$61,INT((ROW()-1)/2))="HOLD",E67,IF(D67&gt;=INDEX(XU_LY_LENH!$I$2:$I$61,INT((ROW()-1)/2)),INDEX(XU_LY_LENH!$D$2:$D$61,INT((ROW()-1)/2)),INDEX(XU_LY_LENH!$F$2:$F$61,INT((ROW()-1)/2))+(INDEX(XU_LY_LENH!$D$2:$D$61,INT((ROW()-1)/2))-INDEX(XU_LY_LENH!$F$2:$F$61,INT((ROW()-1)/2)))*(D67-INDEX(XU_LY_LENH!$B$2:$B$61,INT((ROW()-1)/2)))/MAX(INDEX(XU_LY_LENH!$I$2:$I$61,INT((ROW()-1)/2))-INDEX(XU_LY_LENH!$B$2:$B$61,INT((ROW()-1)/2)),0.000001)))),IF(B67="","",INDEX(XU_LY_LENH!$D$2:$D$61,INT((ROW()-1)/2))))</f>
        <v/>
      </c>
      <c r="G67" t="str">
        <f t="shared" ref="G67:G98" ca="1" si="7">IF(B67="","",D67-C67)</f>
        <v/>
      </c>
      <c r="H67" t="str">
        <f t="shared" ref="H67:H98" ca="1" si="8">IF(B67="","",IF(MOD(ROW(),2)=1,"Ramp lệnh "&amp;INT((ROW()-1)/2),"Giữ sau lệnh "&amp;INT((ROW()-1)/2)))</f>
        <v/>
      </c>
    </row>
    <row r="68" spans="1:8">
      <c r="A68">
        <f t="shared" si="6"/>
        <v>67</v>
      </c>
      <c r="B68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68" t="str">
        <f ca="1">IF(MOD(ROW(),2)=1,IF(B68="","",INDEX(XU_LY_LENH!$B$2:$B$61,INT((ROW()-1)/2))),IF(B68="","",INDEX(XU_LY_LENH!$I$2:$I$61,INT((ROW()-1)/2))))</f>
        <v/>
      </c>
      <c r="D68" t="str">
        <f ca="1">IF(MOD(ROW(),2)=1,IF(B68="","",IF(INDEX(XU_LY_LENH!$G$2:$G$61,INT((ROW()-1)/2))="HOLD",C68,MIN(INDEX(XU_LY_LENH!$I$2:$I$61,INT((ROW()-1)/2)),IF(IFERROR(INDEX(XU_LY_LENH!$C$2:$C$61,INT((ROW()-1)/2)+1),"")="",86400,IFERROR(INDEX(XU_LY_LENH!$B$2:$B$61,INT((ROW()-1)/2)+1),"")),86400))),IF(B68="","",MIN(IF(IFERROR(INDEX(XU_LY_LENH!$C$2:$C$61,INT((ROW()-1)/2)+1),"")="",86400,IFERROR(INDEX(XU_LY_LENH!$B$2:$B$61,INT((ROW()-1)/2)+1),"")),86400)))</f>
        <v/>
      </c>
      <c r="E68" t="str">
        <f ca="1">IF(MOD(ROW(),2)=1,IF(B68="","",INDEX(XU_LY_LENH!$F$2:$F$61,INT((ROW()-1)/2))),IF(B68="","",INDEX(XU_LY_LENH!$D$2:$D$61,INT((ROW()-1)/2))))</f>
        <v/>
      </c>
      <c r="F68" t="str">
        <f ca="1">IF(MOD(ROW(),2)=1,IF(B68="","",IF(INDEX(XU_LY_LENH!$G$2:$G$61,INT((ROW()-1)/2))="HOLD",E68,IF(D68&gt;=INDEX(XU_LY_LENH!$I$2:$I$61,INT((ROW()-1)/2)),INDEX(XU_LY_LENH!$D$2:$D$61,INT((ROW()-1)/2)),INDEX(XU_LY_LENH!$F$2:$F$61,INT((ROW()-1)/2))+(INDEX(XU_LY_LENH!$D$2:$D$61,INT((ROW()-1)/2))-INDEX(XU_LY_LENH!$F$2:$F$61,INT((ROW()-1)/2)))*(D68-INDEX(XU_LY_LENH!$B$2:$B$61,INT((ROW()-1)/2)))/MAX(INDEX(XU_LY_LENH!$I$2:$I$61,INT((ROW()-1)/2))-INDEX(XU_LY_LENH!$B$2:$B$61,INT((ROW()-1)/2)),0.000001)))),IF(B68="","",INDEX(XU_LY_LENH!$D$2:$D$61,INT((ROW()-1)/2))))</f>
        <v/>
      </c>
      <c r="G68" t="str">
        <f t="shared" ca="1" si="7"/>
        <v/>
      </c>
      <c r="H68" t="str">
        <f t="shared" ca="1" si="8"/>
        <v/>
      </c>
    </row>
    <row r="69" spans="1:8">
      <c r="A69">
        <f t="shared" si="6"/>
        <v>68</v>
      </c>
      <c r="B69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69" t="str">
        <f ca="1">IF(MOD(ROW(),2)=1,IF(B69="","",INDEX(XU_LY_LENH!$B$2:$B$61,INT((ROW()-1)/2))),IF(B69="","",INDEX(XU_LY_LENH!$I$2:$I$61,INT((ROW()-1)/2))))</f>
        <v/>
      </c>
      <c r="D69" t="str">
        <f ca="1">IF(MOD(ROW(),2)=1,IF(B69="","",IF(INDEX(XU_LY_LENH!$G$2:$G$61,INT((ROW()-1)/2))="HOLD",C69,MIN(INDEX(XU_LY_LENH!$I$2:$I$61,INT((ROW()-1)/2)),IF(IFERROR(INDEX(XU_LY_LENH!$C$2:$C$61,INT((ROW()-1)/2)+1),"")="",86400,IFERROR(INDEX(XU_LY_LENH!$B$2:$B$61,INT((ROW()-1)/2)+1),"")),86400))),IF(B69="","",MIN(IF(IFERROR(INDEX(XU_LY_LENH!$C$2:$C$61,INT((ROW()-1)/2)+1),"")="",86400,IFERROR(INDEX(XU_LY_LENH!$B$2:$B$61,INT((ROW()-1)/2)+1),"")),86400)))</f>
        <v/>
      </c>
      <c r="E69" t="str">
        <f ca="1">IF(MOD(ROW(),2)=1,IF(B69="","",INDEX(XU_LY_LENH!$F$2:$F$61,INT((ROW()-1)/2))),IF(B69="","",INDEX(XU_LY_LENH!$D$2:$D$61,INT((ROW()-1)/2))))</f>
        <v/>
      </c>
      <c r="F69" t="str">
        <f ca="1">IF(MOD(ROW(),2)=1,IF(B69="","",IF(INDEX(XU_LY_LENH!$G$2:$G$61,INT((ROW()-1)/2))="HOLD",E69,IF(D69&gt;=INDEX(XU_LY_LENH!$I$2:$I$61,INT((ROW()-1)/2)),INDEX(XU_LY_LENH!$D$2:$D$61,INT((ROW()-1)/2)),INDEX(XU_LY_LENH!$F$2:$F$61,INT((ROW()-1)/2))+(INDEX(XU_LY_LENH!$D$2:$D$61,INT((ROW()-1)/2))-INDEX(XU_LY_LENH!$F$2:$F$61,INT((ROW()-1)/2)))*(D69-INDEX(XU_LY_LENH!$B$2:$B$61,INT((ROW()-1)/2)))/MAX(INDEX(XU_LY_LENH!$I$2:$I$61,INT((ROW()-1)/2))-INDEX(XU_LY_LENH!$B$2:$B$61,INT((ROW()-1)/2)),0.000001)))),IF(B69="","",INDEX(XU_LY_LENH!$D$2:$D$61,INT((ROW()-1)/2))))</f>
        <v/>
      </c>
      <c r="G69" t="str">
        <f t="shared" ca="1" si="7"/>
        <v/>
      </c>
      <c r="H69" t="str">
        <f t="shared" ca="1" si="8"/>
        <v/>
      </c>
    </row>
    <row r="70" spans="1:8">
      <c r="A70">
        <f t="shared" si="6"/>
        <v>69</v>
      </c>
      <c r="B70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70" t="str">
        <f ca="1">IF(MOD(ROW(),2)=1,IF(B70="","",INDEX(XU_LY_LENH!$B$2:$B$61,INT((ROW()-1)/2))),IF(B70="","",INDEX(XU_LY_LENH!$I$2:$I$61,INT((ROW()-1)/2))))</f>
        <v/>
      </c>
      <c r="D70" t="str">
        <f ca="1">IF(MOD(ROW(),2)=1,IF(B70="","",IF(INDEX(XU_LY_LENH!$G$2:$G$61,INT((ROW()-1)/2))="HOLD",C70,MIN(INDEX(XU_LY_LENH!$I$2:$I$61,INT((ROW()-1)/2)),IF(IFERROR(INDEX(XU_LY_LENH!$C$2:$C$61,INT((ROW()-1)/2)+1),"")="",86400,IFERROR(INDEX(XU_LY_LENH!$B$2:$B$61,INT((ROW()-1)/2)+1),"")),86400))),IF(B70="","",MIN(IF(IFERROR(INDEX(XU_LY_LENH!$C$2:$C$61,INT((ROW()-1)/2)+1),"")="",86400,IFERROR(INDEX(XU_LY_LENH!$B$2:$B$61,INT((ROW()-1)/2)+1),"")),86400)))</f>
        <v/>
      </c>
      <c r="E70" t="str">
        <f ca="1">IF(MOD(ROW(),2)=1,IF(B70="","",INDEX(XU_LY_LENH!$F$2:$F$61,INT((ROW()-1)/2))),IF(B70="","",INDEX(XU_LY_LENH!$D$2:$D$61,INT((ROW()-1)/2))))</f>
        <v/>
      </c>
      <c r="F70" t="str">
        <f ca="1">IF(MOD(ROW(),2)=1,IF(B70="","",IF(INDEX(XU_LY_LENH!$G$2:$G$61,INT((ROW()-1)/2))="HOLD",E70,IF(D70&gt;=INDEX(XU_LY_LENH!$I$2:$I$61,INT((ROW()-1)/2)),INDEX(XU_LY_LENH!$D$2:$D$61,INT((ROW()-1)/2)),INDEX(XU_LY_LENH!$F$2:$F$61,INT((ROW()-1)/2))+(INDEX(XU_LY_LENH!$D$2:$D$61,INT((ROW()-1)/2))-INDEX(XU_LY_LENH!$F$2:$F$61,INT((ROW()-1)/2)))*(D70-INDEX(XU_LY_LENH!$B$2:$B$61,INT((ROW()-1)/2)))/MAX(INDEX(XU_LY_LENH!$I$2:$I$61,INT((ROW()-1)/2))-INDEX(XU_LY_LENH!$B$2:$B$61,INT((ROW()-1)/2)),0.000001)))),IF(B70="","",INDEX(XU_LY_LENH!$D$2:$D$61,INT((ROW()-1)/2))))</f>
        <v/>
      </c>
      <c r="G70" t="str">
        <f t="shared" ca="1" si="7"/>
        <v/>
      </c>
      <c r="H70" t="str">
        <f t="shared" ca="1" si="8"/>
        <v/>
      </c>
    </row>
    <row r="71" spans="1:8">
      <c r="A71">
        <f t="shared" si="6"/>
        <v>70</v>
      </c>
      <c r="B71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71" t="str">
        <f ca="1">IF(MOD(ROW(),2)=1,IF(B71="","",INDEX(XU_LY_LENH!$B$2:$B$61,INT((ROW()-1)/2))),IF(B71="","",INDEX(XU_LY_LENH!$I$2:$I$61,INT((ROW()-1)/2))))</f>
        <v/>
      </c>
      <c r="D71" t="str">
        <f ca="1">IF(MOD(ROW(),2)=1,IF(B71="","",IF(INDEX(XU_LY_LENH!$G$2:$G$61,INT((ROW()-1)/2))="HOLD",C71,MIN(INDEX(XU_LY_LENH!$I$2:$I$61,INT((ROW()-1)/2)),IF(IFERROR(INDEX(XU_LY_LENH!$C$2:$C$61,INT((ROW()-1)/2)+1),"")="",86400,IFERROR(INDEX(XU_LY_LENH!$B$2:$B$61,INT((ROW()-1)/2)+1),"")),86400))),IF(B71="","",MIN(IF(IFERROR(INDEX(XU_LY_LENH!$C$2:$C$61,INT((ROW()-1)/2)+1),"")="",86400,IFERROR(INDEX(XU_LY_LENH!$B$2:$B$61,INT((ROW()-1)/2)+1),"")),86400)))</f>
        <v/>
      </c>
      <c r="E71" t="str">
        <f ca="1">IF(MOD(ROW(),2)=1,IF(B71="","",INDEX(XU_LY_LENH!$F$2:$F$61,INT((ROW()-1)/2))),IF(B71="","",INDEX(XU_LY_LENH!$D$2:$D$61,INT((ROW()-1)/2))))</f>
        <v/>
      </c>
      <c r="F71" t="str">
        <f ca="1">IF(MOD(ROW(),2)=1,IF(B71="","",IF(INDEX(XU_LY_LENH!$G$2:$G$61,INT((ROW()-1)/2))="HOLD",E71,IF(D71&gt;=INDEX(XU_LY_LENH!$I$2:$I$61,INT((ROW()-1)/2)),INDEX(XU_LY_LENH!$D$2:$D$61,INT((ROW()-1)/2)),INDEX(XU_LY_LENH!$F$2:$F$61,INT((ROW()-1)/2))+(INDEX(XU_LY_LENH!$D$2:$D$61,INT((ROW()-1)/2))-INDEX(XU_LY_LENH!$F$2:$F$61,INT((ROW()-1)/2)))*(D71-INDEX(XU_LY_LENH!$B$2:$B$61,INT((ROW()-1)/2)))/MAX(INDEX(XU_LY_LENH!$I$2:$I$61,INT((ROW()-1)/2))-INDEX(XU_LY_LENH!$B$2:$B$61,INT((ROW()-1)/2)),0.000001)))),IF(B71="","",INDEX(XU_LY_LENH!$D$2:$D$61,INT((ROW()-1)/2))))</f>
        <v/>
      </c>
      <c r="G71" t="str">
        <f t="shared" ca="1" si="7"/>
        <v/>
      </c>
      <c r="H71" t="str">
        <f t="shared" ca="1" si="8"/>
        <v/>
      </c>
    </row>
    <row r="72" spans="1:8">
      <c r="A72">
        <f t="shared" si="6"/>
        <v>71</v>
      </c>
      <c r="B72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72" t="str">
        <f ca="1">IF(MOD(ROW(),2)=1,IF(B72="","",INDEX(XU_LY_LENH!$B$2:$B$61,INT((ROW()-1)/2))),IF(B72="","",INDEX(XU_LY_LENH!$I$2:$I$61,INT((ROW()-1)/2))))</f>
        <v/>
      </c>
      <c r="D72" t="str">
        <f ca="1">IF(MOD(ROW(),2)=1,IF(B72="","",IF(INDEX(XU_LY_LENH!$G$2:$G$61,INT((ROW()-1)/2))="HOLD",C72,MIN(INDEX(XU_LY_LENH!$I$2:$I$61,INT((ROW()-1)/2)),IF(IFERROR(INDEX(XU_LY_LENH!$C$2:$C$61,INT((ROW()-1)/2)+1),"")="",86400,IFERROR(INDEX(XU_LY_LENH!$B$2:$B$61,INT((ROW()-1)/2)+1),"")),86400))),IF(B72="","",MIN(IF(IFERROR(INDEX(XU_LY_LENH!$C$2:$C$61,INT((ROW()-1)/2)+1),"")="",86400,IFERROR(INDEX(XU_LY_LENH!$B$2:$B$61,INT((ROW()-1)/2)+1),"")),86400)))</f>
        <v/>
      </c>
      <c r="E72" t="str">
        <f ca="1">IF(MOD(ROW(),2)=1,IF(B72="","",INDEX(XU_LY_LENH!$F$2:$F$61,INT((ROW()-1)/2))),IF(B72="","",INDEX(XU_LY_LENH!$D$2:$D$61,INT((ROW()-1)/2))))</f>
        <v/>
      </c>
      <c r="F72" t="str">
        <f ca="1">IF(MOD(ROW(),2)=1,IF(B72="","",IF(INDEX(XU_LY_LENH!$G$2:$G$61,INT((ROW()-1)/2))="HOLD",E72,IF(D72&gt;=INDEX(XU_LY_LENH!$I$2:$I$61,INT((ROW()-1)/2)),INDEX(XU_LY_LENH!$D$2:$D$61,INT((ROW()-1)/2)),INDEX(XU_LY_LENH!$F$2:$F$61,INT((ROW()-1)/2))+(INDEX(XU_LY_LENH!$D$2:$D$61,INT((ROW()-1)/2))-INDEX(XU_LY_LENH!$F$2:$F$61,INT((ROW()-1)/2)))*(D72-INDEX(XU_LY_LENH!$B$2:$B$61,INT((ROW()-1)/2)))/MAX(INDEX(XU_LY_LENH!$I$2:$I$61,INT((ROW()-1)/2))-INDEX(XU_LY_LENH!$B$2:$B$61,INT((ROW()-1)/2)),0.000001)))),IF(B72="","",INDEX(XU_LY_LENH!$D$2:$D$61,INT((ROW()-1)/2))))</f>
        <v/>
      </c>
      <c r="G72" t="str">
        <f t="shared" ca="1" si="7"/>
        <v/>
      </c>
      <c r="H72" t="str">
        <f t="shared" ca="1" si="8"/>
        <v/>
      </c>
    </row>
    <row r="73" spans="1:8">
      <c r="A73">
        <f t="shared" si="6"/>
        <v>72</v>
      </c>
      <c r="B7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73" t="str">
        <f ca="1">IF(MOD(ROW(),2)=1,IF(B73="","",INDEX(XU_LY_LENH!$B$2:$B$61,INT((ROW()-1)/2))),IF(B73="","",INDEX(XU_LY_LENH!$I$2:$I$61,INT((ROW()-1)/2))))</f>
        <v/>
      </c>
      <c r="D73" t="str">
        <f ca="1">IF(MOD(ROW(),2)=1,IF(B73="","",IF(INDEX(XU_LY_LENH!$G$2:$G$61,INT((ROW()-1)/2))="HOLD",C73,MIN(INDEX(XU_LY_LENH!$I$2:$I$61,INT((ROW()-1)/2)),IF(IFERROR(INDEX(XU_LY_LENH!$C$2:$C$61,INT((ROW()-1)/2)+1),"")="",86400,IFERROR(INDEX(XU_LY_LENH!$B$2:$B$61,INT((ROW()-1)/2)+1),"")),86400))),IF(B73="","",MIN(IF(IFERROR(INDEX(XU_LY_LENH!$C$2:$C$61,INT((ROW()-1)/2)+1),"")="",86400,IFERROR(INDEX(XU_LY_LENH!$B$2:$B$61,INT((ROW()-1)/2)+1),"")),86400)))</f>
        <v/>
      </c>
      <c r="E73" t="str">
        <f ca="1">IF(MOD(ROW(),2)=1,IF(B73="","",INDEX(XU_LY_LENH!$F$2:$F$61,INT((ROW()-1)/2))),IF(B73="","",INDEX(XU_LY_LENH!$D$2:$D$61,INT((ROW()-1)/2))))</f>
        <v/>
      </c>
      <c r="F73" t="str">
        <f ca="1">IF(MOD(ROW(),2)=1,IF(B73="","",IF(INDEX(XU_LY_LENH!$G$2:$G$61,INT((ROW()-1)/2))="HOLD",E73,IF(D73&gt;=INDEX(XU_LY_LENH!$I$2:$I$61,INT((ROW()-1)/2)),INDEX(XU_LY_LENH!$D$2:$D$61,INT((ROW()-1)/2)),INDEX(XU_LY_LENH!$F$2:$F$61,INT((ROW()-1)/2))+(INDEX(XU_LY_LENH!$D$2:$D$61,INT((ROW()-1)/2))-INDEX(XU_LY_LENH!$F$2:$F$61,INT((ROW()-1)/2)))*(D73-INDEX(XU_LY_LENH!$B$2:$B$61,INT((ROW()-1)/2)))/MAX(INDEX(XU_LY_LENH!$I$2:$I$61,INT((ROW()-1)/2))-INDEX(XU_LY_LENH!$B$2:$B$61,INT((ROW()-1)/2)),0.000001)))),IF(B73="","",INDEX(XU_LY_LENH!$D$2:$D$61,INT((ROW()-1)/2))))</f>
        <v/>
      </c>
      <c r="G73" t="str">
        <f t="shared" ca="1" si="7"/>
        <v/>
      </c>
      <c r="H73" t="str">
        <f t="shared" ca="1" si="8"/>
        <v/>
      </c>
    </row>
    <row r="74" spans="1:8">
      <c r="A74">
        <f t="shared" si="6"/>
        <v>73</v>
      </c>
      <c r="B74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74" t="str">
        <f ca="1">IF(MOD(ROW(),2)=1,IF(B74="","",INDEX(XU_LY_LENH!$B$2:$B$61,INT((ROW()-1)/2))),IF(B74="","",INDEX(XU_LY_LENH!$I$2:$I$61,INT((ROW()-1)/2))))</f>
        <v/>
      </c>
      <c r="D74" t="str">
        <f ca="1">IF(MOD(ROW(),2)=1,IF(B74="","",IF(INDEX(XU_LY_LENH!$G$2:$G$61,INT((ROW()-1)/2))="HOLD",C74,MIN(INDEX(XU_LY_LENH!$I$2:$I$61,INT((ROW()-1)/2)),IF(IFERROR(INDEX(XU_LY_LENH!$C$2:$C$61,INT((ROW()-1)/2)+1),"")="",86400,IFERROR(INDEX(XU_LY_LENH!$B$2:$B$61,INT((ROW()-1)/2)+1),"")),86400))),IF(B74="","",MIN(IF(IFERROR(INDEX(XU_LY_LENH!$C$2:$C$61,INT((ROW()-1)/2)+1),"")="",86400,IFERROR(INDEX(XU_LY_LENH!$B$2:$B$61,INT((ROW()-1)/2)+1),"")),86400)))</f>
        <v/>
      </c>
      <c r="E74" t="str">
        <f ca="1">IF(MOD(ROW(),2)=1,IF(B74="","",INDEX(XU_LY_LENH!$F$2:$F$61,INT((ROW()-1)/2))),IF(B74="","",INDEX(XU_LY_LENH!$D$2:$D$61,INT((ROW()-1)/2))))</f>
        <v/>
      </c>
      <c r="F74" t="str">
        <f ca="1">IF(MOD(ROW(),2)=1,IF(B74="","",IF(INDEX(XU_LY_LENH!$G$2:$G$61,INT((ROW()-1)/2))="HOLD",E74,IF(D74&gt;=INDEX(XU_LY_LENH!$I$2:$I$61,INT((ROW()-1)/2)),INDEX(XU_LY_LENH!$D$2:$D$61,INT((ROW()-1)/2)),INDEX(XU_LY_LENH!$F$2:$F$61,INT((ROW()-1)/2))+(INDEX(XU_LY_LENH!$D$2:$D$61,INT((ROW()-1)/2))-INDEX(XU_LY_LENH!$F$2:$F$61,INT((ROW()-1)/2)))*(D74-INDEX(XU_LY_LENH!$B$2:$B$61,INT((ROW()-1)/2)))/MAX(INDEX(XU_LY_LENH!$I$2:$I$61,INT((ROW()-1)/2))-INDEX(XU_LY_LENH!$B$2:$B$61,INT((ROW()-1)/2)),0.000001)))),IF(B74="","",INDEX(XU_LY_LENH!$D$2:$D$61,INT((ROW()-1)/2))))</f>
        <v/>
      </c>
      <c r="G74" t="str">
        <f t="shared" ca="1" si="7"/>
        <v/>
      </c>
      <c r="H74" t="str">
        <f t="shared" ca="1" si="8"/>
        <v/>
      </c>
    </row>
    <row r="75" spans="1:8">
      <c r="A75">
        <f t="shared" si="6"/>
        <v>74</v>
      </c>
      <c r="B75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75" t="str">
        <f ca="1">IF(MOD(ROW(),2)=1,IF(B75="","",INDEX(XU_LY_LENH!$B$2:$B$61,INT((ROW()-1)/2))),IF(B75="","",INDEX(XU_LY_LENH!$I$2:$I$61,INT((ROW()-1)/2))))</f>
        <v/>
      </c>
      <c r="D75" t="str">
        <f ca="1">IF(MOD(ROW(),2)=1,IF(B75="","",IF(INDEX(XU_LY_LENH!$G$2:$G$61,INT((ROW()-1)/2))="HOLD",C75,MIN(INDEX(XU_LY_LENH!$I$2:$I$61,INT((ROW()-1)/2)),IF(IFERROR(INDEX(XU_LY_LENH!$C$2:$C$61,INT((ROW()-1)/2)+1),"")="",86400,IFERROR(INDEX(XU_LY_LENH!$B$2:$B$61,INT((ROW()-1)/2)+1),"")),86400))),IF(B75="","",MIN(IF(IFERROR(INDEX(XU_LY_LENH!$C$2:$C$61,INT((ROW()-1)/2)+1),"")="",86400,IFERROR(INDEX(XU_LY_LENH!$B$2:$B$61,INT((ROW()-1)/2)+1),"")),86400)))</f>
        <v/>
      </c>
      <c r="E75" t="str">
        <f ca="1">IF(MOD(ROW(),2)=1,IF(B75="","",INDEX(XU_LY_LENH!$F$2:$F$61,INT((ROW()-1)/2))),IF(B75="","",INDEX(XU_LY_LENH!$D$2:$D$61,INT((ROW()-1)/2))))</f>
        <v/>
      </c>
      <c r="F75" t="str">
        <f ca="1">IF(MOD(ROW(),2)=1,IF(B75="","",IF(INDEX(XU_LY_LENH!$G$2:$G$61,INT((ROW()-1)/2))="HOLD",E75,IF(D75&gt;=INDEX(XU_LY_LENH!$I$2:$I$61,INT((ROW()-1)/2)),INDEX(XU_LY_LENH!$D$2:$D$61,INT((ROW()-1)/2)),INDEX(XU_LY_LENH!$F$2:$F$61,INT((ROW()-1)/2))+(INDEX(XU_LY_LENH!$D$2:$D$61,INT((ROW()-1)/2))-INDEX(XU_LY_LENH!$F$2:$F$61,INT((ROW()-1)/2)))*(D75-INDEX(XU_LY_LENH!$B$2:$B$61,INT((ROW()-1)/2)))/MAX(INDEX(XU_LY_LENH!$I$2:$I$61,INT((ROW()-1)/2))-INDEX(XU_LY_LENH!$B$2:$B$61,INT((ROW()-1)/2)),0.000001)))),IF(B75="","",INDEX(XU_LY_LENH!$D$2:$D$61,INT((ROW()-1)/2))))</f>
        <v/>
      </c>
      <c r="G75" t="str">
        <f t="shared" ca="1" si="7"/>
        <v/>
      </c>
      <c r="H75" t="str">
        <f t="shared" ca="1" si="8"/>
        <v/>
      </c>
    </row>
    <row r="76" spans="1:8">
      <c r="A76">
        <f t="shared" si="6"/>
        <v>75</v>
      </c>
      <c r="B76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76" t="str">
        <f ca="1">IF(MOD(ROW(),2)=1,IF(B76="","",INDEX(XU_LY_LENH!$B$2:$B$61,INT((ROW()-1)/2))),IF(B76="","",INDEX(XU_LY_LENH!$I$2:$I$61,INT((ROW()-1)/2))))</f>
        <v/>
      </c>
      <c r="D76" t="str">
        <f ca="1">IF(MOD(ROW(),2)=1,IF(B76="","",IF(INDEX(XU_LY_LENH!$G$2:$G$61,INT((ROW()-1)/2))="HOLD",C76,MIN(INDEX(XU_LY_LENH!$I$2:$I$61,INT((ROW()-1)/2)),IF(IFERROR(INDEX(XU_LY_LENH!$C$2:$C$61,INT((ROW()-1)/2)+1),"")="",86400,IFERROR(INDEX(XU_LY_LENH!$B$2:$B$61,INT((ROW()-1)/2)+1),"")),86400))),IF(B76="","",MIN(IF(IFERROR(INDEX(XU_LY_LENH!$C$2:$C$61,INT((ROW()-1)/2)+1),"")="",86400,IFERROR(INDEX(XU_LY_LENH!$B$2:$B$61,INT((ROW()-1)/2)+1),"")),86400)))</f>
        <v/>
      </c>
      <c r="E76" t="str">
        <f ca="1">IF(MOD(ROW(),2)=1,IF(B76="","",INDEX(XU_LY_LENH!$F$2:$F$61,INT((ROW()-1)/2))),IF(B76="","",INDEX(XU_LY_LENH!$D$2:$D$61,INT((ROW()-1)/2))))</f>
        <v/>
      </c>
      <c r="F76" t="str">
        <f ca="1">IF(MOD(ROW(),2)=1,IF(B76="","",IF(INDEX(XU_LY_LENH!$G$2:$G$61,INT((ROW()-1)/2))="HOLD",E76,IF(D76&gt;=INDEX(XU_LY_LENH!$I$2:$I$61,INT((ROW()-1)/2)),INDEX(XU_LY_LENH!$D$2:$D$61,INT((ROW()-1)/2)),INDEX(XU_LY_LENH!$F$2:$F$61,INT((ROW()-1)/2))+(INDEX(XU_LY_LENH!$D$2:$D$61,INT((ROW()-1)/2))-INDEX(XU_LY_LENH!$F$2:$F$61,INT((ROW()-1)/2)))*(D76-INDEX(XU_LY_LENH!$B$2:$B$61,INT((ROW()-1)/2)))/MAX(INDEX(XU_LY_LENH!$I$2:$I$61,INT((ROW()-1)/2))-INDEX(XU_LY_LENH!$B$2:$B$61,INT((ROW()-1)/2)),0.000001)))),IF(B76="","",INDEX(XU_LY_LENH!$D$2:$D$61,INT((ROW()-1)/2))))</f>
        <v/>
      </c>
      <c r="G76" t="str">
        <f t="shared" ca="1" si="7"/>
        <v/>
      </c>
      <c r="H76" t="str">
        <f t="shared" ca="1" si="8"/>
        <v/>
      </c>
    </row>
    <row r="77" spans="1:8">
      <c r="A77">
        <f t="shared" si="6"/>
        <v>76</v>
      </c>
      <c r="B77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77" t="str">
        <f ca="1">IF(MOD(ROW(),2)=1,IF(B77="","",INDEX(XU_LY_LENH!$B$2:$B$61,INT((ROW()-1)/2))),IF(B77="","",INDEX(XU_LY_LENH!$I$2:$I$61,INT((ROW()-1)/2))))</f>
        <v/>
      </c>
      <c r="D77" t="str">
        <f ca="1">IF(MOD(ROW(),2)=1,IF(B77="","",IF(INDEX(XU_LY_LENH!$G$2:$G$61,INT((ROW()-1)/2))="HOLD",C77,MIN(INDEX(XU_LY_LENH!$I$2:$I$61,INT((ROW()-1)/2)),IF(IFERROR(INDEX(XU_LY_LENH!$C$2:$C$61,INT((ROW()-1)/2)+1),"")="",86400,IFERROR(INDEX(XU_LY_LENH!$B$2:$B$61,INT((ROW()-1)/2)+1),"")),86400))),IF(B77="","",MIN(IF(IFERROR(INDEX(XU_LY_LENH!$C$2:$C$61,INT((ROW()-1)/2)+1),"")="",86400,IFERROR(INDEX(XU_LY_LENH!$B$2:$B$61,INT((ROW()-1)/2)+1),"")),86400)))</f>
        <v/>
      </c>
      <c r="E77" t="str">
        <f ca="1">IF(MOD(ROW(),2)=1,IF(B77="","",INDEX(XU_LY_LENH!$F$2:$F$61,INT((ROW()-1)/2))),IF(B77="","",INDEX(XU_LY_LENH!$D$2:$D$61,INT((ROW()-1)/2))))</f>
        <v/>
      </c>
      <c r="F77" t="str">
        <f ca="1">IF(MOD(ROW(),2)=1,IF(B77="","",IF(INDEX(XU_LY_LENH!$G$2:$G$61,INT((ROW()-1)/2))="HOLD",E77,IF(D77&gt;=INDEX(XU_LY_LENH!$I$2:$I$61,INT((ROW()-1)/2)),INDEX(XU_LY_LENH!$D$2:$D$61,INT((ROW()-1)/2)),INDEX(XU_LY_LENH!$F$2:$F$61,INT((ROW()-1)/2))+(INDEX(XU_LY_LENH!$D$2:$D$61,INT((ROW()-1)/2))-INDEX(XU_LY_LENH!$F$2:$F$61,INT((ROW()-1)/2)))*(D77-INDEX(XU_LY_LENH!$B$2:$B$61,INT((ROW()-1)/2)))/MAX(INDEX(XU_LY_LENH!$I$2:$I$61,INT((ROW()-1)/2))-INDEX(XU_LY_LENH!$B$2:$B$61,INT((ROW()-1)/2)),0.000001)))),IF(B77="","",INDEX(XU_LY_LENH!$D$2:$D$61,INT((ROW()-1)/2))))</f>
        <v/>
      </c>
      <c r="G77" t="str">
        <f t="shared" ca="1" si="7"/>
        <v/>
      </c>
      <c r="H77" t="str">
        <f t="shared" ca="1" si="8"/>
        <v/>
      </c>
    </row>
    <row r="78" spans="1:8">
      <c r="A78">
        <f t="shared" si="6"/>
        <v>77</v>
      </c>
      <c r="B78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78" t="str">
        <f ca="1">IF(MOD(ROW(),2)=1,IF(B78="","",INDEX(XU_LY_LENH!$B$2:$B$61,INT((ROW()-1)/2))),IF(B78="","",INDEX(XU_LY_LENH!$I$2:$I$61,INT((ROW()-1)/2))))</f>
        <v/>
      </c>
      <c r="D78" t="str">
        <f ca="1">IF(MOD(ROW(),2)=1,IF(B78="","",IF(INDEX(XU_LY_LENH!$G$2:$G$61,INT((ROW()-1)/2))="HOLD",C78,MIN(INDEX(XU_LY_LENH!$I$2:$I$61,INT((ROW()-1)/2)),IF(IFERROR(INDEX(XU_LY_LENH!$C$2:$C$61,INT((ROW()-1)/2)+1),"")="",86400,IFERROR(INDEX(XU_LY_LENH!$B$2:$B$61,INT((ROW()-1)/2)+1),"")),86400))),IF(B78="","",MIN(IF(IFERROR(INDEX(XU_LY_LENH!$C$2:$C$61,INT((ROW()-1)/2)+1),"")="",86400,IFERROR(INDEX(XU_LY_LENH!$B$2:$B$61,INT((ROW()-1)/2)+1),"")),86400)))</f>
        <v/>
      </c>
      <c r="E78" t="str">
        <f ca="1">IF(MOD(ROW(),2)=1,IF(B78="","",INDEX(XU_LY_LENH!$F$2:$F$61,INT((ROW()-1)/2))),IF(B78="","",INDEX(XU_LY_LENH!$D$2:$D$61,INT((ROW()-1)/2))))</f>
        <v/>
      </c>
      <c r="F78" t="str">
        <f ca="1">IF(MOD(ROW(),2)=1,IF(B78="","",IF(INDEX(XU_LY_LENH!$G$2:$G$61,INT((ROW()-1)/2))="HOLD",E78,IF(D78&gt;=INDEX(XU_LY_LENH!$I$2:$I$61,INT((ROW()-1)/2)),INDEX(XU_LY_LENH!$D$2:$D$61,INT((ROW()-1)/2)),INDEX(XU_LY_LENH!$F$2:$F$61,INT((ROW()-1)/2))+(INDEX(XU_LY_LENH!$D$2:$D$61,INT((ROW()-1)/2))-INDEX(XU_LY_LENH!$F$2:$F$61,INT((ROW()-1)/2)))*(D78-INDEX(XU_LY_LENH!$B$2:$B$61,INT((ROW()-1)/2)))/MAX(INDEX(XU_LY_LENH!$I$2:$I$61,INT((ROW()-1)/2))-INDEX(XU_LY_LENH!$B$2:$B$61,INT((ROW()-1)/2)),0.000001)))),IF(B78="","",INDEX(XU_LY_LENH!$D$2:$D$61,INT((ROW()-1)/2))))</f>
        <v/>
      </c>
      <c r="G78" t="str">
        <f t="shared" ca="1" si="7"/>
        <v/>
      </c>
      <c r="H78" t="str">
        <f t="shared" ca="1" si="8"/>
        <v/>
      </c>
    </row>
    <row r="79" spans="1:8">
      <c r="A79">
        <f t="shared" si="6"/>
        <v>78</v>
      </c>
      <c r="B79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79" t="str">
        <f ca="1">IF(MOD(ROW(),2)=1,IF(B79="","",INDEX(XU_LY_LENH!$B$2:$B$61,INT((ROW()-1)/2))),IF(B79="","",INDEX(XU_LY_LENH!$I$2:$I$61,INT((ROW()-1)/2))))</f>
        <v/>
      </c>
      <c r="D79" t="str">
        <f ca="1">IF(MOD(ROW(),2)=1,IF(B79="","",IF(INDEX(XU_LY_LENH!$G$2:$G$61,INT((ROW()-1)/2))="HOLD",C79,MIN(INDEX(XU_LY_LENH!$I$2:$I$61,INT((ROW()-1)/2)),IF(IFERROR(INDEX(XU_LY_LENH!$C$2:$C$61,INT((ROW()-1)/2)+1),"")="",86400,IFERROR(INDEX(XU_LY_LENH!$B$2:$B$61,INT((ROW()-1)/2)+1),"")),86400))),IF(B79="","",MIN(IF(IFERROR(INDEX(XU_LY_LENH!$C$2:$C$61,INT((ROW()-1)/2)+1),"")="",86400,IFERROR(INDEX(XU_LY_LENH!$B$2:$B$61,INT((ROW()-1)/2)+1),"")),86400)))</f>
        <v/>
      </c>
      <c r="E79" t="str">
        <f ca="1">IF(MOD(ROW(),2)=1,IF(B79="","",INDEX(XU_LY_LENH!$F$2:$F$61,INT((ROW()-1)/2))),IF(B79="","",INDEX(XU_LY_LENH!$D$2:$D$61,INT((ROW()-1)/2))))</f>
        <v/>
      </c>
      <c r="F79" t="str">
        <f ca="1">IF(MOD(ROW(),2)=1,IF(B79="","",IF(INDEX(XU_LY_LENH!$G$2:$G$61,INT((ROW()-1)/2))="HOLD",E79,IF(D79&gt;=INDEX(XU_LY_LENH!$I$2:$I$61,INT((ROW()-1)/2)),INDEX(XU_LY_LENH!$D$2:$D$61,INT((ROW()-1)/2)),INDEX(XU_LY_LENH!$F$2:$F$61,INT((ROW()-1)/2))+(INDEX(XU_LY_LENH!$D$2:$D$61,INT((ROW()-1)/2))-INDEX(XU_LY_LENH!$F$2:$F$61,INT((ROW()-1)/2)))*(D79-INDEX(XU_LY_LENH!$B$2:$B$61,INT((ROW()-1)/2)))/MAX(INDEX(XU_LY_LENH!$I$2:$I$61,INT((ROW()-1)/2))-INDEX(XU_LY_LENH!$B$2:$B$61,INT((ROW()-1)/2)),0.000001)))),IF(B79="","",INDEX(XU_LY_LENH!$D$2:$D$61,INT((ROW()-1)/2))))</f>
        <v/>
      </c>
      <c r="G79" t="str">
        <f t="shared" ca="1" si="7"/>
        <v/>
      </c>
      <c r="H79" t="str">
        <f t="shared" ca="1" si="8"/>
        <v/>
      </c>
    </row>
    <row r="80" spans="1:8">
      <c r="A80">
        <f t="shared" si="6"/>
        <v>79</v>
      </c>
      <c r="B80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80" t="str">
        <f ca="1">IF(MOD(ROW(),2)=1,IF(B80="","",INDEX(XU_LY_LENH!$B$2:$B$61,INT((ROW()-1)/2))),IF(B80="","",INDEX(XU_LY_LENH!$I$2:$I$61,INT((ROW()-1)/2))))</f>
        <v/>
      </c>
      <c r="D80" t="str">
        <f ca="1">IF(MOD(ROW(),2)=1,IF(B80="","",IF(INDEX(XU_LY_LENH!$G$2:$G$61,INT((ROW()-1)/2))="HOLD",C80,MIN(INDEX(XU_LY_LENH!$I$2:$I$61,INT((ROW()-1)/2)),IF(IFERROR(INDEX(XU_LY_LENH!$C$2:$C$61,INT((ROW()-1)/2)+1),"")="",86400,IFERROR(INDEX(XU_LY_LENH!$B$2:$B$61,INT((ROW()-1)/2)+1),"")),86400))),IF(B80="","",MIN(IF(IFERROR(INDEX(XU_LY_LENH!$C$2:$C$61,INT((ROW()-1)/2)+1),"")="",86400,IFERROR(INDEX(XU_LY_LENH!$B$2:$B$61,INT((ROW()-1)/2)+1),"")),86400)))</f>
        <v/>
      </c>
      <c r="E80" t="str">
        <f ca="1">IF(MOD(ROW(),2)=1,IF(B80="","",INDEX(XU_LY_LENH!$F$2:$F$61,INT((ROW()-1)/2))),IF(B80="","",INDEX(XU_LY_LENH!$D$2:$D$61,INT((ROW()-1)/2))))</f>
        <v/>
      </c>
      <c r="F80" t="str">
        <f ca="1">IF(MOD(ROW(),2)=1,IF(B80="","",IF(INDEX(XU_LY_LENH!$G$2:$G$61,INT((ROW()-1)/2))="HOLD",E80,IF(D80&gt;=INDEX(XU_LY_LENH!$I$2:$I$61,INT((ROW()-1)/2)),INDEX(XU_LY_LENH!$D$2:$D$61,INT((ROW()-1)/2)),INDEX(XU_LY_LENH!$F$2:$F$61,INT((ROW()-1)/2))+(INDEX(XU_LY_LENH!$D$2:$D$61,INT((ROW()-1)/2))-INDEX(XU_LY_LENH!$F$2:$F$61,INT((ROW()-1)/2)))*(D80-INDEX(XU_LY_LENH!$B$2:$B$61,INT((ROW()-1)/2)))/MAX(INDEX(XU_LY_LENH!$I$2:$I$61,INT((ROW()-1)/2))-INDEX(XU_LY_LENH!$B$2:$B$61,INT((ROW()-1)/2)),0.000001)))),IF(B80="","",INDEX(XU_LY_LENH!$D$2:$D$61,INT((ROW()-1)/2))))</f>
        <v/>
      </c>
      <c r="G80" t="str">
        <f t="shared" ca="1" si="7"/>
        <v/>
      </c>
      <c r="H80" t="str">
        <f t="shared" ca="1" si="8"/>
        <v/>
      </c>
    </row>
    <row r="81" spans="1:8">
      <c r="A81">
        <f t="shared" si="6"/>
        <v>80</v>
      </c>
      <c r="B81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81" t="str">
        <f ca="1">IF(MOD(ROW(),2)=1,IF(B81="","",INDEX(XU_LY_LENH!$B$2:$B$61,INT((ROW()-1)/2))),IF(B81="","",INDEX(XU_LY_LENH!$I$2:$I$61,INT((ROW()-1)/2))))</f>
        <v/>
      </c>
      <c r="D81" t="str">
        <f ca="1">IF(MOD(ROW(),2)=1,IF(B81="","",IF(INDEX(XU_LY_LENH!$G$2:$G$61,INT((ROW()-1)/2))="HOLD",C81,MIN(INDEX(XU_LY_LENH!$I$2:$I$61,INT((ROW()-1)/2)),IF(IFERROR(INDEX(XU_LY_LENH!$C$2:$C$61,INT((ROW()-1)/2)+1),"")="",86400,IFERROR(INDEX(XU_LY_LENH!$B$2:$B$61,INT((ROW()-1)/2)+1),"")),86400))),IF(B81="","",MIN(IF(IFERROR(INDEX(XU_LY_LENH!$C$2:$C$61,INT((ROW()-1)/2)+1),"")="",86400,IFERROR(INDEX(XU_LY_LENH!$B$2:$B$61,INT((ROW()-1)/2)+1),"")),86400)))</f>
        <v/>
      </c>
      <c r="E81" t="str">
        <f ca="1">IF(MOD(ROW(),2)=1,IF(B81="","",INDEX(XU_LY_LENH!$F$2:$F$61,INT((ROW()-1)/2))),IF(B81="","",INDEX(XU_LY_LENH!$D$2:$D$61,INT((ROW()-1)/2))))</f>
        <v/>
      </c>
      <c r="F81" t="str">
        <f ca="1">IF(MOD(ROW(),2)=1,IF(B81="","",IF(INDEX(XU_LY_LENH!$G$2:$G$61,INT((ROW()-1)/2))="HOLD",E81,IF(D81&gt;=INDEX(XU_LY_LENH!$I$2:$I$61,INT((ROW()-1)/2)),INDEX(XU_LY_LENH!$D$2:$D$61,INT((ROW()-1)/2)),INDEX(XU_LY_LENH!$F$2:$F$61,INT((ROW()-1)/2))+(INDEX(XU_LY_LENH!$D$2:$D$61,INT((ROW()-1)/2))-INDEX(XU_LY_LENH!$F$2:$F$61,INT((ROW()-1)/2)))*(D81-INDEX(XU_LY_LENH!$B$2:$B$61,INT((ROW()-1)/2)))/MAX(INDEX(XU_LY_LENH!$I$2:$I$61,INT((ROW()-1)/2))-INDEX(XU_LY_LENH!$B$2:$B$61,INT((ROW()-1)/2)),0.000001)))),IF(B81="","",INDEX(XU_LY_LENH!$D$2:$D$61,INT((ROW()-1)/2))))</f>
        <v/>
      </c>
      <c r="G81" t="str">
        <f t="shared" ca="1" si="7"/>
        <v/>
      </c>
      <c r="H81" t="str">
        <f t="shared" ca="1" si="8"/>
        <v/>
      </c>
    </row>
    <row r="82" spans="1:8">
      <c r="A82">
        <f t="shared" si="6"/>
        <v>81</v>
      </c>
      <c r="B82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82" t="str">
        <f ca="1">IF(MOD(ROW(),2)=1,IF(B82="","",INDEX(XU_LY_LENH!$B$2:$B$61,INT((ROW()-1)/2))),IF(B82="","",INDEX(XU_LY_LENH!$I$2:$I$61,INT((ROW()-1)/2))))</f>
        <v/>
      </c>
      <c r="D82" t="str">
        <f ca="1">IF(MOD(ROW(),2)=1,IF(B82="","",IF(INDEX(XU_LY_LENH!$G$2:$G$61,INT((ROW()-1)/2))="HOLD",C82,MIN(INDEX(XU_LY_LENH!$I$2:$I$61,INT((ROW()-1)/2)),IF(IFERROR(INDEX(XU_LY_LENH!$C$2:$C$61,INT((ROW()-1)/2)+1),"")="",86400,IFERROR(INDEX(XU_LY_LENH!$B$2:$B$61,INT((ROW()-1)/2)+1),"")),86400))),IF(B82="","",MIN(IF(IFERROR(INDEX(XU_LY_LENH!$C$2:$C$61,INT((ROW()-1)/2)+1),"")="",86400,IFERROR(INDEX(XU_LY_LENH!$B$2:$B$61,INT((ROW()-1)/2)+1),"")),86400)))</f>
        <v/>
      </c>
      <c r="E82" t="str">
        <f ca="1">IF(MOD(ROW(),2)=1,IF(B82="","",INDEX(XU_LY_LENH!$F$2:$F$61,INT((ROW()-1)/2))),IF(B82="","",INDEX(XU_LY_LENH!$D$2:$D$61,INT((ROW()-1)/2))))</f>
        <v/>
      </c>
      <c r="F82" t="str">
        <f ca="1">IF(MOD(ROW(),2)=1,IF(B82="","",IF(INDEX(XU_LY_LENH!$G$2:$G$61,INT((ROW()-1)/2))="HOLD",E82,IF(D82&gt;=INDEX(XU_LY_LENH!$I$2:$I$61,INT((ROW()-1)/2)),INDEX(XU_LY_LENH!$D$2:$D$61,INT((ROW()-1)/2)),INDEX(XU_LY_LENH!$F$2:$F$61,INT((ROW()-1)/2))+(INDEX(XU_LY_LENH!$D$2:$D$61,INT((ROW()-1)/2))-INDEX(XU_LY_LENH!$F$2:$F$61,INT((ROW()-1)/2)))*(D82-INDEX(XU_LY_LENH!$B$2:$B$61,INT((ROW()-1)/2)))/MAX(INDEX(XU_LY_LENH!$I$2:$I$61,INT((ROW()-1)/2))-INDEX(XU_LY_LENH!$B$2:$B$61,INT((ROW()-1)/2)),0.000001)))),IF(B82="","",INDEX(XU_LY_LENH!$D$2:$D$61,INT((ROW()-1)/2))))</f>
        <v/>
      </c>
      <c r="G82" t="str">
        <f t="shared" ca="1" si="7"/>
        <v/>
      </c>
      <c r="H82" t="str">
        <f t="shared" ca="1" si="8"/>
        <v/>
      </c>
    </row>
    <row r="83" spans="1:8">
      <c r="A83">
        <f t="shared" si="6"/>
        <v>82</v>
      </c>
      <c r="B8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83" t="str">
        <f ca="1">IF(MOD(ROW(),2)=1,IF(B83="","",INDEX(XU_LY_LENH!$B$2:$B$61,INT((ROW()-1)/2))),IF(B83="","",INDEX(XU_LY_LENH!$I$2:$I$61,INT((ROW()-1)/2))))</f>
        <v/>
      </c>
      <c r="D83" t="str">
        <f ca="1">IF(MOD(ROW(),2)=1,IF(B83="","",IF(INDEX(XU_LY_LENH!$G$2:$G$61,INT((ROW()-1)/2))="HOLD",C83,MIN(INDEX(XU_LY_LENH!$I$2:$I$61,INT((ROW()-1)/2)),IF(IFERROR(INDEX(XU_LY_LENH!$C$2:$C$61,INT((ROW()-1)/2)+1),"")="",86400,IFERROR(INDEX(XU_LY_LENH!$B$2:$B$61,INT((ROW()-1)/2)+1),"")),86400))),IF(B83="","",MIN(IF(IFERROR(INDEX(XU_LY_LENH!$C$2:$C$61,INT((ROW()-1)/2)+1),"")="",86400,IFERROR(INDEX(XU_LY_LENH!$B$2:$B$61,INT((ROW()-1)/2)+1),"")),86400)))</f>
        <v/>
      </c>
      <c r="E83" t="str">
        <f ca="1">IF(MOD(ROW(),2)=1,IF(B83="","",INDEX(XU_LY_LENH!$F$2:$F$61,INT((ROW()-1)/2))),IF(B83="","",INDEX(XU_LY_LENH!$D$2:$D$61,INT((ROW()-1)/2))))</f>
        <v/>
      </c>
      <c r="F83" t="str">
        <f ca="1">IF(MOD(ROW(),2)=1,IF(B83="","",IF(INDEX(XU_LY_LENH!$G$2:$G$61,INT((ROW()-1)/2))="HOLD",E83,IF(D83&gt;=INDEX(XU_LY_LENH!$I$2:$I$61,INT((ROW()-1)/2)),INDEX(XU_LY_LENH!$D$2:$D$61,INT((ROW()-1)/2)),INDEX(XU_LY_LENH!$F$2:$F$61,INT((ROW()-1)/2))+(INDEX(XU_LY_LENH!$D$2:$D$61,INT((ROW()-1)/2))-INDEX(XU_LY_LENH!$F$2:$F$61,INT((ROW()-1)/2)))*(D83-INDEX(XU_LY_LENH!$B$2:$B$61,INT((ROW()-1)/2)))/MAX(INDEX(XU_LY_LENH!$I$2:$I$61,INT((ROW()-1)/2))-INDEX(XU_LY_LENH!$B$2:$B$61,INT((ROW()-1)/2)),0.000001)))),IF(B83="","",INDEX(XU_LY_LENH!$D$2:$D$61,INT((ROW()-1)/2))))</f>
        <v/>
      </c>
      <c r="G83" t="str">
        <f t="shared" ca="1" si="7"/>
        <v/>
      </c>
      <c r="H83" t="str">
        <f t="shared" ca="1" si="8"/>
        <v/>
      </c>
    </row>
    <row r="84" spans="1:8">
      <c r="A84">
        <f t="shared" si="6"/>
        <v>83</v>
      </c>
      <c r="B84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84" t="str">
        <f ca="1">IF(MOD(ROW(),2)=1,IF(B84="","",INDEX(XU_LY_LENH!$B$2:$B$61,INT((ROW()-1)/2))),IF(B84="","",INDEX(XU_LY_LENH!$I$2:$I$61,INT((ROW()-1)/2))))</f>
        <v/>
      </c>
      <c r="D84" t="str">
        <f ca="1">IF(MOD(ROW(),2)=1,IF(B84="","",IF(INDEX(XU_LY_LENH!$G$2:$G$61,INT((ROW()-1)/2))="HOLD",C84,MIN(INDEX(XU_LY_LENH!$I$2:$I$61,INT((ROW()-1)/2)),IF(IFERROR(INDEX(XU_LY_LENH!$C$2:$C$61,INT((ROW()-1)/2)+1),"")="",86400,IFERROR(INDEX(XU_LY_LENH!$B$2:$B$61,INT((ROW()-1)/2)+1),"")),86400))),IF(B84="","",MIN(IF(IFERROR(INDEX(XU_LY_LENH!$C$2:$C$61,INT((ROW()-1)/2)+1),"")="",86400,IFERROR(INDEX(XU_LY_LENH!$B$2:$B$61,INT((ROW()-1)/2)+1),"")),86400)))</f>
        <v/>
      </c>
      <c r="E84" t="str">
        <f ca="1">IF(MOD(ROW(),2)=1,IF(B84="","",INDEX(XU_LY_LENH!$F$2:$F$61,INT((ROW()-1)/2))),IF(B84="","",INDEX(XU_LY_LENH!$D$2:$D$61,INT((ROW()-1)/2))))</f>
        <v/>
      </c>
      <c r="F84" t="str">
        <f ca="1">IF(MOD(ROW(),2)=1,IF(B84="","",IF(INDEX(XU_LY_LENH!$G$2:$G$61,INT((ROW()-1)/2))="HOLD",E84,IF(D84&gt;=INDEX(XU_LY_LENH!$I$2:$I$61,INT((ROW()-1)/2)),INDEX(XU_LY_LENH!$D$2:$D$61,INT((ROW()-1)/2)),INDEX(XU_LY_LENH!$F$2:$F$61,INT((ROW()-1)/2))+(INDEX(XU_LY_LENH!$D$2:$D$61,INT((ROW()-1)/2))-INDEX(XU_LY_LENH!$F$2:$F$61,INT((ROW()-1)/2)))*(D84-INDEX(XU_LY_LENH!$B$2:$B$61,INT((ROW()-1)/2)))/MAX(INDEX(XU_LY_LENH!$I$2:$I$61,INT((ROW()-1)/2))-INDEX(XU_LY_LENH!$B$2:$B$61,INT((ROW()-1)/2)),0.000001)))),IF(B84="","",INDEX(XU_LY_LENH!$D$2:$D$61,INT((ROW()-1)/2))))</f>
        <v/>
      </c>
      <c r="G84" t="str">
        <f t="shared" ca="1" si="7"/>
        <v/>
      </c>
      <c r="H84" t="str">
        <f t="shared" ca="1" si="8"/>
        <v/>
      </c>
    </row>
    <row r="85" spans="1:8">
      <c r="A85">
        <f t="shared" si="6"/>
        <v>84</v>
      </c>
      <c r="B85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85" t="str">
        <f ca="1">IF(MOD(ROW(),2)=1,IF(B85="","",INDEX(XU_LY_LENH!$B$2:$B$61,INT((ROW()-1)/2))),IF(B85="","",INDEX(XU_LY_LENH!$I$2:$I$61,INT((ROW()-1)/2))))</f>
        <v/>
      </c>
      <c r="D85" t="str">
        <f ca="1">IF(MOD(ROW(),2)=1,IF(B85="","",IF(INDEX(XU_LY_LENH!$G$2:$G$61,INT((ROW()-1)/2))="HOLD",C85,MIN(INDEX(XU_LY_LENH!$I$2:$I$61,INT((ROW()-1)/2)),IF(IFERROR(INDEX(XU_LY_LENH!$C$2:$C$61,INT((ROW()-1)/2)+1),"")="",86400,IFERROR(INDEX(XU_LY_LENH!$B$2:$B$61,INT((ROW()-1)/2)+1),"")),86400))),IF(B85="","",MIN(IF(IFERROR(INDEX(XU_LY_LENH!$C$2:$C$61,INT((ROW()-1)/2)+1),"")="",86400,IFERROR(INDEX(XU_LY_LENH!$B$2:$B$61,INT((ROW()-1)/2)+1),"")),86400)))</f>
        <v/>
      </c>
      <c r="E85" t="str">
        <f ca="1">IF(MOD(ROW(),2)=1,IF(B85="","",INDEX(XU_LY_LENH!$F$2:$F$61,INT((ROW()-1)/2))),IF(B85="","",INDEX(XU_LY_LENH!$D$2:$D$61,INT((ROW()-1)/2))))</f>
        <v/>
      </c>
      <c r="F85" t="str">
        <f ca="1">IF(MOD(ROW(),2)=1,IF(B85="","",IF(INDEX(XU_LY_LENH!$G$2:$G$61,INT((ROW()-1)/2))="HOLD",E85,IF(D85&gt;=INDEX(XU_LY_LENH!$I$2:$I$61,INT((ROW()-1)/2)),INDEX(XU_LY_LENH!$D$2:$D$61,INT((ROW()-1)/2)),INDEX(XU_LY_LENH!$F$2:$F$61,INT((ROW()-1)/2))+(INDEX(XU_LY_LENH!$D$2:$D$61,INT((ROW()-1)/2))-INDEX(XU_LY_LENH!$F$2:$F$61,INT((ROW()-1)/2)))*(D85-INDEX(XU_LY_LENH!$B$2:$B$61,INT((ROW()-1)/2)))/MAX(INDEX(XU_LY_LENH!$I$2:$I$61,INT((ROW()-1)/2))-INDEX(XU_LY_LENH!$B$2:$B$61,INT((ROW()-1)/2)),0.000001)))),IF(B85="","",INDEX(XU_LY_LENH!$D$2:$D$61,INT((ROW()-1)/2))))</f>
        <v/>
      </c>
      <c r="G85" t="str">
        <f t="shared" ca="1" si="7"/>
        <v/>
      </c>
      <c r="H85" t="str">
        <f t="shared" ca="1" si="8"/>
        <v/>
      </c>
    </row>
    <row r="86" spans="1:8">
      <c r="A86">
        <f t="shared" si="6"/>
        <v>85</v>
      </c>
      <c r="B86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86" t="str">
        <f ca="1">IF(MOD(ROW(),2)=1,IF(B86="","",INDEX(XU_LY_LENH!$B$2:$B$61,INT((ROW()-1)/2))),IF(B86="","",INDEX(XU_LY_LENH!$I$2:$I$61,INT((ROW()-1)/2))))</f>
        <v/>
      </c>
      <c r="D86" t="str">
        <f ca="1">IF(MOD(ROW(),2)=1,IF(B86="","",IF(INDEX(XU_LY_LENH!$G$2:$G$61,INT((ROW()-1)/2))="HOLD",C86,MIN(INDEX(XU_LY_LENH!$I$2:$I$61,INT((ROW()-1)/2)),IF(IFERROR(INDEX(XU_LY_LENH!$C$2:$C$61,INT((ROW()-1)/2)+1),"")="",86400,IFERROR(INDEX(XU_LY_LENH!$B$2:$B$61,INT((ROW()-1)/2)+1),"")),86400))),IF(B86="","",MIN(IF(IFERROR(INDEX(XU_LY_LENH!$C$2:$C$61,INT((ROW()-1)/2)+1),"")="",86400,IFERROR(INDEX(XU_LY_LENH!$B$2:$B$61,INT((ROW()-1)/2)+1),"")),86400)))</f>
        <v/>
      </c>
      <c r="E86" t="str">
        <f ca="1">IF(MOD(ROW(),2)=1,IF(B86="","",INDEX(XU_LY_LENH!$F$2:$F$61,INT((ROW()-1)/2))),IF(B86="","",INDEX(XU_LY_LENH!$D$2:$D$61,INT((ROW()-1)/2))))</f>
        <v/>
      </c>
      <c r="F86" t="str">
        <f ca="1">IF(MOD(ROW(),2)=1,IF(B86="","",IF(INDEX(XU_LY_LENH!$G$2:$G$61,INT((ROW()-1)/2))="HOLD",E86,IF(D86&gt;=INDEX(XU_LY_LENH!$I$2:$I$61,INT((ROW()-1)/2)),INDEX(XU_LY_LENH!$D$2:$D$61,INT((ROW()-1)/2)),INDEX(XU_LY_LENH!$F$2:$F$61,INT((ROW()-1)/2))+(INDEX(XU_LY_LENH!$D$2:$D$61,INT((ROW()-1)/2))-INDEX(XU_LY_LENH!$F$2:$F$61,INT((ROW()-1)/2)))*(D86-INDEX(XU_LY_LENH!$B$2:$B$61,INT((ROW()-1)/2)))/MAX(INDEX(XU_LY_LENH!$I$2:$I$61,INT((ROW()-1)/2))-INDEX(XU_LY_LENH!$B$2:$B$61,INT((ROW()-1)/2)),0.000001)))),IF(B86="","",INDEX(XU_LY_LENH!$D$2:$D$61,INT((ROW()-1)/2))))</f>
        <v/>
      </c>
      <c r="G86" t="str">
        <f t="shared" ca="1" si="7"/>
        <v/>
      </c>
      <c r="H86" t="str">
        <f t="shared" ca="1" si="8"/>
        <v/>
      </c>
    </row>
    <row r="87" spans="1:8">
      <c r="A87">
        <f t="shared" si="6"/>
        <v>86</v>
      </c>
      <c r="B87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87" t="str">
        <f ca="1">IF(MOD(ROW(),2)=1,IF(B87="","",INDEX(XU_LY_LENH!$B$2:$B$61,INT((ROW()-1)/2))),IF(B87="","",INDEX(XU_LY_LENH!$I$2:$I$61,INT((ROW()-1)/2))))</f>
        <v/>
      </c>
      <c r="D87" t="str">
        <f ca="1">IF(MOD(ROW(),2)=1,IF(B87="","",IF(INDEX(XU_LY_LENH!$G$2:$G$61,INT((ROW()-1)/2))="HOLD",C87,MIN(INDEX(XU_LY_LENH!$I$2:$I$61,INT((ROW()-1)/2)),IF(IFERROR(INDEX(XU_LY_LENH!$C$2:$C$61,INT((ROW()-1)/2)+1),"")="",86400,IFERROR(INDEX(XU_LY_LENH!$B$2:$B$61,INT((ROW()-1)/2)+1),"")),86400))),IF(B87="","",MIN(IF(IFERROR(INDEX(XU_LY_LENH!$C$2:$C$61,INT((ROW()-1)/2)+1),"")="",86400,IFERROR(INDEX(XU_LY_LENH!$B$2:$B$61,INT((ROW()-1)/2)+1),"")),86400)))</f>
        <v/>
      </c>
      <c r="E87" t="str">
        <f ca="1">IF(MOD(ROW(),2)=1,IF(B87="","",INDEX(XU_LY_LENH!$F$2:$F$61,INT((ROW()-1)/2))),IF(B87="","",INDEX(XU_LY_LENH!$D$2:$D$61,INT((ROW()-1)/2))))</f>
        <v/>
      </c>
      <c r="F87" t="str">
        <f ca="1">IF(MOD(ROW(),2)=1,IF(B87="","",IF(INDEX(XU_LY_LENH!$G$2:$G$61,INT((ROW()-1)/2))="HOLD",E87,IF(D87&gt;=INDEX(XU_LY_LENH!$I$2:$I$61,INT((ROW()-1)/2)),INDEX(XU_LY_LENH!$D$2:$D$61,INT((ROW()-1)/2)),INDEX(XU_LY_LENH!$F$2:$F$61,INT((ROW()-1)/2))+(INDEX(XU_LY_LENH!$D$2:$D$61,INT((ROW()-1)/2))-INDEX(XU_LY_LENH!$F$2:$F$61,INT((ROW()-1)/2)))*(D87-INDEX(XU_LY_LENH!$B$2:$B$61,INT((ROW()-1)/2)))/MAX(INDEX(XU_LY_LENH!$I$2:$I$61,INT((ROW()-1)/2))-INDEX(XU_LY_LENH!$B$2:$B$61,INT((ROW()-1)/2)),0.000001)))),IF(B87="","",INDEX(XU_LY_LENH!$D$2:$D$61,INT((ROW()-1)/2))))</f>
        <v/>
      </c>
      <c r="G87" t="str">
        <f t="shared" ca="1" si="7"/>
        <v/>
      </c>
      <c r="H87" t="str">
        <f t="shared" ca="1" si="8"/>
        <v/>
      </c>
    </row>
    <row r="88" spans="1:8">
      <c r="A88">
        <f t="shared" si="6"/>
        <v>87</v>
      </c>
      <c r="B88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88" t="str">
        <f ca="1">IF(MOD(ROW(),2)=1,IF(B88="","",INDEX(XU_LY_LENH!$B$2:$B$61,INT((ROW()-1)/2))),IF(B88="","",INDEX(XU_LY_LENH!$I$2:$I$61,INT((ROW()-1)/2))))</f>
        <v/>
      </c>
      <c r="D88" t="str">
        <f ca="1">IF(MOD(ROW(),2)=1,IF(B88="","",IF(INDEX(XU_LY_LENH!$G$2:$G$61,INT((ROW()-1)/2))="HOLD",C88,MIN(INDEX(XU_LY_LENH!$I$2:$I$61,INT((ROW()-1)/2)),IF(IFERROR(INDEX(XU_LY_LENH!$C$2:$C$61,INT((ROW()-1)/2)+1),"")="",86400,IFERROR(INDEX(XU_LY_LENH!$B$2:$B$61,INT((ROW()-1)/2)+1),"")),86400))),IF(B88="","",MIN(IF(IFERROR(INDEX(XU_LY_LENH!$C$2:$C$61,INT((ROW()-1)/2)+1),"")="",86400,IFERROR(INDEX(XU_LY_LENH!$B$2:$B$61,INT((ROW()-1)/2)+1),"")),86400)))</f>
        <v/>
      </c>
      <c r="E88" t="str">
        <f ca="1">IF(MOD(ROW(),2)=1,IF(B88="","",INDEX(XU_LY_LENH!$F$2:$F$61,INT((ROW()-1)/2))),IF(B88="","",INDEX(XU_LY_LENH!$D$2:$D$61,INT((ROW()-1)/2))))</f>
        <v/>
      </c>
      <c r="F88" t="str">
        <f ca="1">IF(MOD(ROW(),2)=1,IF(B88="","",IF(INDEX(XU_LY_LENH!$G$2:$G$61,INT((ROW()-1)/2))="HOLD",E88,IF(D88&gt;=INDEX(XU_LY_LENH!$I$2:$I$61,INT((ROW()-1)/2)),INDEX(XU_LY_LENH!$D$2:$D$61,INT((ROW()-1)/2)),INDEX(XU_LY_LENH!$F$2:$F$61,INT((ROW()-1)/2))+(INDEX(XU_LY_LENH!$D$2:$D$61,INT((ROW()-1)/2))-INDEX(XU_LY_LENH!$F$2:$F$61,INT((ROW()-1)/2)))*(D88-INDEX(XU_LY_LENH!$B$2:$B$61,INT((ROW()-1)/2)))/MAX(INDEX(XU_LY_LENH!$I$2:$I$61,INT((ROW()-1)/2))-INDEX(XU_LY_LENH!$B$2:$B$61,INT((ROW()-1)/2)),0.000001)))),IF(B88="","",INDEX(XU_LY_LENH!$D$2:$D$61,INT((ROW()-1)/2))))</f>
        <v/>
      </c>
      <c r="G88" t="str">
        <f t="shared" ca="1" si="7"/>
        <v/>
      </c>
      <c r="H88" t="str">
        <f t="shared" ca="1" si="8"/>
        <v/>
      </c>
    </row>
    <row r="89" spans="1:8">
      <c r="A89">
        <f t="shared" si="6"/>
        <v>88</v>
      </c>
      <c r="B89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89" t="str">
        <f ca="1">IF(MOD(ROW(),2)=1,IF(B89="","",INDEX(XU_LY_LENH!$B$2:$B$61,INT((ROW()-1)/2))),IF(B89="","",INDEX(XU_LY_LENH!$I$2:$I$61,INT((ROW()-1)/2))))</f>
        <v/>
      </c>
      <c r="D89" t="str">
        <f ca="1">IF(MOD(ROW(),2)=1,IF(B89="","",IF(INDEX(XU_LY_LENH!$G$2:$G$61,INT((ROW()-1)/2))="HOLD",C89,MIN(INDEX(XU_LY_LENH!$I$2:$I$61,INT((ROW()-1)/2)),IF(IFERROR(INDEX(XU_LY_LENH!$C$2:$C$61,INT((ROW()-1)/2)+1),"")="",86400,IFERROR(INDEX(XU_LY_LENH!$B$2:$B$61,INT((ROW()-1)/2)+1),"")),86400))),IF(B89="","",MIN(IF(IFERROR(INDEX(XU_LY_LENH!$C$2:$C$61,INT((ROW()-1)/2)+1),"")="",86400,IFERROR(INDEX(XU_LY_LENH!$B$2:$B$61,INT((ROW()-1)/2)+1),"")),86400)))</f>
        <v/>
      </c>
      <c r="E89" t="str">
        <f ca="1">IF(MOD(ROW(),2)=1,IF(B89="","",INDEX(XU_LY_LENH!$F$2:$F$61,INT((ROW()-1)/2))),IF(B89="","",INDEX(XU_LY_LENH!$D$2:$D$61,INT((ROW()-1)/2))))</f>
        <v/>
      </c>
      <c r="F89" t="str">
        <f ca="1">IF(MOD(ROW(),2)=1,IF(B89="","",IF(INDEX(XU_LY_LENH!$G$2:$G$61,INT((ROW()-1)/2))="HOLD",E89,IF(D89&gt;=INDEX(XU_LY_LENH!$I$2:$I$61,INT((ROW()-1)/2)),INDEX(XU_LY_LENH!$D$2:$D$61,INT((ROW()-1)/2)),INDEX(XU_LY_LENH!$F$2:$F$61,INT((ROW()-1)/2))+(INDEX(XU_LY_LENH!$D$2:$D$61,INT((ROW()-1)/2))-INDEX(XU_LY_LENH!$F$2:$F$61,INT((ROW()-1)/2)))*(D89-INDEX(XU_LY_LENH!$B$2:$B$61,INT((ROW()-1)/2)))/MAX(INDEX(XU_LY_LENH!$I$2:$I$61,INT((ROW()-1)/2))-INDEX(XU_LY_LENH!$B$2:$B$61,INT((ROW()-1)/2)),0.000001)))),IF(B89="","",INDEX(XU_LY_LENH!$D$2:$D$61,INT((ROW()-1)/2))))</f>
        <v/>
      </c>
      <c r="G89" t="str">
        <f t="shared" ca="1" si="7"/>
        <v/>
      </c>
      <c r="H89" t="str">
        <f t="shared" ca="1" si="8"/>
        <v/>
      </c>
    </row>
    <row r="90" spans="1:8">
      <c r="A90">
        <f t="shared" si="6"/>
        <v>89</v>
      </c>
      <c r="B90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90" t="str">
        <f ca="1">IF(MOD(ROW(),2)=1,IF(B90="","",INDEX(XU_LY_LENH!$B$2:$B$61,INT((ROW()-1)/2))),IF(B90="","",INDEX(XU_LY_LENH!$I$2:$I$61,INT((ROW()-1)/2))))</f>
        <v/>
      </c>
      <c r="D90" t="str">
        <f ca="1">IF(MOD(ROW(),2)=1,IF(B90="","",IF(INDEX(XU_LY_LENH!$G$2:$G$61,INT((ROW()-1)/2))="HOLD",C90,MIN(INDEX(XU_LY_LENH!$I$2:$I$61,INT((ROW()-1)/2)),IF(IFERROR(INDEX(XU_LY_LENH!$C$2:$C$61,INT((ROW()-1)/2)+1),"")="",86400,IFERROR(INDEX(XU_LY_LENH!$B$2:$B$61,INT((ROW()-1)/2)+1),"")),86400))),IF(B90="","",MIN(IF(IFERROR(INDEX(XU_LY_LENH!$C$2:$C$61,INT((ROW()-1)/2)+1),"")="",86400,IFERROR(INDEX(XU_LY_LENH!$B$2:$B$61,INT((ROW()-1)/2)+1),"")),86400)))</f>
        <v/>
      </c>
      <c r="E90" t="str">
        <f ca="1">IF(MOD(ROW(),2)=1,IF(B90="","",INDEX(XU_LY_LENH!$F$2:$F$61,INT((ROW()-1)/2))),IF(B90="","",INDEX(XU_LY_LENH!$D$2:$D$61,INT((ROW()-1)/2))))</f>
        <v/>
      </c>
      <c r="F90" t="str">
        <f ca="1">IF(MOD(ROW(),2)=1,IF(B90="","",IF(INDEX(XU_LY_LENH!$G$2:$G$61,INT((ROW()-1)/2))="HOLD",E90,IF(D90&gt;=INDEX(XU_LY_LENH!$I$2:$I$61,INT((ROW()-1)/2)),INDEX(XU_LY_LENH!$D$2:$D$61,INT((ROW()-1)/2)),INDEX(XU_LY_LENH!$F$2:$F$61,INT((ROW()-1)/2))+(INDEX(XU_LY_LENH!$D$2:$D$61,INT((ROW()-1)/2))-INDEX(XU_LY_LENH!$F$2:$F$61,INT((ROW()-1)/2)))*(D90-INDEX(XU_LY_LENH!$B$2:$B$61,INT((ROW()-1)/2)))/MAX(INDEX(XU_LY_LENH!$I$2:$I$61,INT((ROW()-1)/2))-INDEX(XU_LY_LENH!$B$2:$B$61,INT((ROW()-1)/2)),0.000001)))),IF(B90="","",INDEX(XU_LY_LENH!$D$2:$D$61,INT((ROW()-1)/2))))</f>
        <v/>
      </c>
      <c r="G90" t="str">
        <f t="shared" ca="1" si="7"/>
        <v/>
      </c>
      <c r="H90" t="str">
        <f t="shared" ca="1" si="8"/>
        <v/>
      </c>
    </row>
    <row r="91" spans="1:8">
      <c r="A91">
        <f t="shared" si="6"/>
        <v>90</v>
      </c>
      <c r="B91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91" t="str">
        <f ca="1">IF(MOD(ROW(),2)=1,IF(B91="","",INDEX(XU_LY_LENH!$B$2:$B$61,INT((ROW()-1)/2))),IF(B91="","",INDEX(XU_LY_LENH!$I$2:$I$61,INT((ROW()-1)/2))))</f>
        <v/>
      </c>
      <c r="D91" t="str">
        <f ca="1">IF(MOD(ROW(),2)=1,IF(B91="","",IF(INDEX(XU_LY_LENH!$G$2:$G$61,INT((ROW()-1)/2))="HOLD",C91,MIN(INDEX(XU_LY_LENH!$I$2:$I$61,INT((ROW()-1)/2)),IF(IFERROR(INDEX(XU_LY_LENH!$C$2:$C$61,INT((ROW()-1)/2)+1),"")="",86400,IFERROR(INDEX(XU_LY_LENH!$B$2:$B$61,INT((ROW()-1)/2)+1),"")),86400))),IF(B91="","",MIN(IF(IFERROR(INDEX(XU_LY_LENH!$C$2:$C$61,INT((ROW()-1)/2)+1),"")="",86400,IFERROR(INDEX(XU_LY_LENH!$B$2:$B$61,INT((ROW()-1)/2)+1),"")),86400)))</f>
        <v/>
      </c>
      <c r="E91" t="str">
        <f ca="1">IF(MOD(ROW(),2)=1,IF(B91="","",INDEX(XU_LY_LENH!$F$2:$F$61,INT((ROW()-1)/2))),IF(B91="","",INDEX(XU_LY_LENH!$D$2:$D$61,INT((ROW()-1)/2))))</f>
        <v/>
      </c>
      <c r="F91" t="str">
        <f ca="1">IF(MOD(ROW(),2)=1,IF(B91="","",IF(INDEX(XU_LY_LENH!$G$2:$G$61,INT((ROW()-1)/2))="HOLD",E91,IF(D91&gt;=INDEX(XU_LY_LENH!$I$2:$I$61,INT((ROW()-1)/2)),INDEX(XU_LY_LENH!$D$2:$D$61,INT((ROW()-1)/2)),INDEX(XU_LY_LENH!$F$2:$F$61,INT((ROW()-1)/2))+(INDEX(XU_LY_LENH!$D$2:$D$61,INT((ROW()-1)/2))-INDEX(XU_LY_LENH!$F$2:$F$61,INT((ROW()-1)/2)))*(D91-INDEX(XU_LY_LENH!$B$2:$B$61,INT((ROW()-1)/2)))/MAX(INDEX(XU_LY_LENH!$I$2:$I$61,INT((ROW()-1)/2))-INDEX(XU_LY_LENH!$B$2:$B$61,INT((ROW()-1)/2)),0.000001)))),IF(B91="","",INDEX(XU_LY_LENH!$D$2:$D$61,INT((ROW()-1)/2))))</f>
        <v/>
      </c>
      <c r="G91" t="str">
        <f t="shared" ca="1" si="7"/>
        <v/>
      </c>
      <c r="H91" t="str">
        <f t="shared" ca="1" si="8"/>
        <v/>
      </c>
    </row>
    <row r="92" spans="1:8">
      <c r="A92">
        <f t="shared" si="6"/>
        <v>91</v>
      </c>
      <c r="B92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92" t="str">
        <f ca="1">IF(MOD(ROW(),2)=1,IF(B92="","",INDEX(XU_LY_LENH!$B$2:$B$61,INT((ROW()-1)/2))),IF(B92="","",INDEX(XU_LY_LENH!$I$2:$I$61,INT((ROW()-1)/2))))</f>
        <v/>
      </c>
      <c r="D92" t="str">
        <f ca="1">IF(MOD(ROW(),2)=1,IF(B92="","",IF(INDEX(XU_LY_LENH!$G$2:$G$61,INT((ROW()-1)/2))="HOLD",C92,MIN(INDEX(XU_LY_LENH!$I$2:$I$61,INT((ROW()-1)/2)),IF(IFERROR(INDEX(XU_LY_LENH!$C$2:$C$61,INT((ROW()-1)/2)+1),"")="",86400,IFERROR(INDEX(XU_LY_LENH!$B$2:$B$61,INT((ROW()-1)/2)+1),"")),86400))),IF(B92="","",MIN(IF(IFERROR(INDEX(XU_LY_LENH!$C$2:$C$61,INT((ROW()-1)/2)+1),"")="",86400,IFERROR(INDEX(XU_LY_LENH!$B$2:$B$61,INT((ROW()-1)/2)+1),"")),86400)))</f>
        <v/>
      </c>
      <c r="E92" t="str">
        <f ca="1">IF(MOD(ROW(),2)=1,IF(B92="","",INDEX(XU_LY_LENH!$F$2:$F$61,INT((ROW()-1)/2))),IF(B92="","",INDEX(XU_LY_LENH!$D$2:$D$61,INT((ROW()-1)/2))))</f>
        <v/>
      </c>
      <c r="F92" t="str">
        <f ca="1">IF(MOD(ROW(),2)=1,IF(B92="","",IF(INDEX(XU_LY_LENH!$G$2:$G$61,INT((ROW()-1)/2))="HOLD",E92,IF(D92&gt;=INDEX(XU_LY_LENH!$I$2:$I$61,INT((ROW()-1)/2)),INDEX(XU_LY_LENH!$D$2:$D$61,INT((ROW()-1)/2)),INDEX(XU_LY_LENH!$F$2:$F$61,INT((ROW()-1)/2))+(INDEX(XU_LY_LENH!$D$2:$D$61,INT((ROW()-1)/2))-INDEX(XU_LY_LENH!$F$2:$F$61,INT((ROW()-1)/2)))*(D92-INDEX(XU_LY_LENH!$B$2:$B$61,INT((ROW()-1)/2)))/MAX(INDEX(XU_LY_LENH!$I$2:$I$61,INT((ROW()-1)/2))-INDEX(XU_LY_LENH!$B$2:$B$61,INT((ROW()-1)/2)),0.000001)))),IF(B92="","",INDEX(XU_LY_LENH!$D$2:$D$61,INT((ROW()-1)/2))))</f>
        <v/>
      </c>
      <c r="G92" t="str">
        <f t="shared" ca="1" si="7"/>
        <v/>
      </c>
      <c r="H92" t="str">
        <f t="shared" ca="1" si="8"/>
        <v/>
      </c>
    </row>
    <row r="93" spans="1:8">
      <c r="A93">
        <f t="shared" si="6"/>
        <v>92</v>
      </c>
      <c r="B9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93" t="str">
        <f ca="1">IF(MOD(ROW(),2)=1,IF(B93="","",INDEX(XU_LY_LENH!$B$2:$B$61,INT((ROW()-1)/2))),IF(B93="","",INDEX(XU_LY_LENH!$I$2:$I$61,INT((ROW()-1)/2))))</f>
        <v/>
      </c>
      <c r="D93" t="str">
        <f ca="1">IF(MOD(ROW(),2)=1,IF(B93="","",IF(INDEX(XU_LY_LENH!$G$2:$G$61,INT((ROW()-1)/2))="HOLD",C93,MIN(INDEX(XU_LY_LENH!$I$2:$I$61,INT((ROW()-1)/2)),IF(IFERROR(INDEX(XU_LY_LENH!$C$2:$C$61,INT((ROW()-1)/2)+1),"")="",86400,IFERROR(INDEX(XU_LY_LENH!$B$2:$B$61,INT((ROW()-1)/2)+1),"")),86400))),IF(B93="","",MIN(IF(IFERROR(INDEX(XU_LY_LENH!$C$2:$C$61,INT((ROW()-1)/2)+1),"")="",86400,IFERROR(INDEX(XU_LY_LENH!$B$2:$B$61,INT((ROW()-1)/2)+1),"")),86400)))</f>
        <v/>
      </c>
      <c r="E93" t="str">
        <f ca="1">IF(MOD(ROW(),2)=1,IF(B93="","",INDEX(XU_LY_LENH!$F$2:$F$61,INT((ROW()-1)/2))),IF(B93="","",INDEX(XU_LY_LENH!$D$2:$D$61,INT((ROW()-1)/2))))</f>
        <v/>
      </c>
      <c r="F93" t="str">
        <f ca="1">IF(MOD(ROW(),2)=1,IF(B93="","",IF(INDEX(XU_LY_LENH!$G$2:$G$61,INT((ROW()-1)/2))="HOLD",E93,IF(D93&gt;=INDEX(XU_LY_LENH!$I$2:$I$61,INT((ROW()-1)/2)),INDEX(XU_LY_LENH!$D$2:$D$61,INT((ROW()-1)/2)),INDEX(XU_LY_LENH!$F$2:$F$61,INT((ROW()-1)/2))+(INDEX(XU_LY_LENH!$D$2:$D$61,INT((ROW()-1)/2))-INDEX(XU_LY_LENH!$F$2:$F$61,INT((ROW()-1)/2)))*(D93-INDEX(XU_LY_LENH!$B$2:$B$61,INT((ROW()-1)/2)))/MAX(INDEX(XU_LY_LENH!$I$2:$I$61,INT((ROW()-1)/2))-INDEX(XU_LY_LENH!$B$2:$B$61,INT((ROW()-1)/2)),0.000001)))),IF(B93="","",INDEX(XU_LY_LENH!$D$2:$D$61,INT((ROW()-1)/2))))</f>
        <v/>
      </c>
      <c r="G93" t="str">
        <f t="shared" ca="1" si="7"/>
        <v/>
      </c>
      <c r="H93" t="str">
        <f t="shared" ca="1" si="8"/>
        <v/>
      </c>
    </row>
    <row r="94" spans="1:8">
      <c r="A94">
        <f t="shared" si="6"/>
        <v>93</v>
      </c>
      <c r="B94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94" t="str">
        <f ca="1">IF(MOD(ROW(),2)=1,IF(B94="","",INDEX(XU_LY_LENH!$B$2:$B$61,INT((ROW()-1)/2))),IF(B94="","",INDEX(XU_LY_LENH!$I$2:$I$61,INT((ROW()-1)/2))))</f>
        <v/>
      </c>
      <c r="D94" t="str">
        <f ca="1">IF(MOD(ROW(),2)=1,IF(B94="","",IF(INDEX(XU_LY_LENH!$G$2:$G$61,INT((ROW()-1)/2))="HOLD",C94,MIN(INDEX(XU_LY_LENH!$I$2:$I$61,INT((ROW()-1)/2)),IF(IFERROR(INDEX(XU_LY_LENH!$C$2:$C$61,INT((ROW()-1)/2)+1),"")="",86400,IFERROR(INDEX(XU_LY_LENH!$B$2:$B$61,INT((ROW()-1)/2)+1),"")),86400))),IF(B94="","",MIN(IF(IFERROR(INDEX(XU_LY_LENH!$C$2:$C$61,INT((ROW()-1)/2)+1),"")="",86400,IFERROR(INDEX(XU_LY_LENH!$B$2:$B$61,INT((ROW()-1)/2)+1),"")),86400)))</f>
        <v/>
      </c>
      <c r="E94" t="str">
        <f ca="1">IF(MOD(ROW(),2)=1,IF(B94="","",INDEX(XU_LY_LENH!$F$2:$F$61,INT((ROW()-1)/2))),IF(B94="","",INDEX(XU_LY_LENH!$D$2:$D$61,INT((ROW()-1)/2))))</f>
        <v/>
      </c>
      <c r="F94" t="str">
        <f ca="1">IF(MOD(ROW(),2)=1,IF(B94="","",IF(INDEX(XU_LY_LENH!$G$2:$G$61,INT((ROW()-1)/2))="HOLD",E94,IF(D94&gt;=INDEX(XU_LY_LENH!$I$2:$I$61,INT((ROW()-1)/2)),INDEX(XU_LY_LENH!$D$2:$D$61,INT((ROW()-1)/2)),INDEX(XU_LY_LENH!$F$2:$F$61,INT((ROW()-1)/2))+(INDEX(XU_LY_LENH!$D$2:$D$61,INT((ROW()-1)/2))-INDEX(XU_LY_LENH!$F$2:$F$61,INT((ROW()-1)/2)))*(D94-INDEX(XU_LY_LENH!$B$2:$B$61,INT((ROW()-1)/2)))/MAX(INDEX(XU_LY_LENH!$I$2:$I$61,INT((ROW()-1)/2))-INDEX(XU_LY_LENH!$B$2:$B$61,INT((ROW()-1)/2)),0.000001)))),IF(B94="","",INDEX(XU_LY_LENH!$D$2:$D$61,INT((ROW()-1)/2))))</f>
        <v/>
      </c>
      <c r="G94" t="str">
        <f t="shared" ca="1" si="7"/>
        <v/>
      </c>
      <c r="H94" t="str">
        <f t="shared" ca="1" si="8"/>
        <v/>
      </c>
    </row>
    <row r="95" spans="1:8">
      <c r="A95">
        <f t="shared" si="6"/>
        <v>94</v>
      </c>
      <c r="B95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95" t="str">
        <f ca="1">IF(MOD(ROW(),2)=1,IF(B95="","",INDEX(XU_LY_LENH!$B$2:$B$61,INT((ROW()-1)/2))),IF(B95="","",INDEX(XU_LY_LENH!$I$2:$I$61,INT((ROW()-1)/2))))</f>
        <v/>
      </c>
      <c r="D95" t="str">
        <f ca="1">IF(MOD(ROW(),2)=1,IF(B95="","",IF(INDEX(XU_LY_LENH!$G$2:$G$61,INT((ROW()-1)/2))="HOLD",C95,MIN(INDEX(XU_LY_LENH!$I$2:$I$61,INT((ROW()-1)/2)),IF(IFERROR(INDEX(XU_LY_LENH!$C$2:$C$61,INT((ROW()-1)/2)+1),"")="",86400,IFERROR(INDEX(XU_LY_LENH!$B$2:$B$61,INT((ROW()-1)/2)+1),"")),86400))),IF(B95="","",MIN(IF(IFERROR(INDEX(XU_LY_LENH!$C$2:$C$61,INT((ROW()-1)/2)+1),"")="",86400,IFERROR(INDEX(XU_LY_LENH!$B$2:$B$61,INT((ROW()-1)/2)+1),"")),86400)))</f>
        <v/>
      </c>
      <c r="E95" t="str">
        <f ca="1">IF(MOD(ROW(),2)=1,IF(B95="","",INDEX(XU_LY_LENH!$F$2:$F$61,INT((ROW()-1)/2))),IF(B95="","",INDEX(XU_LY_LENH!$D$2:$D$61,INT((ROW()-1)/2))))</f>
        <v/>
      </c>
      <c r="F95" t="str">
        <f ca="1">IF(MOD(ROW(),2)=1,IF(B95="","",IF(INDEX(XU_LY_LENH!$G$2:$G$61,INT((ROW()-1)/2))="HOLD",E95,IF(D95&gt;=INDEX(XU_LY_LENH!$I$2:$I$61,INT((ROW()-1)/2)),INDEX(XU_LY_LENH!$D$2:$D$61,INT((ROW()-1)/2)),INDEX(XU_LY_LENH!$F$2:$F$61,INT((ROW()-1)/2))+(INDEX(XU_LY_LENH!$D$2:$D$61,INT((ROW()-1)/2))-INDEX(XU_LY_LENH!$F$2:$F$61,INT((ROW()-1)/2)))*(D95-INDEX(XU_LY_LENH!$B$2:$B$61,INT((ROW()-1)/2)))/MAX(INDEX(XU_LY_LENH!$I$2:$I$61,INT((ROW()-1)/2))-INDEX(XU_LY_LENH!$B$2:$B$61,INT((ROW()-1)/2)),0.000001)))),IF(B95="","",INDEX(XU_LY_LENH!$D$2:$D$61,INT((ROW()-1)/2))))</f>
        <v/>
      </c>
      <c r="G95" t="str">
        <f t="shared" ca="1" si="7"/>
        <v/>
      </c>
      <c r="H95" t="str">
        <f t="shared" ca="1" si="8"/>
        <v/>
      </c>
    </row>
    <row r="96" spans="1:8">
      <c r="A96">
        <f t="shared" si="6"/>
        <v>95</v>
      </c>
      <c r="B96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96" t="str">
        <f ca="1">IF(MOD(ROW(),2)=1,IF(B96="","",INDEX(XU_LY_LENH!$B$2:$B$61,INT((ROW()-1)/2))),IF(B96="","",INDEX(XU_LY_LENH!$I$2:$I$61,INT((ROW()-1)/2))))</f>
        <v/>
      </c>
      <c r="D96" t="str">
        <f ca="1">IF(MOD(ROW(),2)=1,IF(B96="","",IF(INDEX(XU_LY_LENH!$G$2:$G$61,INT((ROW()-1)/2))="HOLD",C96,MIN(INDEX(XU_LY_LENH!$I$2:$I$61,INT((ROW()-1)/2)),IF(IFERROR(INDEX(XU_LY_LENH!$C$2:$C$61,INT((ROW()-1)/2)+1),"")="",86400,IFERROR(INDEX(XU_LY_LENH!$B$2:$B$61,INT((ROW()-1)/2)+1),"")),86400))),IF(B96="","",MIN(IF(IFERROR(INDEX(XU_LY_LENH!$C$2:$C$61,INT((ROW()-1)/2)+1),"")="",86400,IFERROR(INDEX(XU_LY_LENH!$B$2:$B$61,INT((ROW()-1)/2)+1),"")),86400)))</f>
        <v/>
      </c>
      <c r="E96" t="str">
        <f ca="1">IF(MOD(ROW(),2)=1,IF(B96="","",INDEX(XU_LY_LENH!$F$2:$F$61,INT((ROW()-1)/2))),IF(B96="","",INDEX(XU_LY_LENH!$D$2:$D$61,INT((ROW()-1)/2))))</f>
        <v/>
      </c>
      <c r="F96" t="str">
        <f ca="1">IF(MOD(ROW(),2)=1,IF(B96="","",IF(INDEX(XU_LY_LENH!$G$2:$G$61,INT((ROW()-1)/2))="HOLD",E96,IF(D96&gt;=INDEX(XU_LY_LENH!$I$2:$I$61,INT((ROW()-1)/2)),INDEX(XU_LY_LENH!$D$2:$D$61,INT((ROW()-1)/2)),INDEX(XU_LY_LENH!$F$2:$F$61,INT((ROW()-1)/2))+(INDEX(XU_LY_LENH!$D$2:$D$61,INT((ROW()-1)/2))-INDEX(XU_LY_LENH!$F$2:$F$61,INT((ROW()-1)/2)))*(D96-INDEX(XU_LY_LENH!$B$2:$B$61,INT((ROW()-1)/2)))/MAX(INDEX(XU_LY_LENH!$I$2:$I$61,INT((ROW()-1)/2))-INDEX(XU_LY_LENH!$B$2:$B$61,INT((ROW()-1)/2)),0.000001)))),IF(B96="","",INDEX(XU_LY_LENH!$D$2:$D$61,INT((ROW()-1)/2))))</f>
        <v/>
      </c>
      <c r="G96" t="str">
        <f t="shared" ca="1" si="7"/>
        <v/>
      </c>
      <c r="H96" t="str">
        <f t="shared" ca="1" si="8"/>
        <v/>
      </c>
    </row>
    <row r="97" spans="1:8">
      <c r="A97">
        <f t="shared" si="6"/>
        <v>96</v>
      </c>
      <c r="B97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97" t="str">
        <f ca="1">IF(MOD(ROW(),2)=1,IF(B97="","",INDEX(XU_LY_LENH!$B$2:$B$61,INT((ROW()-1)/2))),IF(B97="","",INDEX(XU_LY_LENH!$I$2:$I$61,INT((ROW()-1)/2))))</f>
        <v/>
      </c>
      <c r="D97" t="str">
        <f ca="1">IF(MOD(ROW(),2)=1,IF(B97="","",IF(INDEX(XU_LY_LENH!$G$2:$G$61,INT((ROW()-1)/2))="HOLD",C97,MIN(INDEX(XU_LY_LENH!$I$2:$I$61,INT((ROW()-1)/2)),IF(IFERROR(INDEX(XU_LY_LENH!$C$2:$C$61,INT((ROW()-1)/2)+1),"")="",86400,IFERROR(INDEX(XU_LY_LENH!$B$2:$B$61,INT((ROW()-1)/2)+1),"")),86400))),IF(B97="","",MIN(IF(IFERROR(INDEX(XU_LY_LENH!$C$2:$C$61,INT((ROW()-1)/2)+1),"")="",86400,IFERROR(INDEX(XU_LY_LENH!$B$2:$B$61,INT((ROW()-1)/2)+1),"")),86400)))</f>
        <v/>
      </c>
      <c r="E97" t="str">
        <f ca="1">IF(MOD(ROW(),2)=1,IF(B97="","",INDEX(XU_LY_LENH!$F$2:$F$61,INT((ROW()-1)/2))),IF(B97="","",INDEX(XU_LY_LENH!$D$2:$D$61,INT((ROW()-1)/2))))</f>
        <v/>
      </c>
      <c r="F97" t="str">
        <f ca="1">IF(MOD(ROW(),2)=1,IF(B97="","",IF(INDEX(XU_LY_LENH!$G$2:$G$61,INT((ROW()-1)/2))="HOLD",E97,IF(D97&gt;=INDEX(XU_LY_LENH!$I$2:$I$61,INT((ROW()-1)/2)),INDEX(XU_LY_LENH!$D$2:$D$61,INT((ROW()-1)/2)),INDEX(XU_LY_LENH!$F$2:$F$61,INT((ROW()-1)/2))+(INDEX(XU_LY_LENH!$D$2:$D$61,INT((ROW()-1)/2))-INDEX(XU_LY_LENH!$F$2:$F$61,INT((ROW()-1)/2)))*(D97-INDEX(XU_LY_LENH!$B$2:$B$61,INT((ROW()-1)/2)))/MAX(INDEX(XU_LY_LENH!$I$2:$I$61,INT((ROW()-1)/2))-INDEX(XU_LY_LENH!$B$2:$B$61,INT((ROW()-1)/2)),0.000001)))),IF(B97="","",INDEX(XU_LY_LENH!$D$2:$D$61,INT((ROW()-1)/2))))</f>
        <v/>
      </c>
      <c r="G97" t="str">
        <f t="shared" ca="1" si="7"/>
        <v/>
      </c>
      <c r="H97" t="str">
        <f t="shared" ca="1" si="8"/>
        <v/>
      </c>
    </row>
    <row r="98" spans="1:8">
      <c r="A98">
        <f t="shared" si="6"/>
        <v>97</v>
      </c>
      <c r="B98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98" t="str">
        <f ca="1">IF(MOD(ROW(),2)=1,IF(B98="","",INDEX(XU_LY_LENH!$B$2:$B$61,INT((ROW()-1)/2))),IF(B98="","",INDEX(XU_LY_LENH!$I$2:$I$61,INT((ROW()-1)/2))))</f>
        <v/>
      </c>
      <c r="D98" t="str">
        <f ca="1">IF(MOD(ROW(),2)=1,IF(B98="","",IF(INDEX(XU_LY_LENH!$G$2:$G$61,INT((ROW()-1)/2))="HOLD",C98,MIN(INDEX(XU_LY_LENH!$I$2:$I$61,INT((ROW()-1)/2)),IF(IFERROR(INDEX(XU_LY_LENH!$C$2:$C$61,INT((ROW()-1)/2)+1),"")="",86400,IFERROR(INDEX(XU_LY_LENH!$B$2:$B$61,INT((ROW()-1)/2)+1),"")),86400))),IF(B98="","",MIN(IF(IFERROR(INDEX(XU_LY_LENH!$C$2:$C$61,INT((ROW()-1)/2)+1),"")="",86400,IFERROR(INDEX(XU_LY_LENH!$B$2:$B$61,INT((ROW()-1)/2)+1),"")),86400)))</f>
        <v/>
      </c>
      <c r="E98" t="str">
        <f ca="1">IF(MOD(ROW(),2)=1,IF(B98="","",INDEX(XU_LY_LENH!$F$2:$F$61,INT((ROW()-1)/2))),IF(B98="","",INDEX(XU_LY_LENH!$D$2:$D$61,INT((ROW()-1)/2))))</f>
        <v/>
      </c>
      <c r="F98" t="str">
        <f ca="1">IF(MOD(ROW(),2)=1,IF(B98="","",IF(INDEX(XU_LY_LENH!$G$2:$G$61,INT((ROW()-1)/2))="HOLD",E98,IF(D98&gt;=INDEX(XU_LY_LENH!$I$2:$I$61,INT((ROW()-1)/2)),INDEX(XU_LY_LENH!$D$2:$D$61,INT((ROW()-1)/2)),INDEX(XU_LY_LENH!$F$2:$F$61,INT((ROW()-1)/2))+(INDEX(XU_LY_LENH!$D$2:$D$61,INT((ROW()-1)/2))-INDEX(XU_LY_LENH!$F$2:$F$61,INT((ROW()-1)/2)))*(D98-INDEX(XU_LY_LENH!$B$2:$B$61,INT((ROW()-1)/2)))/MAX(INDEX(XU_LY_LENH!$I$2:$I$61,INT((ROW()-1)/2))-INDEX(XU_LY_LENH!$B$2:$B$61,INT((ROW()-1)/2)),0.000001)))),IF(B98="","",INDEX(XU_LY_LENH!$D$2:$D$61,INT((ROW()-1)/2))))</f>
        <v/>
      </c>
      <c r="G98" t="str">
        <f t="shared" ca="1" si="7"/>
        <v/>
      </c>
      <c r="H98" t="str">
        <f t="shared" ca="1" si="8"/>
        <v/>
      </c>
    </row>
    <row r="99" spans="1:8">
      <c r="A99">
        <f t="shared" ref="A99:A122" si="9">ROW()-1</f>
        <v>98</v>
      </c>
      <c r="B99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99" t="str">
        <f ca="1">IF(MOD(ROW(),2)=1,IF(B99="","",INDEX(XU_LY_LENH!$B$2:$B$61,INT((ROW()-1)/2))),IF(B99="","",INDEX(XU_LY_LENH!$I$2:$I$61,INT((ROW()-1)/2))))</f>
        <v/>
      </c>
      <c r="D99" t="str">
        <f ca="1">IF(MOD(ROW(),2)=1,IF(B99="","",IF(INDEX(XU_LY_LENH!$G$2:$G$61,INT((ROW()-1)/2))="HOLD",C99,MIN(INDEX(XU_LY_LENH!$I$2:$I$61,INT((ROW()-1)/2)),IF(IFERROR(INDEX(XU_LY_LENH!$C$2:$C$61,INT((ROW()-1)/2)+1),"")="",86400,IFERROR(INDEX(XU_LY_LENH!$B$2:$B$61,INT((ROW()-1)/2)+1),"")),86400))),IF(B99="","",MIN(IF(IFERROR(INDEX(XU_LY_LENH!$C$2:$C$61,INT((ROW()-1)/2)+1),"")="",86400,IFERROR(INDEX(XU_LY_LENH!$B$2:$B$61,INT((ROW()-1)/2)+1),"")),86400)))</f>
        <v/>
      </c>
      <c r="E99" t="str">
        <f ca="1">IF(MOD(ROW(),2)=1,IF(B99="","",INDEX(XU_LY_LENH!$F$2:$F$61,INT((ROW()-1)/2))),IF(B99="","",INDEX(XU_LY_LENH!$D$2:$D$61,INT((ROW()-1)/2))))</f>
        <v/>
      </c>
      <c r="F99" t="str">
        <f ca="1">IF(MOD(ROW(),2)=1,IF(B99="","",IF(INDEX(XU_LY_LENH!$G$2:$G$61,INT((ROW()-1)/2))="HOLD",E99,IF(D99&gt;=INDEX(XU_LY_LENH!$I$2:$I$61,INT((ROW()-1)/2)),INDEX(XU_LY_LENH!$D$2:$D$61,INT((ROW()-1)/2)),INDEX(XU_LY_LENH!$F$2:$F$61,INT((ROW()-1)/2))+(INDEX(XU_LY_LENH!$D$2:$D$61,INT((ROW()-1)/2))-INDEX(XU_LY_LENH!$F$2:$F$61,INT((ROW()-1)/2)))*(D99-INDEX(XU_LY_LENH!$B$2:$B$61,INT((ROW()-1)/2)))/MAX(INDEX(XU_LY_LENH!$I$2:$I$61,INT((ROW()-1)/2))-INDEX(XU_LY_LENH!$B$2:$B$61,INT((ROW()-1)/2)),0.000001)))),IF(B99="","",INDEX(XU_LY_LENH!$D$2:$D$61,INT((ROW()-1)/2))))</f>
        <v/>
      </c>
      <c r="G99" t="str">
        <f t="shared" ref="G99:G122" ca="1" si="10">IF(B99="","",D99-C99)</f>
        <v/>
      </c>
      <c r="H99" t="str">
        <f t="shared" ref="H99:H122" ca="1" si="11">IF(B99="","",IF(MOD(ROW(),2)=1,"Ramp lệnh "&amp;INT((ROW()-1)/2),"Giữ sau lệnh "&amp;INT((ROW()-1)/2)))</f>
        <v/>
      </c>
    </row>
    <row r="100" spans="1:8">
      <c r="A100">
        <f t="shared" si="9"/>
        <v>99</v>
      </c>
      <c r="B100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00" t="str">
        <f ca="1">IF(MOD(ROW(),2)=1,IF(B100="","",INDEX(XU_LY_LENH!$B$2:$B$61,INT((ROW()-1)/2))),IF(B100="","",INDEX(XU_LY_LENH!$I$2:$I$61,INT((ROW()-1)/2))))</f>
        <v/>
      </c>
      <c r="D100" t="str">
        <f ca="1">IF(MOD(ROW(),2)=1,IF(B100="","",IF(INDEX(XU_LY_LENH!$G$2:$G$61,INT((ROW()-1)/2))="HOLD",C100,MIN(INDEX(XU_LY_LENH!$I$2:$I$61,INT((ROW()-1)/2)),IF(IFERROR(INDEX(XU_LY_LENH!$C$2:$C$61,INT((ROW()-1)/2)+1),"")="",86400,IFERROR(INDEX(XU_LY_LENH!$B$2:$B$61,INT((ROW()-1)/2)+1),"")),86400))),IF(B100="","",MIN(IF(IFERROR(INDEX(XU_LY_LENH!$C$2:$C$61,INT((ROW()-1)/2)+1),"")="",86400,IFERROR(INDEX(XU_LY_LENH!$B$2:$B$61,INT((ROW()-1)/2)+1),"")),86400)))</f>
        <v/>
      </c>
      <c r="E100" t="str">
        <f ca="1">IF(MOD(ROW(),2)=1,IF(B100="","",INDEX(XU_LY_LENH!$F$2:$F$61,INT((ROW()-1)/2))),IF(B100="","",INDEX(XU_LY_LENH!$D$2:$D$61,INT((ROW()-1)/2))))</f>
        <v/>
      </c>
      <c r="F100" t="str">
        <f ca="1">IF(MOD(ROW(),2)=1,IF(B100="","",IF(INDEX(XU_LY_LENH!$G$2:$G$61,INT((ROW()-1)/2))="HOLD",E100,IF(D100&gt;=INDEX(XU_LY_LENH!$I$2:$I$61,INT((ROW()-1)/2)),INDEX(XU_LY_LENH!$D$2:$D$61,INT((ROW()-1)/2)),INDEX(XU_LY_LENH!$F$2:$F$61,INT((ROW()-1)/2))+(INDEX(XU_LY_LENH!$D$2:$D$61,INT((ROW()-1)/2))-INDEX(XU_LY_LENH!$F$2:$F$61,INT((ROW()-1)/2)))*(D100-INDEX(XU_LY_LENH!$B$2:$B$61,INT((ROW()-1)/2)))/MAX(INDEX(XU_LY_LENH!$I$2:$I$61,INT((ROW()-1)/2))-INDEX(XU_LY_LENH!$B$2:$B$61,INT((ROW()-1)/2)),0.000001)))),IF(B100="","",INDEX(XU_LY_LENH!$D$2:$D$61,INT((ROW()-1)/2))))</f>
        <v/>
      </c>
      <c r="G100" t="str">
        <f t="shared" ca="1" si="10"/>
        <v/>
      </c>
      <c r="H100" t="str">
        <f t="shared" ca="1" si="11"/>
        <v/>
      </c>
    </row>
    <row r="101" spans="1:8">
      <c r="A101">
        <f t="shared" si="9"/>
        <v>100</v>
      </c>
      <c r="B101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01" t="str">
        <f ca="1">IF(MOD(ROW(),2)=1,IF(B101="","",INDEX(XU_LY_LENH!$B$2:$B$61,INT((ROW()-1)/2))),IF(B101="","",INDEX(XU_LY_LENH!$I$2:$I$61,INT((ROW()-1)/2))))</f>
        <v/>
      </c>
      <c r="D101" t="str">
        <f ca="1">IF(MOD(ROW(),2)=1,IF(B101="","",IF(INDEX(XU_LY_LENH!$G$2:$G$61,INT((ROW()-1)/2))="HOLD",C101,MIN(INDEX(XU_LY_LENH!$I$2:$I$61,INT((ROW()-1)/2)),IF(IFERROR(INDEX(XU_LY_LENH!$C$2:$C$61,INT((ROW()-1)/2)+1),"")="",86400,IFERROR(INDEX(XU_LY_LENH!$B$2:$B$61,INT((ROW()-1)/2)+1),"")),86400))),IF(B101="","",MIN(IF(IFERROR(INDEX(XU_LY_LENH!$C$2:$C$61,INT((ROW()-1)/2)+1),"")="",86400,IFERROR(INDEX(XU_LY_LENH!$B$2:$B$61,INT((ROW()-1)/2)+1),"")),86400)))</f>
        <v/>
      </c>
      <c r="E101" t="str">
        <f ca="1">IF(MOD(ROW(),2)=1,IF(B101="","",INDEX(XU_LY_LENH!$F$2:$F$61,INT((ROW()-1)/2))),IF(B101="","",INDEX(XU_LY_LENH!$D$2:$D$61,INT((ROW()-1)/2))))</f>
        <v/>
      </c>
      <c r="F101" t="str">
        <f ca="1">IF(MOD(ROW(),2)=1,IF(B101="","",IF(INDEX(XU_LY_LENH!$G$2:$G$61,INT((ROW()-1)/2))="HOLD",E101,IF(D101&gt;=INDEX(XU_LY_LENH!$I$2:$I$61,INT((ROW()-1)/2)),INDEX(XU_LY_LENH!$D$2:$D$61,INT((ROW()-1)/2)),INDEX(XU_LY_LENH!$F$2:$F$61,INT((ROW()-1)/2))+(INDEX(XU_LY_LENH!$D$2:$D$61,INT((ROW()-1)/2))-INDEX(XU_LY_LENH!$F$2:$F$61,INT((ROW()-1)/2)))*(D101-INDEX(XU_LY_LENH!$B$2:$B$61,INT((ROW()-1)/2)))/MAX(INDEX(XU_LY_LENH!$I$2:$I$61,INT((ROW()-1)/2))-INDEX(XU_LY_LENH!$B$2:$B$61,INT((ROW()-1)/2)),0.000001)))),IF(B101="","",INDEX(XU_LY_LENH!$D$2:$D$61,INT((ROW()-1)/2))))</f>
        <v/>
      </c>
      <c r="G101" t="str">
        <f t="shared" ca="1" si="10"/>
        <v/>
      </c>
      <c r="H101" t="str">
        <f t="shared" ca="1" si="11"/>
        <v/>
      </c>
    </row>
    <row r="102" spans="1:8">
      <c r="A102">
        <f t="shared" si="9"/>
        <v>101</v>
      </c>
      <c r="B102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02" t="str">
        <f ca="1">IF(MOD(ROW(),2)=1,IF(B102="","",INDEX(XU_LY_LENH!$B$2:$B$61,INT((ROW()-1)/2))),IF(B102="","",INDEX(XU_LY_LENH!$I$2:$I$61,INT((ROW()-1)/2))))</f>
        <v/>
      </c>
      <c r="D102" t="str">
        <f ca="1">IF(MOD(ROW(),2)=1,IF(B102="","",IF(INDEX(XU_LY_LENH!$G$2:$G$61,INT((ROW()-1)/2))="HOLD",C102,MIN(INDEX(XU_LY_LENH!$I$2:$I$61,INT((ROW()-1)/2)),IF(IFERROR(INDEX(XU_LY_LENH!$C$2:$C$61,INT((ROW()-1)/2)+1),"")="",86400,IFERROR(INDEX(XU_LY_LENH!$B$2:$B$61,INT((ROW()-1)/2)+1),"")),86400))),IF(B102="","",MIN(IF(IFERROR(INDEX(XU_LY_LENH!$C$2:$C$61,INT((ROW()-1)/2)+1),"")="",86400,IFERROR(INDEX(XU_LY_LENH!$B$2:$B$61,INT((ROW()-1)/2)+1),"")),86400)))</f>
        <v/>
      </c>
      <c r="E102" t="str">
        <f ca="1">IF(MOD(ROW(),2)=1,IF(B102="","",INDEX(XU_LY_LENH!$F$2:$F$61,INT((ROW()-1)/2))),IF(B102="","",INDEX(XU_LY_LENH!$D$2:$D$61,INT((ROW()-1)/2))))</f>
        <v/>
      </c>
      <c r="F102" t="str">
        <f ca="1">IF(MOD(ROW(),2)=1,IF(B102="","",IF(INDEX(XU_LY_LENH!$G$2:$G$61,INT((ROW()-1)/2))="HOLD",E102,IF(D102&gt;=INDEX(XU_LY_LENH!$I$2:$I$61,INT((ROW()-1)/2)),INDEX(XU_LY_LENH!$D$2:$D$61,INT((ROW()-1)/2)),INDEX(XU_LY_LENH!$F$2:$F$61,INT((ROW()-1)/2))+(INDEX(XU_LY_LENH!$D$2:$D$61,INT((ROW()-1)/2))-INDEX(XU_LY_LENH!$F$2:$F$61,INT((ROW()-1)/2)))*(D102-INDEX(XU_LY_LENH!$B$2:$B$61,INT((ROW()-1)/2)))/MAX(INDEX(XU_LY_LENH!$I$2:$I$61,INT((ROW()-1)/2))-INDEX(XU_LY_LENH!$B$2:$B$61,INT((ROW()-1)/2)),0.000001)))),IF(B102="","",INDEX(XU_LY_LENH!$D$2:$D$61,INT((ROW()-1)/2))))</f>
        <v/>
      </c>
      <c r="G102" t="str">
        <f t="shared" ca="1" si="10"/>
        <v/>
      </c>
      <c r="H102" t="str">
        <f t="shared" ca="1" si="11"/>
        <v/>
      </c>
    </row>
    <row r="103" spans="1:8">
      <c r="A103">
        <f t="shared" si="9"/>
        <v>102</v>
      </c>
      <c r="B10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03" t="str">
        <f ca="1">IF(MOD(ROW(),2)=1,IF(B103="","",INDEX(XU_LY_LENH!$B$2:$B$61,INT((ROW()-1)/2))),IF(B103="","",INDEX(XU_LY_LENH!$I$2:$I$61,INT((ROW()-1)/2))))</f>
        <v/>
      </c>
      <c r="D103" t="str">
        <f ca="1">IF(MOD(ROW(),2)=1,IF(B103="","",IF(INDEX(XU_LY_LENH!$G$2:$G$61,INT((ROW()-1)/2))="HOLD",C103,MIN(INDEX(XU_LY_LENH!$I$2:$I$61,INT((ROW()-1)/2)),IF(IFERROR(INDEX(XU_LY_LENH!$C$2:$C$61,INT((ROW()-1)/2)+1),"")="",86400,IFERROR(INDEX(XU_LY_LENH!$B$2:$B$61,INT((ROW()-1)/2)+1),"")),86400))),IF(B103="","",MIN(IF(IFERROR(INDEX(XU_LY_LENH!$C$2:$C$61,INT((ROW()-1)/2)+1),"")="",86400,IFERROR(INDEX(XU_LY_LENH!$B$2:$B$61,INT((ROW()-1)/2)+1),"")),86400)))</f>
        <v/>
      </c>
      <c r="E103" t="str">
        <f ca="1">IF(MOD(ROW(),2)=1,IF(B103="","",INDEX(XU_LY_LENH!$F$2:$F$61,INT((ROW()-1)/2))),IF(B103="","",INDEX(XU_LY_LENH!$D$2:$D$61,INT((ROW()-1)/2))))</f>
        <v/>
      </c>
      <c r="F103" t="str">
        <f ca="1">IF(MOD(ROW(),2)=1,IF(B103="","",IF(INDEX(XU_LY_LENH!$G$2:$G$61,INT((ROW()-1)/2))="HOLD",E103,IF(D103&gt;=INDEX(XU_LY_LENH!$I$2:$I$61,INT((ROW()-1)/2)),INDEX(XU_LY_LENH!$D$2:$D$61,INT((ROW()-1)/2)),INDEX(XU_LY_LENH!$F$2:$F$61,INT((ROW()-1)/2))+(INDEX(XU_LY_LENH!$D$2:$D$61,INT((ROW()-1)/2))-INDEX(XU_LY_LENH!$F$2:$F$61,INT((ROW()-1)/2)))*(D103-INDEX(XU_LY_LENH!$B$2:$B$61,INT((ROW()-1)/2)))/MAX(INDEX(XU_LY_LENH!$I$2:$I$61,INT((ROW()-1)/2))-INDEX(XU_LY_LENH!$B$2:$B$61,INT((ROW()-1)/2)),0.000001)))),IF(B103="","",INDEX(XU_LY_LENH!$D$2:$D$61,INT((ROW()-1)/2))))</f>
        <v/>
      </c>
      <c r="G103" t="str">
        <f t="shared" ca="1" si="10"/>
        <v/>
      </c>
      <c r="H103" t="str">
        <f t="shared" ca="1" si="11"/>
        <v/>
      </c>
    </row>
    <row r="104" spans="1:8">
      <c r="A104">
        <f t="shared" si="9"/>
        <v>103</v>
      </c>
      <c r="B104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04" t="str">
        <f ca="1">IF(MOD(ROW(),2)=1,IF(B104="","",INDEX(XU_LY_LENH!$B$2:$B$61,INT((ROW()-1)/2))),IF(B104="","",INDEX(XU_LY_LENH!$I$2:$I$61,INT((ROW()-1)/2))))</f>
        <v/>
      </c>
      <c r="D104" t="str">
        <f ca="1">IF(MOD(ROW(),2)=1,IF(B104="","",IF(INDEX(XU_LY_LENH!$G$2:$G$61,INT((ROW()-1)/2))="HOLD",C104,MIN(INDEX(XU_LY_LENH!$I$2:$I$61,INT((ROW()-1)/2)),IF(IFERROR(INDEX(XU_LY_LENH!$C$2:$C$61,INT((ROW()-1)/2)+1),"")="",86400,IFERROR(INDEX(XU_LY_LENH!$B$2:$B$61,INT((ROW()-1)/2)+1),"")),86400))),IF(B104="","",MIN(IF(IFERROR(INDEX(XU_LY_LENH!$C$2:$C$61,INT((ROW()-1)/2)+1),"")="",86400,IFERROR(INDEX(XU_LY_LENH!$B$2:$B$61,INT((ROW()-1)/2)+1),"")),86400)))</f>
        <v/>
      </c>
      <c r="E104" t="str">
        <f ca="1">IF(MOD(ROW(),2)=1,IF(B104="","",INDEX(XU_LY_LENH!$F$2:$F$61,INT((ROW()-1)/2))),IF(B104="","",INDEX(XU_LY_LENH!$D$2:$D$61,INT((ROW()-1)/2))))</f>
        <v/>
      </c>
      <c r="F104" t="str">
        <f ca="1">IF(MOD(ROW(),2)=1,IF(B104="","",IF(INDEX(XU_LY_LENH!$G$2:$G$61,INT((ROW()-1)/2))="HOLD",E104,IF(D104&gt;=INDEX(XU_LY_LENH!$I$2:$I$61,INT((ROW()-1)/2)),INDEX(XU_LY_LENH!$D$2:$D$61,INT((ROW()-1)/2)),INDEX(XU_LY_LENH!$F$2:$F$61,INT((ROW()-1)/2))+(INDEX(XU_LY_LENH!$D$2:$D$61,INT((ROW()-1)/2))-INDEX(XU_LY_LENH!$F$2:$F$61,INT((ROW()-1)/2)))*(D104-INDEX(XU_LY_LENH!$B$2:$B$61,INT((ROW()-1)/2)))/MAX(INDEX(XU_LY_LENH!$I$2:$I$61,INT((ROW()-1)/2))-INDEX(XU_LY_LENH!$B$2:$B$61,INT((ROW()-1)/2)),0.000001)))),IF(B104="","",INDEX(XU_LY_LENH!$D$2:$D$61,INT((ROW()-1)/2))))</f>
        <v/>
      </c>
      <c r="G104" t="str">
        <f t="shared" ca="1" si="10"/>
        <v/>
      </c>
      <c r="H104" t="str">
        <f t="shared" ca="1" si="11"/>
        <v/>
      </c>
    </row>
    <row r="105" spans="1:8">
      <c r="A105">
        <f t="shared" si="9"/>
        <v>104</v>
      </c>
      <c r="B105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05" t="str">
        <f ca="1">IF(MOD(ROW(),2)=1,IF(B105="","",INDEX(XU_LY_LENH!$B$2:$B$61,INT((ROW()-1)/2))),IF(B105="","",INDEX(XU_LY_LENH!$I$2:$I$61,INT((ROW()-1)/2))))</f>
        <v/>
      </c>
      <c r="D105" t="str">
        <f ca="1">IF(MOD(ROW(),2)=1,IF(B105="","",IF(INDEX(XU_LY_LENH!$G$2:$G$61,INT((ROW()-1)/2))="HOLD",C105,MIN(INDEX(XU_LY_LENH!$I$2:$I$61,INT((ROW()-1)/2)),IF(IFERROR(INDEX(XU_LY_LENH!$C$2:$C$61,INT((ROW()-1)/2)+1),"")="",86400,IFERROR(INDEX(XU_LY_LENH!$B$2:$B$61,INT((ROW()-1)/2)+1),"")),86400))),IF(B105="","",MIN(IF(IFERROR(INDEX(XU_LY_LENH!$C$2:$C$61,INT((ROW()-1)/2)+1),"")="",86400,IFERROR(INDEX(XU_LY_LENH!$B$2:$B$61,INT((ROW()-1)/2)+1),"")),86400)))</f>
        <v/>
      </c>
      <c r="E105" t="str">
        <f ca="1">IF(MOD(ROW(),2)=1,IF(B105="","",INDEX(XU_LY_LENH!$F$2:$F$61,INT((ROW()-1)/2))),IF(B105="","",INDEX(XU_LY_LENH!$D$2:$D$61,INT((ROW()-1)/2))))</f>
        <v/>
      </c>
      <c r="F105" t="str">
        <f ca="1">IF(MOD(ROW(),2)=1,IF(B105="","",IF(INDEX(XU_LY_LENH!$G$2:$G$61,INT((ROW()-1)/2))="HOLD",E105,IF(D105&gt;=INDEX(XU_LY_LENH!$I$2:$I$61,INT((ROW()-1)/2)),INDEX(XU_LY_LENH!$D$2:$D$61,INT((ROW()-1)/2)),INDEX(XU_LY_LENH!$F$2:$F$61,INT((ROW()-1)/2))+(INDEX(XU_LY_LENH!$D$2:$D$61,INT((ROW()-1)/2))-INDEX(XU_LY_LENH!$F$2:$F$61,INT((ROW()-1)/2)))*(D105-INDEX(XU_LY_LENH!$B$2:$B$61,INT((ROW()-1)/2)))/MAX(INDEX(XU_LY_LENH!$I$2:$I$61,INT((ROW()-1)/2))-INDEX(XU_LY_LENH!$B$2:$B$61,INT((ROW()-1)/2)),0.000001)))),IF(B105="","",INDEX(XU_LY_LENH!$D$2:$D$61,INT((ROW()-1)/2))))</f>
        <v/>
      </c>
      <c r="G105" t="str">
        <f t="shared" ca="1" si="10"/>
        <v/>
      </c>
      <c r="H105" t="str">
        <f t="shared" ca="1" si="11"/>
        <v/>
      </c>
    </row>
    <row r="106" spans="1:8">
      <c r="A106">
        <f t="shared" si="9"/>
        <v>105</v>
      </c>
      <c r="B106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06" t="str">
        <f ca="1">IF(MOD(ROW(),2)=1,IF(B106="","",INDEX(XU_LY_LENH!$B$2:$B$61,INT((ROW()-1)/2))),IF(B106="","",INDEX(XU_LY_LENH!$I$2:$I$61,INT((ROW()-1)/2))))</f>
        <v/>
      </c>
      <c r="D106" t="str">
        <f ca="1">IF(MOD(ROW(),2)=1,IF(B106="","",IF(INDEX(XU_LY_LENH!$G$2:$G$61,INT((ROW()-1)/2))="HOLD",C106,MIN(INDEX(XU_LY_LENH!$I$2:$I$61,INT((ROW()-1)/2)),IF(IFERROR(INDEX(XU_LY_LENH!$C$2:$C$61,INT((ROW()-1)/2)+1),"")="",86400,IFERROR(INDEX(XU_LY_LENH!$B$2:$B$61,INT((ROW()-1)/2)+1),"")),86400))),IF(B106="","",MIN(IF(IFERROR(INDEX(XU_LY_LENH!$C$2:$C$61,INT((ROW()-1)/2)+1),"")="",86400,IFERROR(INDEX(XU_LY_LENH!$B$2:$B$61,INT((ROW()-1)/2)+1),"")),86400)))</f>
        <v/>
      </c>
      <c r="E106" t="str">
        <f ca="1">IF(MOD(ROW(),2)=1,IF(B106="","",INDEX(XU_LY_LENH!$F$2:$F$61,INT((ROW()-1)/2))),IF(B106="","",INDEX(XU_LY_LENH!$D$2:$D$61,INT((ROW()-1)/2))))</f>
        <v/>
      </c>
      <c r="F106" t="str">
        <f ca="1">IF(MOD(ROW(),2)=1,IF(B106="","",IF(INDEX(XU_LY_LENH!$G$2:$G$61,INT((ROW()-1)/2))="HOLD",E106,IF(D106&gt;=INDEX(XU_LY_LENH!$I$2:$I$61,INT((ROW()-1)/2)),INDEX(XU_LY_LENH!$D$2:$D$61,INT((ROW()-1)/2)),INDEX(XU_LY_LENH!$F$2:$F$61,INT((ROW()-1)/2))+(INDEX(XU_LY_LENH!$D$2:$D$61,INT((ROW()-1)/2))-INDEX(XU_LY_LENH!$F$2:$F$61,INT((ROW()-1)/2)))*(D106-INDEX(XU_LY_LENH!$B$2:$B$61,INT((ROW()-1)/2)))/MAX(INDEX(XU_LY_LENH!$I$2:$I$61,INT((ROW()-1)/2))-INDEX(XU_LY_LENH!$B$2:$B$61,INT((ROW()-1)/2)),0.000001)))),IF(B106="","",INDEX(XU_LY_LENH!$D$2:$D$61,INT((ROW()-1)/2))))</f>
        <v/>
      </c>
      <c r="G106" t="str">
        <f t="shared" ca="1" si="10"/>
        <v/>
      </c>
      <c r="H106" t="str">
        <f t="shared" ca="1" si="11"/>
        <v/>
      </c>
    </row>
    <row r="107" spans="1:8">
      <c r="A107">
        <f t="shared" si="9"/>
        <v>106</v>
      </c>
      <c r="B107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07" t="str">
        <f ca="1">IF(MOD(ROW(),2)=1,IF(B107="","",INDEX(XU_LY_LENH!$B$2:$B$61,INT((ROW()-1)/2))),IF(B107="","",INDEX(XU_LY_LENH!$I$2:$I$61,INT((ROW()-1)/2))))</f>
        <v/>
      </c>
      <c r="D107" t="str">
        <f ca="1">IF(MOD(ROW(),2)=1,IF(B107="","",IF(INDEX(XU_LY_LENH!$G$2:$G$61,INT((ROW()-1)/2))="HOLD",C107,MIN(INDEX(XU_LY_LENH!$I$2:$I$61,INT((ROW()-1)/2)),IF(IFERROR(INDEX(XU_LY_LENH!$C$2:$C$61,INT((ROW()-1)/2)+1),"")="",86400,IFERROR(INDEX(XU_LY_LENH!$B$2:$B$61,INT((ROW()-1)/2)+1),"")),86400))),IF(B107="","",MIN(IF(IFERROR(INDEX(XU_LY_LENH!$C$2:$C$61,INT((ROW()-1)/2)+1),"")="",86400,IFERROR(INDEX(XU_LY_LENH!$B$2:$B$61,INT((ROW()-1)/2)+1),"")),86400)))</f>
        <v/>
      </c>
      <c r="E107" t="str">
        <f ca="1">IF(MOD(ROW(),2)=1,IF(B107="","",INDEX(XU_LY_LENH!$F$2:$F$61,INT((ROW()-1)/2))),IF(B107="","",INDEX(XU_LY_LENH!$D$2:$D$61,INT((ROW()-1)/2))))</f>
        <v/>
      </c>
      <c r="F107" t="str">
        <f ca="1">IF(MOD(ROW(),2)=1,IF(B107="","",IF(INDEX(XU_LY_LENH!$G$2:$G$61,INT((ROW()-1)/2))="HOLD",E107,IF(D107&gt;=INDEX(XU_LY_LENH!$I$2:$I$61,INT((ROW()-1)/2)),INDEX(XU_LY_LENH!$D$2:$D$61,INT((ROW()-1)/2)),INDEX(XU_LY_LENH!$F$2:$F$61,INT((ROW()-1)/2))+(INDEX(XU_LY_LENH!$D$2:$D$61,INT((ROW()-1)/2))-INDEX(XU_LY_LENH!$F$2:$F$61,INT((ROW()-1)/2)))*(D107-INDEX(XU_LY_LENH!$B$2:$B$61,INT((ROW()-1)/2)))/MAX(INDEX(XU_LY_LENH!$I$2:$I$61,INT((ROW()-1)/2))-INDEX(XU_LY_LENH!$B$2:$B$61,INT((ROW()-1)/2)),0.000001)))),IF(B107="","",INDEX(XU_LY_LENH!$D$2:$D$61,INT((ROW()-1)/2))))</f>
        <v/>
      </c>
      <c r="G107" t="str">
        <f t="shared" ca="1" si="10"/>
        <v/>
      </c>
      <c r="H107" t="str">
        <f t="shared" ca="1" si="11"/>
        <v/>
      </c>
    </row>
    <row r="108" spans="1:8">
      <c r="A108">
        <f t="shared" si="9"/>
        <v>107</v>
      </c>
      <c r="B108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08" t="str">
        <f ca="1">IF(MOD(ROW(),2)=1,IF(B108="","",INDEX(XU_LY_LENH!$B$2:$B$61,INT((ROW()-1)/2))),IF(B108="","",INDEX(XU_LY_LENH!$I$2:$I$61,INT((ROW()-1)/2))))</f>
        <v/>
      </c>
      <c r="D108" t="str">
        <f ca="1">IF(MOD(ROW(),2)=1,IF(B108="","",IF(INDEX(XU_LY_LENH!$G$2:$G$61,INT((ROW()-1)/2))="HOLD",C108,MIN(INDEX(XU_LY_LENH!$I$2:$I$61,INT((ROW()-1)/2)),IF(IFERROR(INDEX(XU_LY_LENH!$C$2:$C$61,INT((ROW()-1)/2)+1),"")="",86400,IFERROR(INDEX(XU_LY_LENH!$B$2:$B$61,INT((ROW()-1)/2)+1),"")),86400))),IF(B108="","",MIN(IF(IFERROR(INDEX(XU_LY_LENH!$C$2:$C$61,INT((ROW()-1)/2)+1),"")="",86400,IFERROR(INDEX(XU_LY_LENH!$B$2:$B$61,INT((ROW()-1)/2)+1),"")),86400)))</f>
        <v/>
      </c>
      <c r="E108" t="str">
        <f ca="1">IF(MOD(ROW(),2)=1,IF(B108="","",INDEX(XU_LY_LENH!$F$2:$F$61,INT((ROW()-1)/2))),IF(B108="","",INDEX(XU_LY_LENH!$D$2:$D$61,INT((ROW()-1)/2))))</f>
        <v/>
      </c>
      <c r="F108" t="str">
        <f ca="1">IF(MOD(ROW(),2)=1,IF(B108="","",IF(INDEX(XU_LY_LENH!$G$2:$G$61,INT((ROW()-1)/2))="HOLD",E108,IF(D108&gt;=INDEX(XU_LY_LENH!$I$2:$I$61,INT((ROW()-1)/2)),INDEX(XU_LY_LENH!$D$2:$D$61,INT((ROW()-1)/2)),INDEX(XU_LY_LENH!$F$2:$F$61,INT((ROW()-1)/2))+(INDEX(XU_LY_LENH!$D$2:$D$61,INT((ROW()-1)/2))-INDEX(XU_LY_LENH!$F$2:$F$61,INT((ROW()-1)/2)))*(D108-INDEX(XU_LY_LENH!$B$2:$B$61,INT((ROW()-1)/2)))/MAX(INDEX(XU_LY_LENH!$I$2:$I$61,INT((ROW()-1)/2))-INDEX(XU_LY_LENH!$B$2:$B$61,INT((ROW()-1)/2)),0.000001)))),IF(B108="","",INDEX(XU_LY_LENH!$D$2:$D$61,INT((ROW()-1)/2))))</f>
        <v/>
      </c>
      <c r="G108" t="str">
        <f t="shared" ca="1" si="10"/>
        <v/>
      </c>
      <c r="H108" t="str">
        <f t="shared" ca="1" si="11"/>
        <v/>
      </c>
    </row>
    <row r="109" spans="1:8">
      <c r="A109">
        <f t="shared" si="9"/>
        <v>108</v>
      </c>
      <c r="B109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09" t="str">
        <f ca="1">IF(MOD(ROW(),2)=1,IF(B109="","",INDEX(XU_LY_LENH!$B$2:$B$61,INT((ROW()-1)/2))),IF(B109="","",INDEX(XU_LY_LENH!$I$2:$I$61,INT((ROW()-1)/2))))</f>
        <v/>
      </c>
      <c r="D109" t="str">
        <f ca="1">IF(MOD(ROW(),2)=1,IF(B109="","",IF(INDEX(XU_LY_LENH!$G$2:$G$61,INT((ROW()-1)/2))="HOLD",C109,MIN(INDEX(XU_LY_LENH!$I$2:$I$61,INT((ROW()-1)/2)),IF(IFERROR(INDEX(XU_LY_LENH!$C$2:$C$61,INT((ROW()-1)/2)+1),"")="",86400,IFERROR(INDEX(XU_LY_LENH!$B$2:$B$61,INT((ROW()-1)/2)+1),"")),86400))),IF(B109="","",MIN(IF(IFERROR(INDEX(XU_LY_LENH!$C$2:$C$61,INT((ROW()-1)/2)+1),"")="",86400,IFERROR(INDEX(XU_LY_LENH!$B$2:$B$61,INT((ROW()-1)/2)+1),"")),86400)))</f>
        <v/>
      </c>
      <c r="E109" t="str">
        <f ca="1">IF(MOD(ROW(),2)=1,IF(B109="","",INDEX(XU_LY_LENH!$F$2:$F$61,INT((ROW()-1)/2))),IF(B109="","",INDEX(XU_LY_LENH!$D$2:$D$61,INT((ROW()-1)/2))))</f>
        <v/>
      </c>
      <c r="F109" t="str">
        <f ca="1">IF(MOD(ROW(),2)=1,IF(B109="","",IF(INDEX(XU_LY_LENH!$G$2:$G$61,INT((ROW()-1)/2))="HOLD",E109,IF(D109&gt;=INDEX(XU_LY_LENH!$I$2:$I$61,INT((ROW()-1)/2)),INDEX(XU_LY_LENH!$D$2:$D$61,INT((ROW()-1)/2)),INDEX(XU_LY_LENH!$F$2:$F$61,INT((ROW()-1)/2))+(INDEX(XU_LY_LENH!$D$2:$D$61,INT((ROW()-1)/2))-INDEX(XU_LY_LENH!$F$2:$F$61,INT((ROW()-1)/2)))*(D109-INDEX(XU_LY_LENH!$B$2:$B$61,INT((ROW()-1)/2)))/MAX(INDEX(XU_LY_LENH!$I$2:$I$61,INT((ROW()-1)/2))-INDEX(XU_LY_LENH!$B$2:$B$61,INT((ROW()-1)/2)),0.000001)))),IF(B109="","",INDEX(XU_LY_LENH!$D$2:$D$61,INT((ROW()-1)/2))))</f>
        <v/>
      </c>
      <c r="G109" t="str">
        <f t="shared" ca="1" si="10"/>
        <v/>
      </c>
      <c r="H109" t="str">
        <f t="shared" ca="1" si="11"/>
        <v/>
      </c>
    </row>
    <row r="110" spans="1:8">
      <c r="A110">
        <f t="shared" si="9"/>
        <v>109</v>
      </c>
      <c r="B110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10" t="str">
        <f ca="1">IF(MOD(ROW(),2)=1,IF(B110="","",INDEX(XU_LY_LENH!$B$2:$B$61,INT((ROW()-1)/2))),IF(B110="","",INDEX(XU_LY_LENH!$I$2:$I$61,INT((ROW()-1)/2))))</f>
        <v/>
      </c>
      <c r="D110" t="str">
        <f ca="1">IF(MOD(ROW(),2)=1,IF(B110="","",IF(INDEX(XU_LY_LENH!$G$2:$G$61,INT((ROW()-1)/2))="HOLD",C110,MIN(INDEX(XU_LY_LENH!$I$2:$I$61,INT((ROW()-1)/2)),IF(IFERROR(INDEX(XU_LY_LENH!$C$2:$C$61,INT((ROW()-1)/2)+1),"")="",86400,IFERROR(INDEX(XU_LY_LENH!$B$2:$B$61,INT((ROW()-1)/2)+1),"")),86400))),IF(B110="","",MIN(IF(IFERROR(INDEX(XU_LY_LENH!$C$2:$C$61,INT((ROW()-1)/2)+1),"")="",86400,IFERROR(INDEX(XU_LY_LENH!$B$2:$B$61,INT((ROW()-1)/2)+1),"")),86400)))</f>
        <v/>
      </c>
      <c r="E110" t="str">
        <f ca="1">IF(MOD(ROW(),2)=1,IF(B110="","",INDEX(XU_LY_LENH!$F$2:$F$61,INT((ROW()-1)/2))),IF(B110="","",INDEX(XU_LY_LENH!$D$2:$D$61,INT((ROW()-1)/2))))</f>
        <v/>
      </c>
      <c r="F110" t="str">
        <f ca="1">IF(MOD(ROW(),2)=1,IF(B110="","",IF(INDEX(XU_LY_LENH!$G$2:$G$61,INT((ROW()-1)/2))="HOLD",E110,IF(D110&gt;=INDEX(XU_LY_LENH!$I$2:$I$61,INT((ROW()-1)/2)),INDEX(XU_LY_LENH!$D$2:$D$61,INT((ROW()-1)/2)),INDEX(XU_LY_LENH!$F$2:$F$61,INT((ROW()-1)/2))+(INDEX(XU_LY_LENH!$D$2:$D$61,INT((ROW()-1)/2))-INDEX(XU_LY_LENH!$F$2:$F$61,INT((ROW()-1)/2)))*(D110-INDEX(XU_LY_LENH!$B$2:$B$61,INT((ROW()-1)/2)))/MAX(INDEX(XU_LY_LENH!$I$2:$I$61,INT((ROW()-1)/2))-INDEX(XU_LY_LENH!$B$2:$B$61,INT((ROW()-1)/2)),0.000001)))),IF(B110="","",INDEX(XU_LY_LENH!$D$2:$D$61,INT((ROW()-1)/2))))</f>
        <v/>
      </c>
      <c r="G110" t="str">
        <f t="shared" ca="1" si="10"/>
        <v/>
      </c>
      <c r="H110" t="str">
        <f t="shared" ca="1" si="11"/>
        <v/>
      </c>
    </row>
    <row r="111" spans="1:8">
      <c r="A111">
        <f t="shared" si="9"/>
        <v>110</v>
      </c>
      <c r="B111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11" t="str">
        <f ca="1">IF(MOD(ROW(),2)=1,IF(B111="","",INDEX(XU_LY_LENH!$B$2:$B$61,INT((ROW()-1)/2))),IF(B111="","",INDEX(XU_LY_LENH!$I$2:$I$61,INT((ROW()-1)/2))))</f>
        <v/>
      </c>
      <c r="D111" t="str">
        <f ca="1">IF(MOD(ROW(),2)=1,IF(B111="","",IF(INDEX(XU_LY_LENH!$G$2:$G$61,INT((ROW()-1)/2))="HOLD",C111,MIN(INDEX(XU_LY_LENH!$I$2:$I$61,INT((ROW()-1)/2)),IF(IFERROR(INDEX(XU_LY_LENH!$C$2:$C$61,INT((ROW()-1)/2)+1),"")="",86400,IFERROR(INDEX(XU_LY_LENH!$B$2:$B$61,INT((ROW()-1)/2)+1),"")),86400))),IF(B111="","",MIN(IF(IFERROR(INDEX(XU_LY_LENH!$C$2:$C$61,INT((ROW()-1)/2)+1),"")="",86400,IFERROR(INDEX(XU_LY_LENH!$B$2:$B$61,INT((ROW()-1)/2)+1),"")),86400)))</f>
        <v/>
      </c>
      <c r="E111" t="str">
        <f ca="1">IF(MOD(ROW(),2)=1,IF(B111="","",INDEX(XU_LY_LENH!$F$2:$F$61,INT((ROW()-1)/2))),IF(B111="","",INDEX(XU_LY_LENH!$D$2:$D$61,INT((ROW()-1)/2))))</f>
        <v/>
      </c>
      <c r="F111" t="str">
        <f ca="1">IF(MOD(ROW(),2)=1,IF(B111="","",IF(INDEX(XU_LY_LENH!$G$2:$G$61,INT((ROW()-1)/2))="HOLD",E111,IF(D111&gt;=INDEX(XU_LY_LENH!$I$2:$I$61,INT((ROW()-1)/2)),INDEX(XU_LY_LENH!$D$2:$D$61,INT((ROW()-1)/2)),INDEX(XU_LY_LENH!$F$2:$F$61,INT((ROW()-1)/2))+(INDEX(XU_LY_LENH!$D$2:$D$61,INT((ROW()-1)/2))-INDEX(XU_LY_LENH!$F$2:$F$61,INT((ROW()-1)/2)))*(D111-INDEX(XU_LY_LENH!$B$2:$B$61,INT((ROW()-1)/2)))/MAX(INDEX(XU_LY_LENH!$I$2:$I$61,INT((ROW()-1)/2))-INDEX(XU_LY_LENH!$B$2:$B$61,INT((ROW()-1)/2)),0.000001)))),IF(B111="","",INDEX(XU_LY_LENH!$D$2:$D$61,INT((ROW()-1)/2))))</f>
        <v/>
      </c>
      <c r="G111" t="str">
        <f t="shared" ca="1" si="10"/>
        <v/>
      </c>
      <c r="H111" t="str">
        <f t="shared" ca="1" si="11"/>
        <v/>
      </c>
    </row>
    <row r="112" spans="1:8">
      <c r="A112">
        <f t="shared" si="9"/>
        <v>111</v>
      </c>
      <c r="B112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12" t="str">
        <f ca="1">IF(MOD(ROW(),2)=1,IF(B112="","",INDEX(XU_LY_LENH!$B$2:$B$61,INT((ROW()-1)/2))),IF(B112="","",INDEX(XU_LY_LENH!$I$2:$I$61,INT((ROW()-1)/2))))</f>
        <v/>
      </c>
      <c r="D112" t="str">
        <f ca="1">IF(MOD(ROW(),2)=1,IF(B112="","",IF(INDEX(XU_LY_LENH!$G$2:$G$61,INT((ROW()-1)/2))="HOLD",C112,MIN(INDEX(XU_LY_LENH!$I$2:$I$61,INT((ROW()-1)/2)),IF(IFERROR(INDEX(XU_LY_LENH!$C$2:$C$61,INT((ROW()-1)/2)+1),"")="",86400,IFERROR(INDEX(XU_LY_LENH!$B$2:$B$61,INT((ROW()-1)/2)+1),"")),86400))),IF(B112="","",MIN(IF(IFERROR(INDEX(XU_LY_LENH!$C$2:$C$61,INT((ROW()-1)/2)+1),"")="",86400,IFERROR(INDEX(XU_LY_LENH!$B$2:$B$61,INT((ROW()-1)/2)+1),"")),86400)))</f>
        <v/>
      </c>
      <c r="E112" t="str">
        <f ca="1">IF(MOD(ROW(),2)=1,IF(B112="","",INDEX(XU_LY_LENH!$F$2:$F$61,INT((ROW()-1)/2))),IF(B112="","",INDEX(XU_LY_LENH!$D$2:$D$61,INT((ROW()-1)/2))))</f>
        <v/>
      </c>
      <c r="F112" t="str">
        <f ca="1">IF(MOD(ROW(),2)=1,IF(B112="","",IF(INDEX(XU_LY_LENH!$G$2:$G$61,INT((ROW()-1)/2))="HOLD",E112,IF(D112&gt;=INDEX(XU_LY_LENH!$I$2:$I$61,INT((ROW()-1)/2)),INDEX(XU_LY_LENH!$D$2:$D$61,INT((ROW()-1)/2)),INDEX(XU_LY_LENH!$F$2:$F$61,INT((ROW()-1)/2))+(INDEX(XU_LY_LENH!$D$2:$D$61,INT((ROW()-1)/2))-INDEX(XU_LY_LENH!$F$2:$F$61,INT((ROW()-1)/2)))*(D112-INDEX(XU_LY_LENH!$B$2:$B$61,INT((ROW()-1)/2)))/MAX(INDEX(XU_LY_LENH!$I$2:$I$61,INT((ROW()-1)/2))-INDEX(XU_LY_LENH!$B$2:$B$61,INT((ROW()-1)/2)),0.000001)))),IF(B112="","",INDEX(XU_LY_LENH!$D$2:$D$61,INT((ROW()-1)/2))))</f>
        <v/>
      </c>
      <c r="G112" t="str">
        <f t="shared" ca="1" si="10"/>
        <v/>
      </c>
      <c r="H112" t="str">
        <f t="shared" ca="1" si="11"/>
        <v/>
      </c>
    </row>
    <row r="113" spans="1:8">
      <c r="A113">
        <f t="shared" si="9"/>
        <v>112</v>
      </c>
      <c r="B113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13" t="str">
        <f ca="1">IF(MOD(ROW(),2)=1,IF(B113="","",INDEX(XU_LY_LENH!$B$2:$B$61,INT((ROW()-1)/2))),IF(B113="","",INDEX(XU_LY_LENH!$I$2:$I$61,INT((ROW()-1)/2))))</f>
        <v/>
      </c>
      <c r="D113" t="str">
        <f ca="1">IF(MOD(ROW(),2)=1,IF(B113="","",IF(INDEX(XU_LY_LENH!$G$2:$G$61,INT((ROW()-1)/2))="HOLD",C113,MIN(INDEX(XU_LY_LENH!$I$2:$I$61,INT((ROW()-1)/2)),IF(IFERROR(INDEX(XU_LY_LENH!$C$2:$C$61,INT((ROW()-1)/2)+1),"")="",86400,IFERROR(INDEX(XU_LY_LENH!$B$2:$B$61,INT((ROW()-1)/2)+1),"")),86400))),IF(B113="","",MIN(IF(IFERROR(INDEX(XU_LY_LENH!$C$2:$C$61,INT((ROW()-1)/2)+1),"")="",86400,IFERROR(INDEX(XU_LY_LENH!$B$2:$B$61,INT((ROW()-1)/2)+1),"")),86400)))</f>
        <v/>
      </c>
      <c r="E113" t="str">
        <f ca="1">IF(MOD(ROW(),2)=1,IF(B113="","",INDEX(XU_LY_LENH!$F$2:$F$61,INT((ROW()-1)/2))),IF(B113="","",INDEX(XU_LY_LENH!$D$2:$D$61,INT((ROW()-1)/2))))</f>
        <v/>
      </c>
      <c r="F113" t="str">
        <f ca="1">IF(MOD(ROW(),2)=1,IF(B113="","",IF(INDEX(XU_LY_LENH!$G$2:$G$61,INT((ROW()-1)/2))="HOLD",E113,IF(D113&gt;=INDEX(XU_LY_LENH!$I$2:$I$61,INT((ROW()-1)/2)),INDEX(XU_LY_LENH!$D$2:$D$61,INT((ROW()-1)/2)),INDEX(XU_LY_LENH!$F$2:$F$61,INT((ROW()-1)/2))+(INDEX(XU_LY_LENH!$D$2:$D$61,INT((ROW()-1)/2))-INDEX(XU_LY_LENH!$F$2:$F$61,INT((ROW()-1)/2)))*(D113-INDEX(XU_LY_LENH!$B$2:$B$61,INT((ROW()-1)/2)))/MAX(INDEX(XU_LY_LENH!$I$2:$I$61,INT((ROW()-1)/2))-INDEX(XU_LY_LENH!$B$2:$B$61,INT((ROW()-1)/2)),0.000001)))),IF(B113="","",INDEX(XU_LY_LENH!$D$2:$D$61,INT((ROW()-1)/2))))</f>
        <v/>
      </c>
      <c r="G113" t="str">
        <f t="shared" ca="1" si="10"/>
        <v/>
      </c>
      <c r="H113" t="str">
        <f t="shared" ca="1" si="11"/>
        <v/>
      </c>
    </row>
    <row r="114" spans="1:8">
      <c r="A114">
        <f t="shared" si="9"/>
        <v>113</v>
      </c>
      <c r="B114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14" t="str">
        <f ca="1">IF(MOD(ROW(),2)=1,IF(B114="","",INDEX(XU_LY_LENH!$B$2:$B$61,INT((ROW()-1)/2))),IF(B114="","",INDEX(XU_LY_LENH!$I$2:$I$61,INT((ROW()-1)/2))))</f>
        <v/>
      </c>
      <c r="D114" t="str">
        <f ca="1">IF(MOD(ROW(),2)=1,IF(B114="","",IF(INDEX(XU_LY_LENH!$G$2:$G$61,INT((ROW()-1)/2))="HOLD",C114,MIN(INDEX(XU_LY_LENH!$I$2:$I$61,INT((ROW()-1)/2)),IF(IFERROR(INDEX(XU_LY_LENH!$C$2:$C$61,INT((ROW()-1)/2)+1),"")="",86400,IFERROR(INDEX(XU_LY_LENH!$B$2:$B$61,INT((ROW()-1)/2)+1),"")),86400))),IF(B114="","",MIN(IF(IFERROR(INDEX(XU_LY_LENH!$C$2:$C$61,INT((ROW()-1)/2)+1),"")="",86400,IFERROR(INDEX(XU_LY_LENH!$B$2:$B$61,INT((ROW()-1)/2)+1),"")),86400)))</f>
        <v/>
      </c>
      <c r="E114" t="str">
        <f ca="1">IF(MOD(ROW(),2)=1,IF(B114="","",INDEX(XU_LY_LENH!$F$2:$F$61,INT((ROW()-1)/2))),IF(B114="","",INDEX(XU_LY_LENH!$D$2:$D$61,INT((ROW()-1)/2))))</f>
        <v/>
      </c>
      <c r="F114" t="str">
        <f ca="1">IF(MOD(ROW(),2)=1,IF(B114="","",IF(INDEX(XU_LY_LENH!$G$2:$G$61,INT((ROW()-1)/2))="HOLD",E114,IF(D114&gt;=INDEX(XU_LY_LENH!$I$2:$I$61,INT((ROW()-1)/2)),INDEX(XU_LY_LENH!$D$2:$D$61,INT((ROW()-1)/2)),INDEX(XU_LY_LENH!$F$2:$F$61,INT((ROW()-1)/2))+(INDEX(XU_LY_LENH!$D$2:$D$61,INT((ROW()-1)/2))-INDEX(XU_LY_LENH!$F$2:$F$61,INT((ROW()-1)/2)))*(D114-INDEX(XU_LY_LENH!$B$2:$B$61,INT((ROW()-1)/2)))/MAX(INDEX(XU_LY_LENH!$I$2:$I$61,INT((ROW()-1)/2))-INDEX(XU_LY_LENH!$B$2:$B$61,INT((ROW()-1)/2)),0.000001)))),IF(B114="","",INDEX(XU_LY_LENH!$D$2:$D$61,INT((ROW()-1)/2))))</f>
        <v/>
      </c>
      <c r="G114" t="str">
        <f t="shared" ca="1" si="10"/>
        <v/>
      </c>
      <c r="H114" t="str">
        <f t="shared" ca="1" si="11"/>
        <v/>
      </c>
    </row>
    <row r="115" spans="1:8">
      <c r="A115">
        <f t="shared" si="9"/>
        <v>114</v>
      </c>
      <c r="B115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15" t="str">
        <f ca="1">IF(MOD(ROW(),2)=1,IF(B115="","",INDEX(XU_LY_LENH!$B$2:$B$61,INT((ROW()-1)/2))),IF(B115="","",INDEX(XU_LY_LENH!$I$2:$I$61,INT((ROW()-1)/2))))</f>
        <v/>
      </c>
      <c r="D115" t="str">
        <f ca="1">IF(MOD(ROW(),2)=1,IF(B115="","",IF(INDEX(XU_LY_LENH!$G$2:$G$61,INT((ROW()-1)/2))="HOLD",C115,MIN(INDEX(XU_LY_LENH!$I$2:$I$61,INT((ROW()-1)/2)),IF(IFERROR(INDEX(XU_LY_LENH!$C$2:$C$61,INT((ROW()-1)/2)+1),"")="",86400,IFERROR(INDEX(XU_LY_LENH!$B$2:$B$61,INT((ROW()-1)/2)+1),"")),86400))),IF(B115="","",MIN(IF(IFERROR(INDEX(XU_LY_LENH!$C$2:$C$61,INT((ROW()-1)/2)+1),"")="",86400,IFERROR(INDEX(XU_LY_LENH!$B$2:$B$61,INT((ROW()-1)/2)+1),"")),86400)))</f>
        <v/>
      </c>
      <c r="E115" t="str">
        <f ca="1">IF(MOD(ROW(),2)=1,IF(B115="","",INDEX(XU_LY_LENH!$F$2:$F$61,INT((ROW()-1)/2))),IF(B115="","",INDEX(XU_LY_LENH!$D$2:$D$61,INT((ROW()-1)/2))))</f>
        <v/>
      </c>
      <c r="F115" t="str">
        <f ca="1">IF(MOD(ROW(),2)=1,IF(B115="","",IF(INDEX(XU_LY_LENH!$G$2:$G$61,INT((ROW()-1)/2))="HOLD",E115,IF(D115&gt;=INDEX(XU_LY_LENH!$I$2:$I$61,INT((ROW()-1)/2)),INDEX(XU_LY_LENH!$D$2:$D$61,INT((ROW()-1)/2)),INDEX(XU_LY_LENH!$F$2:$F$61,INT((ROW()-1)/2))+(INDEX(XU_LY_LENH!$D$2:$D$61,INT((ROW()-1)/2))-INDEX(XU_LY_LENH!$F$2:$F$61,INT((ROW()-1)/2)))*(D115-INDEX(XU_LY_LENH!$B$2:$B$61,INT((ROW()-1)/2)))/MAX(INDEX(XU_LY_LENH!$I$2:$I$61,INT((ROW()-1)/2))-INDEX(XU_LY_LENH!$B$2:$B$61,INT((ROW()-1)/2)),0.000001)))),IF(B115="","",INDEX(XU_LY_LENH!$D$2:$D$61,INT((ROW()-1)/2))))</f>
        <v/>
      </c>
      <c r="G115" t="str">
        <f t="shared" ca="1" si="10"/>
        <v/>
      </c>
      <c r="H115" t="str">
        <f t="shared" ca="1" si="11"/>
        <v/>
      </c>
    </row>
    <row r="116" spans="1:8">
      <c r="A116">
        <f t="shared" si="9"/>
        <v>115</v>
      </c>
      <c r="B116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16" t="str">
        <f ca="1">IF(MOD(ROW(),2)=1,IF(B116="","",INDEX(XU_LY_LENH!$B$2:$B$61,INT((ROW()-1)/2))),IF(B116="","",INDEX(XU_LY_LENH!$I$2:$I$61,INT((ROW()-1)/2))))</f>
        <v/>
      </c>
      <c r="D116" t="str">
        <f ca="1">IF(MOD(ROW(),2)=1,IF(B116="","",IF(INDEX(XU_LY_LENH!$G$2:$G$61,INT((ROW()-1)/2))="HOLD",C116,MIN(INDEX(XU_LY_LENH!$I$2:$I$61,INT((ROW()-1)/2)),IF(IFERROR(INDEX(XU_LY_LENH!$C$2:$C$61,INT((ROW()-1)/2)+1),"")="",86400,IFERROR(INDEX(XU_LY_LENH!$B$2:$B$61,INT((ROW()-1)/2)+1),"")),86400))),IF(B116="","",MIN(IF(IFERROR(INDEX(XU_LY_LENH!$C$2:$C$61,INT((ROW()-1)/2)+1),"")="",86400,IFERROR(INDEX(XU_LY_LENH!$B$2:$B$61,INT((ROW()-1)/2)+1),"")),86400)))</f>
        <v/>
      </c>
      <c r="E116" t="str">
        <f ca="1">IF(MOD(ROW(),2)=1,IF(B116="","",INDEX(XU_LY_LENH!$F$2:$F$61,INT((ROW()-1)/2))),IF(B116="","",INDEX(XU_LY_LENH!$D$2:$D$61,INT((ROW()-1)/2))))</f>
        <v/>
      </c>
      <c r="F116" t="str">
        <f ca="1">IF(MOD(ROW(),2)=1,IF(B116="","",IF(INDEX(XU_LY_LENH!$G$2:$G$61,INT((ROW()-1)/2))="HOLD",E116,IF(D116&gt;=INDEX(XU_LY_LENH!$I$2:$I$61,INT((ROW()-1)/2)),INDEX(XU_LY_LENH!$D$2:$D$61,INT((ROW()-1)/2)),INDEX(XU_LY_LENH!$F$2:$F$61,INT((ROW()-1)/2))+(INDEX(XU_LY_LENH!$D$2:$D$61,INT((ROW()-1)/2))-INDEX(XU_LY_LENH!$F$2:$F$61,INT((ROW()-1)/2)))*(D116-INDEX(XU_LY_LENH!$B$2:$B$61,INT((ROW()-1)/2)))/MAX(INDEX(XU_LY_LENH!$I$2:$I$61,INT((ROW()-1)/2))-INDEX(XU_LY_LENH!$B$2:$B$61,INT((ROW()-1)/2)),0.000001)))),IF(B116="","",INDEX(XU_LY_LENH!$D$2:$D$61,INT((ROW()-1)/2))))</f>
        <v/>
      </c>
      <c r="G116" t="str">
        <f t="shared" ca="1" si="10"/>
        <v/>
      </c>
      <c r="H116" t="str">
        <f t="shared" ca="1" si="11"/>
        <v/>
      </c>
    </row>
    <row r="117" spans="1:8">
      <c r="A117">
        <f t="shared" si="9"/>
        <v>116</v>
      </c>
      <c r="B117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17" t="str">
        <f ca="1">IF(MOD(ROW(),2)=1,IF(B117="","",INDEX(XU_LY_LENH!$B$2:$B$61,INT((ROW()-1)/2))),IF(B117="","",INDEX(XU_LY_LENH!$I$2:$I$61,INT((ROW()-1)/2))))</f>
        <v/>
      </c>
      <c r="D117" t="str">
        <f ca="1">IF(MOD(ROW(),2)=1,IF(B117="","",IF(INDEX(XU_LY_LENH!$G$2:$G$61,INT((ROW()-1)/2))="HOLD",C117,MIN(INDEX(XU_LY_LENH!$I$2:$I$61,INT((ROW()-1)/2)),IF(IFERROR(INDEX(XU_LY_LENH!$C$2:$C$61,INT((ROW()-1)/2)+1),"")="",86400,IFERROR(INDEX(XU_LY_LENH!$B$2:$B$61,INT((ROW()-1)/2)+1),"")),86400))),IF(B117="","",MIN(IF(IFERROR(INDEX(XU_LY_LENH!$C$2:$C$61,INT((ROW()-1)/2)+1),"")="",86400,IFERROR(INDEX(XU_LY_LENH!$B$2:$B$61,INT((ROW()-1)/2)+1),"")),86400)))</f>
        <v/>
      </c>
      <c r="E117" t="str">
        <f ca="1">IF(MOD(ROW(),2)=1,IF(B117="","",INDEX(XU_LY_LENH!$F$2:$F$61,INT((ROW()-1)/2))),IF(B117="","",INDEX(XU_LY_LENH!$D$2:$D$61,INT((ROW()-1)/2))))</f>
        <v/>
      </c>
      <c r="F117" t="str">
        <f ca="1">IF(MOD(ROW(),2)=1,IF(B117="","",IF(INDEX(XU_LY_LENH!$G$2:$G$61,INT((ROW()-1)/2))="HOLD",E117,IF(D117&gt;=INDEX(XU_LY_LENH!$I$2:$I$61,INT((ROW()-1)/2)),INDEX(XU_LY_LENH!$D$2:$D$61,INT((ROW()-1)/2)),INDEX(XU_LY_LENH!$F$2:$F$61,INT((ROW()-1)/2))+(INDEX(XU_LY_LENH!$D$2:$D$61,INT((ROW()-1)/2))-INDEX(XU_LY_LENH!$F$2:$F$61,INT((ROW()-1)/2)))*(D117-INDEX(XU_LY_LENH!$B$2:$B$61,INT((ROW()-1)/2)))/MAX(INDEX(XU_LY_LENH!$I$2:$I$61,INT((ROW()-1)/2))-INDEX(XU_LY_LENH!$B$2:$B$61,INT((ROW()-1)/2)),0.000001)))),IF(B117="","",INDEX(XU_LY_LENH!$D$2:$D$61,INT((ROW()-1)/2))))</f>
        <v/>
      </c>
      <c r="G117" t="str">
        <f t="shared" ca="1" si="10"/>
        <v/>
      </c>
      <c r="H117" t="str">
        <f t="shared" ca="1" si="11"/>
        <v/>
      </c>
    </row>
    <row r="118" spans="1:8">
      <c r="A118">
        <f t="shared" si="9"/>
        <v>117</v>
      </c>
      <c r="B118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18" t="str">
        <f ca="1">IF(MOD(ROW(),2)=1,IF(B118="","",INDEX(XU_LY_LENH!$B$2:$B$61,INT((ROW()-1)/2))),IF(B118="","",INDEX(XU_LY_LENH!$I$2:$I$61,INT((ROW()-1)/2))))</f>
        <v/>
      </c>
      <c r="D118" t="str">
        <f ca="1">IF(MOD(ROW(),2)=1,IF(B118="","",IF(INDEX(XU_LY_LENH!$G$2:$G$61,INT((ROW()-1)/2))="HOLD",C118,MIN(INDEX(XU_LY_LENH!$I$2:$I$61,INT((ROW()-1)/2)),IF(IFERROR(INDEX(XU_LY_LENH!$C$2:$C$61,INT((ROW()-1)/2)+1),"")="",86400,IFERROR(INDEX(XU_LY_LENH!$B$2:$B$61,INT((ROW()-1)/2)+1),"")),86400))),IF(B118="","",MIN(IF(IFERROR(INDEX(XU_LY_LENH!$C$2:$C$61,INT((ROW()-1)/2)+1),"")="",86400,IFERROR(INDEX(XU_LY_LENH!$B$2:$B$61,INT((ROW()-1)/2)+1),"")),86400)))</f>
        <v/>
      </c>
      <c r="E118" t="str">
        <f ca="1">IF(MOD(ROW(),2)=1,IF(B118="","",INDEX(XU_LY_LENH!$F$2:$F$61,INT((ROW()-1)/2))),IF(B118="","",INDEX(XU_LY_LENH!$D$2:$D$61,INT((ROW()-1)/2))))</f>
        <v/>
      </c>
      <c r="F118" t="str">
        <f ca="1">IF(MOD(ROW(),2)=1,IF(B118="","",IF(INDEX(XU_LY_LENH!$G$2:$G$61,INT((ROW()-1)/2))="HOLD",E118,IF(D118&gt;=INDEX(XU_LY_LENH!$I$2:$I$61,INT((ROW()-1)/2)),INDEX(XU_LY_LENH!$D$2:$D$61,INT((ROW()-1)/2)),INDEX(XU_LY_LENH!$F$2:$F$61,INT((ROW()-1)/2))+(INDEX(XU_LY_LENH!$D$2:$D$61,INT((ROW()-1)/2))-INDEX(XU_LY_LENH!$F$2:$F$61,INT((ROW()-1)/2)))*(D118-INDEX(XU_LY_LENH!$B$2:$B$61,INT((ROW()-1)/2)))/MAX(INDEX(XU_LY_LENH!$I$2:$I$61,INT((ROW()-1)/2))-INDEX(XU_LY_LENH!$B$2:$B$61,INT((ROW()-1)/2)),0.000001)))),IF(B118="","",INDEX(XU_LY_LENH!$D$2:$D$61,INT((ROW()-1)/2))))</f>
        <v/>
      </c>
      <c r="G118" t="str">
        <f t="shared" ca="1" si="10"/>
        <v/>
      </c>
      <c r="H118" t="str">
        <f t="shared" ca="1" si="11"/>
        <v/>
      </c>
    </row>
    <row r="119" spans="1:8">
      <c r="A119">
        <f t="shared" si="9"/>
        <v>118</v>
      </c>
      <c r="B119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19" t="str">
        <f ca="1">IF(MOD(ROW(),2)=1,IF(B119="","",INDEX(XU_LY_LENH!$B$2:$B$61,INT((ROW()-1)/2))),IF(B119="","",INDEX(XU_LY_LENH!$I$2:$I$61,INT((ROW()-1)/2))))</f>
        <v/>
      </c>
      <c r="D119" t="str">
        <f ca="1">IF(MOD(ROW(),2)=1,IF(B119="","",IF(INDEX(XU_LY_LENH!$G$2:$G$61,INT((ROW()-1)/2))="HOLD",C119,MIN(INDEX(XU_LY_LENH!$I$2:$I$61,INT((ROW()-1)/2)),IF(IFERROR(INDEX(XU_LY_LENH!$C$2:$C$61,INT((ROW()-1)/2)+1),"")="",86400,IFERROR(INDEX(XU_LY_LENH!$B$2:$B$61,INT((ROW()-1)/2)+1),"")),86400))),IF(B119="","",MIN(IF(IFERROR(INDEX(XU_LY_LENH!$C$2:$C$61,INT((ROW()-1)/2)+1),"")="",86400,IFERROR(INDEX(XU_LY_LENH!$B$2:$B$61,INT((ROW()-1)/2)+1),"")),86400)))</f>
        <v/>
      </c>
      <c r="E119" t="str">
        <f ca="1">IF(MOD(ROW(),2)=1,IF(B119="","",INDEX(XU_LY_LENH!$F$2:$F$61,INT((ROW()-1)/2))),IF(B119="","",INDEX(XU_LY_LENH!$D$2:$D$61,INT((ROW()-1)/2))))</f>
        <v/>
      </c>
      <c r="F119" t="str">
        <f ca="1">IF(MOD(ROW(),2)=1,IF(B119="","",IF(INDEX(XU_LY_LENH!$G$2:$G$61,INT((ROW()-1)/2))="HOLD",E119,IF(D119&gt;=INDEX(XU_LY_LENH!$I$2:$I$61,INT((ROW()-1)/2)),INDEX(XU_LY_LENH!$D$2:$D$61,INT((ROW()-1)/2)),INDEX(XU_LY_LENH!$F$2:$F$61,INT((ROW()-1)/2))+(INDEX(XU_LY_LENH!$D$2:$D$61,INT((ROW()-1)/2))-INDEX(XU_LY_LENH!$F$2:$F$61,INT((ROW()-1)/2)))*(D119-INDEX(XU_LY_LENH!$B$2:$B$61,INT((ROW()-1)/2)))/MAX(INDEX(XU_LY_LENH!$I$2:$I$61,INT((ROW()-1)/2))-INDEX(XU_LY_LENH!$B$2:$B$61,INT((ROW()-1)/2)),0.000001)))),IF(B119="","",INDEX(XU_LY_LENH!$D$2:$D$61,INT((ROW()-1)/2))))</f>
        <v/>
      </c>
      <c r="G119" t="str">
        <f t="shared" ca="1" si="10"/>
        <v/>
      </c>
      <c r="H119" t="str">
        <f t="shared" ca="1" si="11"/>
        <v/>
      </c>
    </row>
    <row r="120" spans="1:8">
      <c r="A120">
        <f t="shared" si="9"/>
        <v>119</v>
      </c>
      <c r="B120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20" t="str">
        <f ca="1">IF(MOD(ROW(),2)=1,IF(B120="","",INDEX(XU_LY_LENH!$B$2:$B$61,INT((ROW()-1)/2))),IF(B120="","",INDEX(XU_LY_LENH!$I$2:$I$61,INT((ROW()-1)/2))))</f>
        <v/>
      </c>
      <c r="D120" t="str">
        <f ca="1">IF(MOD(ROW(),2)=1,IF(B120="","",IF(INDEX(XU_LY_LENH!$G$2:$G$61,INT((ROW()-1)/2))="HOLD",C120,MIN(INDEX(XU_LY_LENH!$I$2:$I$61,INT((ROW()-1)/2)),IF(IFERROR(INDEX(XU_LY_LENH!$C$2:$C$61,INT((ROW()-1)/2)+1),"")="",86400,IFERROR(INDEX(XU_LY_LENH!$B$2:$B$61,INT((ROW()-1)/2)+1),"")),86400))),IF(B120="","",MIN(IF(IFERROR(INDEX(XU_LY_LENH!$C$2:$C$61,INT((ROW()-1)/2)+1),"")="",86400,IFERROR(INDEX(XU_LY_LENH!$B$2:$B$61,INT((ROW()-1)/2)+1),"")),86400)))</f>
        <v/>
      </c>
      <c r="E120" t="str">
        <f ca="1">IF(MOD(ROW(),2)=1,IF(B120="","",INDEX(XU_LY_LENH!$F$2:$F$61,INT((ROW()-1)/2))),IF(B120="","",INDEX(XU_LY_LENH!$D$2:$D$61,INT((ROW()-1)/2))))</f>
        <v/>
      </c>
      <c r="F120" t="str">
        <f ca="1">IF(MOD(ROW(),2)=1,IF(B120="","",IF(INDEX(XU_LY_LENH!$G$2:$G$61,INT((ROW()-1)/2))="HOLD",E120,IF(D120&gt;=INDEX(XU_LY_LENH!$I$2:$I$61,INT((ROW()-1)/2)),INDEX(XU_LY_LENH!$D$2:$D$61,INT((ROW()-1)/2)),INDEX(XU_LY_LENH!$F$2:$F$61,INT((ROW()-1)/2))+(INDEX(XU_LY_LENH!$D$2:$D$61,INT((ROW()-1)/2))-INDEX(XU_LY_LENH!$F$2:$F$61,INT((ROW()-1)/2)))*(D120-INDEX(XU_LY_LENH!$B$2:$B$61,INT((ROW()-1)/2)))/MAX(INDEX(XU_LY_LENH!$I$2:$I$61,INT((ROW()-1)/2))-INDEX(XU_LY_LENH!$B$2:$B$61,INT((ROW()-1)/2)),0.000001)))),IF(B120="","",INDEX(XU_LY_LENH!$D$2:$D$61,INT((ROW()-1)/2))))</f>
        <v/>
      </c>
      <c r="G120" t="str">
        <f t="shared" ca="1" si="10"/>
        <v/>
      </c>
      <c r="H120" t="str">
        <f t="shared" ca="1" si="11"/>
        <v/>
      </c>
    </row>
    <row r="121" spans="1:8">
      <c r="A121">
        <f t="shared" si="9"/>
        <v>120</v>
      </c>
      <c r="B121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21" t="str">
        <f ca="1">IF(MOD(ROW(),2)=1,IF(B121="","",INDEX(XU_LY_LENH!$B$2:$B$61,INT((ROW()-1)/2))),IF(B121="","",INDEX(XU_LY_LENH!$I$2:$I$61,INT((ROW()-1)/2))))</f>
        <v/>
      </c>
      <c r="D121" t="str">
        <f ca="1">IF(MOD(ROW(),2)=1,IF(B121="","",IF(INDEX(XU_LY_LENH!$G$2:$G$61,INT((ROW()-1)/2))="HOLD",C121,MIN(INDEX(XU_LY_LENH!$I$2:$I$61,INT((ROW()-1)/2)),IF(IFERROR(INDEX(XU_LY_LENH!$C$2:$C$61,INT((ROW()-1)/2)+1),"")="",86400,IFERROR(INDEX(XU_LY_LENH!$B$2:$B$61,INT((ROW()-1)/2)+1),"")),86400))),IF(B121="","",MIN(IF(IFERROR(INDEX(XU_LY_LENH!$C$2:$C$61,INT((ROW()-1)/2)+1),"")="",86400,IFERROR(INDEX(XU_LY_LENH!$B$2:$B$61,INT((ROW()-1)/2)+1),"")),86400)))</f>
        <v/>
      </c>
      <c r="E121" t="str">
        <f ca="1">IF(MOD(ROW(),2)=1,IF(B121="","",INDEX(XU_LY_LENH!$F$2:$F$61,INT((ROW()-1)/2))),IF(B121="","",INDEX(XU_LY_LENH!$D$2:$D$61,INT((ROW()-1)/2))))</f>
        <v/>
      </c>
      <c r="F121" t="str">
        <f ca="1">IF(MOD(ROW(),2)=1,IF(B121="","",IF(INDEX(XU_LY_LENH!$G$2:$G$61,INT((ROW()-1)/2))="HOLD",E121,IF(D121&gt;=INDEX(XU_LY_LENH!$I$2:$I$61,INT((ROW()-1)/2)),INDEX(XU_LY_LENH!$D$2:$D$61,INT((ROW()-1)/2)),INDEX(XU_LY_LENH!$F$2:$F$61,INT((ROW()-1)/2))+(INDEX(XU_LY_LENH!$D$2:$D$61,INT((ROW()-1)/2))-INDEX(XU_LY_LENH!$F$2:$F$61,INT((ROW()-1)/2)))*(D121-INDEX(XU_LY_LENH!$B$2:$B$61,INT((ROW()-1)/2)))/MAX(INDEX(XU_LY_LENH!$I$2:$I$61,INT((ROW()-1)/2))-INDEX(XU_LY_LENH!$B$2:$B$61,INT((ROW()-1)/2)),0.000001)))),IF(B121="","",INDEX(XU_LY_LENH!$D$2:$D$61,INT((ROW()-1)/2))))</f>
        <v/>
      </c>
      <c r="G121" t="str">
        <f t="shared" ca="1" si="10"/>
        <v/>
      </c>
      <c r="H121" t="str">
        <f t="shared" ca="1" si="11"/>
        <v/>
      </c>
    </row>
    <row r="122" spans="1:8">
      <c r="A122">
        <f t="shared" si="9"/>
        <v>121</v>
      </c>
      <c r="B122" t="str">
        <f ca="1">IF(MOD(ROW(),2)=1,IF(INDEX(XU_LY_LENH!$C$2:$C$61,INT((ROW()-1)/2))="","",INDEX(XU_LY_LENH!$G$2:$G$61,INT((ROW()-1)/2))),IF(INDEX(XU_LY_LENH!$C$2:$C$61,INT((ROW()-1)/2))="","",IF(AND(INDEX(XU_LY_LENH!$I$2:$I$61,INT((ROW()-1)/2))&lt;IF(IFERROR(INDEX(XU_LY_LENH!$C$2:$C$61,INT((ROW()-1)/2)+1),"")="",86400,IFERROR(INDEX(XU_LY_LENH!$B$2:$B$61,INT((ROW()-1)/2)+1),"")),INDEX(XU_LY_LENH!$I$2:$I$61,INT((ROW()-1)/2))&lt;86400),"HOLD","")))</f>
        <v/>
      </c>
      <c r="C122" t="str">
        <f ca="1">IF(MOD(ROW(),2)=1,IF(B122="","",INDEX(XU_LY_LENH!$B$2:$B$61,INT((ROW()-1)/2))),IF(B122="","",INDEX(XU_LY_LENH!$I$2:$I$61,INT((ROW()-1)/2))))</f>
        <v/>
      </c>
      <c r="D122" t="str">
        <f ca="1">IF(MOD(ROW(),2)=1,IF(B122="","",IF(INDEX(XU_LY_LENH!$G$2:$G$61,INT((ROW()-1)/2))="HOLD",C122,MIN(INDEX(XU_LY_LENH!$I$2:$I$61,INT((ROW()-1)/2)),IF(IFERROR(INDEX(XU_LY_LENH!$C$2:$C$61,INT((ROW()-1)/2)+1),"")="",86400,IFERROR(INDEX(XU_LY_LENH!$B$2:$B$61,INT((ROW()-1)/2)+1),"")),86400))),IF(B122="","",MIN(IF(IFERROR(INDEX(XU_LY_LENH!$C$2:$C$61,INT((ROW()-1)/2)+1),"")="",86400,IFERROR(INDEX(XU_LY_LENH!$B$2:$B$61,INT((ROW()-1)/2)+1),"")),86400)))</f>
        <v/>
      </c>
      <c r="E122" t="str">
        <f ca="1">IF(MOD(ROW(),2)=1,IF(B122="","",INDEX(XU_LY_LENH!$F$2:$F$61,INT((ROW()-1)/2))),IF(B122="","",INDEX(XU_LY_LENH!$D$2:$D$61,INT((ROW()-1)/2))))</f>
        <v/>
      </c>
      <c r="F122" t="str">
        <f ca="1">IF(MOD(ROW(),2)=1,IF(B122="","",IF(INDEX(XU_LY_LENH!$G$2:$G$61,INT((ROW()-1)/2))="HOLD",E122,IF(D122&gt;=INDEX(XU_LY_LENH!$I$2:$I$61,INT((ROW()-1)/2)),INDEX(XU_LY_LENH!$D$2:$D$61,INT((ROW()-1)/2)),INDEX(XU_LY_LENH!$F$2:$F$61,INT((ROW()-1)/2))+(INDEX(XU_LY_LENH!$D$2:$D$61,INT((ROW()-1)/2))-INDEX(XU_LY_LENH!$F$2:$F$61,INT((ROW()-1)/2)))*(D122-INDEX(XU_LY_LENH!$B$2:$B$61,INT((ROW()-1)/2)))/MAX(INDEX(XU_LY_LENH!$I$2:$I$61,INT((ROW()-1)/2))-INDEX(XU_LY_LENH!$B$2:$B$61,INT((ROW()-1)/2)),0.000001)))),IF(B122="","",INDEX(XU_LY_LENH!$D$2:$D$61,INT((ROW()-1)/2))))</f>
        <v/>
      </c>
      <c r="G122" t="str">
        <f t="shared" ca="1" si="10"/>
        <v/>
      </c>
      <c r="H122" t="str">
        <f t="shared" ca="1" si="11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V49"/>
  <sheetViews>
    <sheetView workbookViewId="0"/>
  </sheetViews>
  <sheetFormatPr baseColWidth="10" defaultColWidth="8.83203125" defaultRowHeight="14"/>
  <cols>
    <col min="1" max="3" width="15" customWidth="1"/>
    <col min="4" max="66" width="11" customWidth="1"/>
  </cols>
  <sheetData>
    <row r="1" spans="1:126" ht="15">
      <c r="A1" s="1" t="s">
        <v>151</v>
      </c>
      <c r="B1" s="11" t="s">
        <v>152</v>
      </c>
      <c r="C1" s="2" t="s">
        <v>153</v>
      </c>
      <c r="D1" s="27" t="s">
        <v>154</v>
      </c>
      <c r="E1" s="27" t="s">
        <v>155</v>
      </c>
      <c r="F1" s="27" t="s">
        <v>156</v>
      </c>
      <c r="G1" s="27" t="s">
        <v>157</v>
      </c>
      <c r="H1" s="27" t="s">
        <v>158</v>
      </c>
      <c r="I1" s="27" t="s">
        <v>159</v>
      </c>
      <c r="J1" s="27" t="s">
        <v>160</v>
      </c>
      <c r="K1" s="27" t="s">
        <v>161</v>
      </c>
      <c r="L1" s="27" t="s">
        <v>162</v>
      </c>
      <c r="M1" s="27" t="s">
        <v>163</v>
      </c>
      <c r="N1" s="27" t="s">
        <v>164</v>
      </c>
      <c r="O1" s="27" t="s">
        <v>165</v>
      </c>
      <c r="P1" s="27" t="s">
        <v>166</v>
      </c>
      <c r="Q1" s="27" t="s">
        <v>167</v>
      </c>
      <c r="R1" s="27" t="s">
        <v>168</v>
      </c>
      <c r="S1" s="27" t="s">
        <v>169</v>
      </c>
      <c r="T1" s="27" t="s">
        <v>170</v>
      </c>
      <c r="U1" s="27" t="s">
        <v>171</v>
      </c>
      <c r="V1" s="27" t="s">
        <v>172</v>
      </c>
      <c r="W1" s="27" t="s">
        <v>173</v>
      </c>
      <c r="X1" s="27" t="s">
        <v>174</v>
      </c>
      <c r="Y1" s="27" t="s">
        <v>175</v>
      </c>
      <c r="Z1" s="27" t="s">
        <v>176</v>
      </c>
      <c r="AA1" s="27" t="s">
        <v>177</v>
      </c>
      <c r="AB1" s="27" t="s">
        <v>178</v>
      </c>
      <c r="AC1" s="27" t="s">
        <v>179</v>
      </c>
      <c r="AD1" s="27" t="s">
        <v>180</v>
      </c>
      <c r="AE1" s="27" t="s">
        <v>181</v>
      </c>
      <c r="AF1" s="27" t="s">
        <v>182</v>
      </c>
      <c r="AG1" s="27" t="s">
        <v>183</v>
      </c>
      <c r="AH1" s="27" t="s">
        <v>184</v>
      </c>
      <c r="AI1" s="27" t="s">
        <v>185</v>
      </c>
      <c r="AJ1" s="27" t="s">
        <v>186</v>
      </c>
      <c r="AK1" s="27" t="s">
        <v>187</v>
      </c>
      <c r="AL1" s="27" t="s">
        <v>188</v>
      </c>
      <c r="AM1" s="27" t="s">
        <v>189</v>
      </c>
      <c r="AN1" s="27" t="s">
        <v>190</v>
      </c>
      <c r="AO1" s="27" t="s">
        <v>191</v>
      </c>
      <c r="AP1" s="27" t="s">
        <v>192</v>
      </c>
      <c r="AQ1" s="27" t="s">
        <v>193</v>
      </c>
      <c r="AR1" s="27" t="s">
        <v>194</v>
      </c>
      <c r="AS1" s="27" t="s">
        <v>195</v>
      </c>
      <c r="AT1" s="27" t="s">
        <v>196</v>
      </c>
      <c r="AU1" s="27" t="s">
        <v>197</v>
      </c>
      <c r="AV1" s="27" t="s">
        <v>198</v>
      </c>
      <c r="AW1" s="27" t="s">
        <v>199</v>
      </c>
      <c r="AX1" s="27" t="s">
        <v>200</v>
      </c>
      <c r="AY1" s="27" t="s">
        <v>201</v>
      </c>
      <c r="AZ1" s="27" t="s">
        <v>202</v>
      </c>
      <c r="BA1" s="27" t="s">
        <v>203</v>
      </c>
      <c r="BB1" s="27" t="s">
        <v>204</v>
      </c>
      <c r="BC1" s="27" t="s">
        <v>205</v>
      </c>
      <c r="BD1" s="27" t="s">
        <v>206</v>
      </c>
      <c r="BE1" s="27" t="s">
        <v>207</v>
      </c>
      <c r="BF1" s="27" t="s">
        <v>208</v>
      </c>
      <c r="BG1" s="27" t="s">
        <v>209</v>
      </c>
      <c r="BH1" s="27" t="s">
        <v>210</v>
      </c>
      <c r="BI1" s="27" t="s">
        <v>211</v>
      </c>
      <c r="BJ1" s="27" t="s">
        <v>212</v>
      </c>
      <c r="BK1" s="27" t="s">
        <v>213</v>
      </c>
      <c r="BL1" s="27" t="s">
        <v>214</v>
      </c>
      <c r="BM1" s="1" t="s">
        <v>215</v>
      </c>
      <c r="BN1" s="2" t="s">
        <v>216</v>
      </c>
      <c r="BO1" t="s">
        <v>217</v>
      </c>
      <c r="BP1" t="s">
        <v>218</v>
      </c>
      <c r="BQ1" t="s">
        <v>219</v>
      </c>
      <c r="BR1" t="s">
        <v>220</v>
      </c>
      <c r="BS1" t="s">
        <v>221</v>
      </c>
      <c r="BT1" t="s">
        <v>222</v>
      </c>
      <c r="BU1" t="s">
        <v>223</v>
      </c>
      <c r="BV1" t="s">
        <v>224</v>
      </c>
      <c r="BW1" t="s">
        <v>225</v>
      </c>
      <c r="BX1" t="s">
        <v>226</v>
      </c>
      <c r="BY1" t="s">
        <v>227</v>
      </c>
      <c r="BZ1" t="s">
        <v>228</v>
      </c>
      <c r="CA1" t="s">
        <v>229</v>
      </c>
      <c r="CB1" t="s">
        <v>230</v>
      </c>
      <c r="CC1" t="s">
        <v>231</v>
      </c>
      <c r="CD1" t="s">
        <v>232</v>
      </c>
      <c r="CE1" t="s">
        <v>233</v>
      </c>
      <c r="CF1" t="s">
        <v>234</v>
      </c>
      <c r="CG1" t="s">
        <v>235</v>
      </c>
      <c r="CH1" t="s">
        <v>236</v>
      </c>
      <c r="CI1" t="s">
        <v>237</v>
      </c>
      <c r="CJ1" t="s">
        <v>238</v>
      </c>
      <c r="CK1" t="s">
        <v>239</v>
      </c>
      <c r="CL1" t="s">
        <v>240</v>
      </c>
      <c r="CM1" t="s">
        <v>241</v>
      </c>
      <c r="CN1" t="s">
        <v>242</v>
      </c>
      <c r="CO1" t="s">
        <v>243</v>
      </c>
      <c r="CP1" t="s">
        <v>244</v>
      </c>
      <c r="CQ1" t="s">
        <v>245</v>
      </c>
      <c r="CR1" t="s">
        <v>246</v>
      </c>
      <c r="CS1" t="s">
        <v>247</v>
      </c>
      <c r="CT1" t="s">
        <v>248</v>
      </c>
      <c r="CU1" t="s">
        <v>249</v>
      </c>
      <c r="CV1" t="s">
        <v>250</v>
      </c>
      <c r="CW1" t="s">
        <v>251</v>
      </c>
      <c r="CX1" t="s">
        <v>252</v>
      </c>
      <c r="CY1" t="s">
        <v>253</v>
      </c>
      <c r="CZ1" t="s">
        <v>254</v>
      </c>
      <c r="DA1" t="s">
        <v>255</v>
      </c>
      <c r="DB1" t="s">
        <v>256</v>
      </c>
      <c r="DC1" t="s">
        <v>257</v>
      </c>
      <c r="DD1" t="s">
        <v>258</v>
      </c>
      <c r="DE1" t="s">
        <v>259</v>
      </c>
      <c r="DF1" t="s">
        <v>260</v>
      </c>
      <c r="DG1" t="s">
        <v>261</v>
      </c>
      <c r="DH1" t="s">
        <v>262</v>
      </c>
      <c r="DI1" t="s">
        <v>263</v>
      </c>
      <c r="DJ1" t="s">
        <v>264</v>
      </c>
      <c r="DK1" t="s">
        <v>265</v>
      </c>
      <c r="DL1" t="s">
        <v>266</v>
      </c>
      <c r="DM1" t="s">
        <v>267</v>
      </c>
      <c r="DN1" t="s">
        <v>268</v>
      </c>
      <c r="DO1" t="s">
        <v>269</v>
      </c>
      <c r="DP1" t="s">
        <v>270</v>
      </c>
      <c r="DQ1" t="s">
        <v>271</v>
      </c>
      <c r="DR1" t="s">
        <v>272</v>
      </c>
      <c r="DS1" t="s">
        <v>273</v>
      </c>
      <c r="DT1" t="s">
        <v>274</v>
      </c>
      <c r="DU1" t="s">
        <v>275</v>
      </c>
      <c r="DV1" t="s">
        <v>276</v>
      </c>
    </row>
    <row r="2" spans="1:126">
      <c r="A2" s="3">
        <v>1</v>
      </c>
      <c r="B2" s="12">
        <v>0</v>
      </c>
      <c r="C2" s="12">
        <v>1800</v>
      </c>
      <c r="D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E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F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G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H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I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J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K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L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M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N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O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P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Q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R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S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T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U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V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W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X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Y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Z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A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B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C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D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E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F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G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H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I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J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K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L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M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N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O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P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Q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R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S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T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U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V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W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X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Y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AZ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A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B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C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D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E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F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G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H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I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J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K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L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M2" s="24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N2" s="28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O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P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Q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R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S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T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U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V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W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X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Y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BZ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A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B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C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D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E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F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G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H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I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J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K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L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M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N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O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P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Q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R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S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T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U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V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W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X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Y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CZ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A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B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C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D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E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F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G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H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I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J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K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L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M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N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O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P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Q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R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S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T2">
        <f ca="1">IF(OR(INDEX(DOAN_CONG_SUAT!$B$2:$B$122,COLUMN()-3)="",INDEX(DOAN_CONG_SUAT!$D$2:$D$122,COLUMN()-3)&lt;=$B2,INDEX(DOAN_CONG_SUAT!$C$2:$C$122,COLUMN()-3)&gt;=$C2,INDEX(DOAN_CONG_SUAT!$D$2:$D$122,COLUMN()-3)=INDEX(DOAN_CONG_SUAT!$C$2:$C$122,COLUMN()-3)),0,((INDEX(DOAN_CONG_SUAT!$E$2:$E$122,COLUMN()-3)+(INDEX(DOAN_CONG_SUAT!$F$2:$F$122,COLUMN()-3)-INDEX(DOAN_CONG_SUAT!$E$2:$E$122,COLUMN()-3))*(MAX($B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,INDEX(DOAN_CONG_SUAT!$D$2:$D$122,COLUMN()-3))-INDEX(DOAN_CONG_SUAT!$C$2:$C$122,COLUMN()-3))/(INDEX(DOAN_CONG_SUAT!$D$2:$D$122,COLUMN()-3)-INDEX(DOAN_CONG_SUAT!$C$2:$C$122,COLUMN()-3))))/2*(MIN($C2,INDEX(DOAN_CONG_SUAT!$D$2:$D$122,COLUMN()-3))-MAX($B2,INDEX(DOAN_CONG_SUAT!$C$2:$C$122,COLUMN()-3))))</f>
        <v>0</v>
      </c>
      <c r="DU2">
        <f t="shared" ref="DU2:DU49" ca="1" si="0">SUM(D2:DT2)</f>
        <v>0</v>
      </c>
      <c r="DV2">
        <f t="shared" ref="DV2:DV49" ca="1" si="1">DU2/1800</f>
        <v>0</v>
      </c>
    </row>
    <row r="3" spans="1:126">
      <c r="A3" s="5">
        <v>2</v>
      </c>
      <c r="B3" s="13">
        <v>1800</v>
      </c>
      <c r="C3" s="13">
        <v>3600</v>
      </c>
      <c r="D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E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F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G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H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I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J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K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L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M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N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O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P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Q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R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S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T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U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V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W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X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Y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Z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A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B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C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D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E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F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G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H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I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J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K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L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M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N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O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P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Q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R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S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T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U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V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W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X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Y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AZ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A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B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C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D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E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F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G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H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I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J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K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L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M3" s="25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N3" s="29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O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P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Q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R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S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T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U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V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W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X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Y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BZ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A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B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C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D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E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F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G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H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I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J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K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L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M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N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O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P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Q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R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S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T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U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V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W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X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Y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CZ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A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B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C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D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E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F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G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H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I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J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K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L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M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N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O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P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Q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R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S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T3">
        <f ca="1">IF(OR(INDEX(DOAN_CONG_SUAT!$B$2:$B$122,COLUMN()-3)="",INDEX(DOAN_CONG_SUAT!$D$2:$D$122,COLUMN()-3)&lt;=$B3,INDEX(DOAN_CONG_SUAT!$C$2:$C$122,COLUMN()-3)&gt;=$C3,INDEX(DOAN_CONG_SUAT!$D$2:$D$122,COLUMN()-3)=INDEX(DOAN_CONG_SUAT!$C$2:$C$122,COLUMN()-3)),0,((INDEX(DOAN_CONG_SUAT!$E$2:$E$122,COLUMN()-3)+(INDEX(DOAN_CONG_SUAT!$F$2:$F$122,COLUMN()-3)-INDEX(DOAN_CONG_SUAT!$E$2:$E$122,COLUMN()-3))*(MAX($B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,INDEX(DOAN_CONG_SUAT!$D$2:$D$122,COLUMN()-3))-INDEX(DOAN_CONG_SUAT!$C$2:$C$122,COLUMN()-3))/(INDEX(DOAN_CONG_SUAT!$D$2:$D$122,COLUMN()-3)-INDEX(DOAN_CONG_SUAT!$C$2:$C$122,COLUMN()-3))))/2*(MIN($C3,INDEX(DOAN_CONG_SUAT!$D$2:$D$122,COLUMN()-3))-MAX($B3,INDEX(DOAN_CONG_SUAT!$C$2:$C$122,COLUMN()-3))))</f>
        <v>0</v>
      </c>
      <c r="DU3">
        <f t="shared" ca="1" si="0"/>
        <v>0</v>
      </c>
      <c r="DV3">
        <f t="shared" ca="1" si="1"/>
        <v>0</v>
      </c>
    </row>
    <row r="4" spans="1:126">
      <c r="A4" s="5">
        <v>3</v>
      </c>
      <c r="B4" s="13">
        <v>3600</v>
      </c>
      <c r="C4" s="13">
        <v>5400</v>
      </c>
      <c r="D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E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F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G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H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I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J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K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L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M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N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O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P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Q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R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S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T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U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V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W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X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Y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Z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A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B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C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D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E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F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G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H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I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J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K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L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M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N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O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P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Q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R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S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T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U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V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W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X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Y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AZ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A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B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C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D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E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F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G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H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I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J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K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L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M4" s="25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N4" s="29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O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P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Q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R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S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T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U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V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W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X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Y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BZ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A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B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C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D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E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F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G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H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I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J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K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L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M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N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O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P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Q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R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S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T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U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V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W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X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Y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CZ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A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B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C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D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E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F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G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H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I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J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K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L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M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N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O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P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Q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R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S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T4">
        <f ca="1">IF(OR(INDEX(DOAN_CONG_SUAT!$B$2:$B$122,COLUMN()-3)="",INDEX(DOAN_CONG_SUAT!$D$2:$D$122,COLUMN()-3)&lt;=$B4,INDEX(DOAN_CONG_SUAT!$C$2:$C$122,COLUMN()-3)&gt;=$C4,INDEX(DOAN_CONG_SUAT!$D$2:$D$122,COLUMN()-3)=INDEX(DOAN_CONG_SUAT!$C$2:$C$122,COLUMN()-3)),0,((INDEX(DOAN_CONG_SUAT!$E$2:$E$122,COLUMN()-3)+(INDEX(DOAN_CONG_SUAT!$F$2:$F$122,COLUMN()-3)-INDEX(DOAN_CONG_SUAT!$E$2:$E$122,COLUMN()-3))*(MAX($B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,INDEX(DOAN_CONG_SUAT!$D$2:$D$122,COLUMN()-3))-INDEX(DOAN_CONG_SUAT!$C$2:$C$122,COLUMN()-3))/(INDEX(DOAN_CONG_SUAT!$D$2:$D$122,COLUMN()-3)-INDEX(DOAN_CONG_SUAT!$C$2:$C$122,COLUMN()-3))))/2*(MIN($C4,INDEX(DOAN_CONG_SUAT!$D$2:$D$122,COLUMN()-3))-MAX($B4,INDEX(DOAN_CONG_SUAT!$C$2:$C$122,COLUMN()-3))))</f>
        <v>0</v>
      </c>
      <c r="DU4">
        <f t="shared" ca="1" si="0"/>
        <v>0</v>
      </c>
      <c r="DV4">
        <f t="shared" ca="1" si="1"/>
        <v>0</v>
      </c>
    </row>
    <row r="5" spans="1:126">
      <c r="A5" s="5">
        <v>4</v>
      </c>
      <c r="B5" s="13">
        <v>5400</v>
      </c>
      <c r="C5" s="13">
        <v>7200</v>
      </c>
      <c r="D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E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F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G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H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I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J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K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L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M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N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O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P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Q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R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S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T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U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V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W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X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Y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Z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A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B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C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D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E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F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G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H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I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J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K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L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M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N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O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P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Q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R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S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T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U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V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W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X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Y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AZ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A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B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C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D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E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F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G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H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I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J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K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L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M5" s="2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N5" s="29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O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P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Q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R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S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T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U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V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W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X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Y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BZ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A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B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C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D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E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F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G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H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I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J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K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L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M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N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O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P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Q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R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S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T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U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V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W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X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Y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CZ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A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B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C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D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E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F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G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H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I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J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K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L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M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N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O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P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Q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R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S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T5">
        <f ca="1">IF(OR(INDEX(DOAN_CONG_SUAT!$B$2:$B$122,COLUMN()-3)="",INDEX(DOAN_CONG_SUAT!$D$2:$D$122,COLUMN()-3)&lt;=$B5,INDEX(DOAN_CONG_SUAT!$C$2:$C$122,COLUMN()-3)&gt;=$C5,INDEX(DOAN_CONG_SUAT!$D$2:$D$122,COLUMN()-3)=INDEX(DOAN_CONG_SUAT!$C$2:$C$122,COLUMN()-3)),0,((INDEX(DOAN_CONG_SUAT!$E$2:$E$122,COLUMN()-3)+(INDEX(DOAN_CONG_SUAT!$F$2:$F$122,COLUMN()-3)-INDEX(DOAN_CONG_SUAT!$E$2:$E$122,COLUMN()-3))*(MAX($B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5,INDEX(DOAN_CONG_SUAT!$D$2:$D$122,COLUMN()-3))-INDEX(DOAN_CONG_SUAT!$C$2:$C$122,COLUMN()-3))/(INDEX(DOAN_CONG_SUAT!$D$2:$D$122,COLUMN()-3)-INDEX(DOAN_CONG_SUAT!$C$2:$C$122,COLUMN()-3))))/2*(MIN($C5,INDEX(DOAN_CONG_SUAT!$D$2:$D$122,COLUMN()-3))-MAX($B5,INDEX(DOAN_CONG_SUAT!$C$2:$C$122,COLUMN()-3))))</f>
        <v>0</v>
      </c>
      <c r="DU5">
        <f t="shared" ca="1" si="0"/>
        <v>0</v>
      </c>
      <c r="DV5">
        <f t="shared" ca="1" si="1"/>
        <v>0</v>
      </c>
    </row>
    <row r="6" spans="1:126">
      <c r="A6" s="5">
        <v>5</v>
      </c>
      <c r="B6" s="13">
        <v>7200</v>
      </c>
      <c r="C6" s="13">
        <v>9000</v>
      </c>
      <c r="D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E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F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G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H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I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J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K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L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M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N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O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P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Q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R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S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T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U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V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W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X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Y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Z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A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B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C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D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E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F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G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H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I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J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K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L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M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N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O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P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Q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R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S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T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U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V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W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X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Y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AZ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A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B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C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D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E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F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G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H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I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J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K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L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M6" s="25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N6" s="29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O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P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Q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R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S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T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U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V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W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X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Y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BZ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A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B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C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D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E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F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G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H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I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J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K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L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M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N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O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P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Q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R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S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T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U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V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W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X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Y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CZ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A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B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C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D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E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F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G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H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I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J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K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L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M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N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O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P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Q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R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S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T6">
        <f ca="1">IF(OR(INDEX(DOAN_CONG_SUAT!$B$2:$B$122,COLUMN()-3)="",INDEX(DOAN_CONG_SUAT!$D$2:$D$122,COLUMN()-3)&lt;=$B6,INDEX(DOAN_CONG_SUAT!$C$2:$C$122,COLUMN()-3)&gt;=$C6,INDEX(DOAN_CONG_SUAT!$D$2:$D$122,COLUMN()-3)=INDEX(DOAN_CONG_SUAT!$C$2:$C$122,COLUMN()-3)),0,((INDEX(DOAN_CONG_SUAT!$E$2:$E$122,COLUMN()-3)+(INDEX(DOAN_CONG_SUAT!$F$2:$F$122,COLUMN()-3)-INDEX(DOAN_CONG_SUAT!$E$2:$E$122,COLUMN()-3))*(MAX($B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6,INDEX(DOAN_CONG_SUAT!$D$2:$D$122,COLUMN()-3))-INDEX(DOAN_CONG_SUAT!$C$2:$C$122,COLUMN()-3))/(INDEX(DOAN_CONG_SUAT!$D$2:$D$122,COLUMN()-3)-INDEX(DOAN_CONG_SUAT!$C$2:$C$122,COLUMN()-3))))/2*(MIN($C6,INDEX(DOAN_CONG_SUAT!$D$2:$D$122,COLUMN()-3))-MAX($B6,INDEX(DOAN_CONG_SUAT!$C$2:$C$122,COLUMN()-3))))</f>
        <v>0</v>
      </c>
      <c r="DU6">
        <f t="shared" ca="1" si="0"/>
        <v>0</v>
      </c>
      <c r="DV6">
        <f t="shared" ca="1" si="1"/>
        <v>0</v>
      </c>
    </row>
    <row r="7" spans="1:126">
      <c r="A7" s="5">
        <v>6</v>
      </c>
      <c r="B7" s="13">
        <v>9000</v>
      </c>
      <c r="C7" s="13">
        <v>10800</v>
      </c>
      <c r="D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E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F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G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H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I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J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K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L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M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N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O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P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Q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R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S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T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U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V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W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X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Y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Z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A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B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C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D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E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F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G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H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I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J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K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L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M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N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O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P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Q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R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S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T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U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V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W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X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Y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AZ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A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B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C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D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E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F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G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H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I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J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K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L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M7" s="25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N7" s="29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O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P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Q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R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S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T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U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V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W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X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Y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BZ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A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B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C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D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E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F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G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H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I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J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K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L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M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N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O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P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Q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R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S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T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U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V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W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X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Y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CZ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A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B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C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D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E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F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G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H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I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J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K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L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M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N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O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P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Q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R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S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T7">
        <f ca="1">IF(OR(INDEX(DOAN_CONG_SUAT!$B$2:$B$122,COLUMN()-3)="",INDEX(DOAN_CONG_SUAT!$D$2:$D$122,COLUMN()-3)&lt;=$B7,INDEX(DOAN_CONG_SUAT!$C$2:$C$122,COLUMN()-3)&gt;=$C7,INDEX(DOAN_CONG_SUAT!$D$2:$D$122,COLUMN()-3)=INDEX(DOAN_CONG_SUAT!$C$2:$C$122,COLUMN()-3)),0,((INDEX(DOAN_CONG_SUAT!$E$2:$E$122,COLUMN()-3)+(INDEX(DOAN_CONG_SUAT!$F$2:$F$122,COLUMN()-3)-INDEX(DOAN_CONG_SUAT!$E$2:$E$122,COLUMN()-3))*(MAX($B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7,INDEX(DOAN_CONG_SUAT!$D$2:$D$122,COLUMN()-3))-INDEX(DOAN_CONG_SUAT!$C$2:$C$122,COLUMN()-3))/(INDEX(DOAN_CONG_SUAT!$D$2:$D$122,COLUMN()-3)-INDEX(DOAN_CONG_SUAT!$C$2:$C$122,COLUMN()-3))))/2*(MIN($C7,INDEX(DOAN_CONG_SUAT!$D$2:$D$122,COLUMN()-3))-MAX($B7,INDEX(DOAN_CONG_SUAT!$C$2:$C$122,COLUMN()-3))))</f>
        <v>0</v>
      </c>
      <c r="DU7">
        <f t="shared" ca="1" si="0"/>
        <v>0</v>
      </c>
      <c r="DV7">
        <f t="shared" ca="1" si="1"/>
        <v>0</v>
      </c>
    </row>
    <row r="8" spans="1:126">
      <c r="A8" s="5">
        <v>7</v>
      </c>
      <c r="B8" s="13">
        <v>10800</v>
      </c>
      <c r="C8" s="13">
        <v>12600</v>
      </c>
      <c r="D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E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F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G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H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I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J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K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L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M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N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O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P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Q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R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S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T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U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V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W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X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Y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Z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A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B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C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D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E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F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G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H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I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J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K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L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M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N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O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P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Q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R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S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T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U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V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W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X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Y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AZ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A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B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C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D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E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F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G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H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I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J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K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L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M8" s="25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N8" s="29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O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P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Q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R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S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T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U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V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W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X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Y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BZ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A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B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C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D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E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F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G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H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I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J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K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L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M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N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O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P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Q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R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S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T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U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V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W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X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Y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CZ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A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B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C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D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E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F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G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H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I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J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K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L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M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N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O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P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Q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R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S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T8">
        <f ca="1">IF(OR(INDEX(DOAN_CONG_SUAT!$B$2:$B$122,COLUMN()-3)="",INDEX(DOAN_CONG_SUAT!$D$2:$D$122,COLUMN()-3)&lt;=$B8,INDEX(DOAN_CONG_SUAT!$C$2:$C$122,COLUMN()-3)&gt;=$C8,INDEX(DOAN_CONG_SUAT!$D$2:$D$122,COLUMN()-3)=INDEX(DOAN_CONG_SUAT!$C$2:$C$122,COLUMN()-3)),0,((INDEX(DOAN_CONG_SUAT!$E$2:$E$122,COLUMN()-3)+(INDEX(DOAN_CONG_SUAT!$F$2:$F$122,COLUMN()-3)-INDEX(DOAN_CONG_SUAT!$E$2:$E$122,COLUMN()-3))*(MAX($B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8,INDEX(DOAN_CONG_SUAT!$D$2:$D$122,COLUMN()-3))-INDEX(DOAN_CONG_SUAT!$C$2:$C$122,COLUMN()-3))/(INDEX(DOAN_CONG_SUAT!$D$2:$D$122,COLUMN()-3)-INDEX(DOAN_CONG_SUAT!$C$2:$C$122,COLUMN()-3))))/2*(MIN($C8,INDEX(DOAN_CONG_SUAT!$D$2:$D$122,COLUMN()-3))-MAX($B8,INDEX(DOAN_CONG_SUAT!$C$2:$C$122,COLUMN()-3))))</f>
        <v>0</v>
      </c>
      <c r="DU8">
        <f t="shared" ca="1" si="0"/>
        <v>0</v>
      </c>
      <c r="DV8">
        <f t="shared" ca="1" si="1"/>
        <v>0</v>
      </c>
    </row>
    <row r="9" spans="1:126">
      <c r="A9" s="5">
        <v>8</v>
      </c>
      <c r="B9" s="13">
        <v>12600</v>
      </c>
      <c r="C9" s="13">
        <v>14400</v>
      </c>
      <c r="D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E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F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G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H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I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J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K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L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M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N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O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P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Q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R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S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T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U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V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W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X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Y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Z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A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B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C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D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E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F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G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H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I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J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K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L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M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N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O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P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Q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R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S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T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U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V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W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X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Y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AZ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A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B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C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D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E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F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G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H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I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J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K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L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M9" s="25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N9" s="2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O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P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Q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R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S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T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U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V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W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X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Y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BZ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A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B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C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D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E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F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G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H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I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J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K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L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M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N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O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P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Q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R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S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T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U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V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W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X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Y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CZ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A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B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C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D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E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F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G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H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I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J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K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L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M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N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O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P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Q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R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S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T9">
        <f ca="1">IF(OR(INDEX(DOAN_CONG_SUAT!$B$2:$B$122,COLUMN()-3)="",INDEX(DOAN_CONG_SUAT!$D$2:$D$122,COLUMN()-3)&lt;=$B9,INDEX(DOAN_CONG_SUAT!$C$2:$C$122,COLUMN()-3)&gt;=$C9,INDEX(DOAN_CONG_SUAT!$D$2:$D$122,COLUMN()-3)=INDEX(DOAN_CONG_SUAT!$C$2:$C$122,COLUMN()-3)),0,((INDEX(DOAN_CONG_SUAT!$E$2:$E$122,COLUMN()-3)+(INDEX(DOAN_CONG_SUAT!$F$2:$F$122,COLUMN()-3)-INDEX(DOAN_CONG_SUAT!$E$2:$E$122,COLUMN()-3))*(MAX($B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9,INDEX(DOAN_CONG_SUAT!$D$2:$D$122,COLUMN()-3))-INDEX(DOAN_CONG_SUAT!$C$2:$C$122,COLUMN()-3))/(INDEX(DOAN_CONG_SUAT!$D$2:$D$122,COLUMN()-3)-INDEX(DOAN_CONG_SUAT!$C$2:$C$122,COLUMN()-3))))/2*(MIN($C9,INDEX(DOAN_CONG_SUAT!$D$2:$D$122,COLUMN()-3))-MAX($B9,INDEX(DOAN_CONG_SUAT!$C$2:$C$122,COLUMN()-3))))</f>
        <v>0</v>
      </c>
      <c r="DU9">
        <f t="shared" ca="1" si="0"/>
        <v>0</v>
      </c>
      <c r="DV9">
        <f t="shared" ca="1" si="1"/>
        <v>0</v>
      </c>
    </row>
    <row r="10" spans="1:126">
      <c r="A10" s="5">
        <v>9</v>
      </c>
      <c r="B10" s="13">
        <v>14400</v>
      </c>
      <c r="C10" s="13">
        <v>16200</v>
      </c>
      <c r="D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E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F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G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H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I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J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K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L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M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N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O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P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Q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R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S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T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U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V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W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X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Y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Z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A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B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C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D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E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F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G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H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I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J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K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L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M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N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O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P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Q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R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S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T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U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V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W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X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Y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AZ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A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B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C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D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E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F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G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H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I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J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K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L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M10" s="25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N10" s="29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O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P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Q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R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S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T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U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V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W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X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Y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BZ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A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B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C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D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E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F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G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H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I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J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K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L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M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N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O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P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Q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R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S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T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U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V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W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X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Y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CZ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A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B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C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D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E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F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G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H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I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J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K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L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M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N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O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P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Q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R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S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T10">
        <f ca="1">IF(OR(INDEX(DOAN_CONG_SUAT!$B$2:$B$122,COLUMN()-3)="",INDEX(DOAN_CONG_SUAT!$D$2:$D$122,COLUMN()-3)&lt;=$B10,INDEX(DOAN_CONG_SUAT!$C$2:$C$122,COLUMN()-3)&gt;=$C10,INDEX(DOAN_CONG_SUAT!$D$2:$D$122,COLUMN()-3)=INDEX(DOAN_CONG_SUAT!$C$2:$C$122,COLUMN()-3)),0,((INDEX(DOAN_CONG_SUAT!$E$2:$E$122,COLUMN()-3)+(INDEX(DOAN_CONG_SUAT!$F$2:$F$122,COLUMN()-3)-INDEX(DOAN_CONG_SUAT!$E$2:$E$122,COLUMN()-3))*(MAX($B10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10,INDEX(DOAN_CONG_SUAT!$D$2:$D$122,COLUMN()-3))-INDEX(DOAN_CONG_SUAT!$C$2:$C$122,COLUMN()-3))/(INDEX(DOAN_CONG_SUAT!$D$2:$D$122,COLUMN()-3)-INDEX(DOAN_CONG_SUAT!$C$2:$C$122,COLUMN()-3))))/2*(MIN($C10,INDEX(DOAN_CONG_SUAT!$D$2:$D$122,COLUMN()-3))-MAX($B10,INDEX(DOAN_CONG_SUAT!$C$2:$C$122,COLUMN()-3))))</f>
        <v>0</v>
      </c>
      <c r="DU10">
        <f t="shared" ca="1" si="0"/>
        <v>0</v>
      </c>
      <c r="DV10">
        <f t="shared" ca="1" si="1"/>
        <v>0</v>
      </c>
    </row>
    <row r="11" spans="1:126">
      <c r="A11" s="5">
        <v>10</v>
      </c>
      <c r="B11" s="13">
        <v>16200</v>
      </c>
      <c r="C11" s="13">
        <v>18000</v>
      </c>
      <c r="D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E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F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G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H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I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J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K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L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M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N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O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P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Q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R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S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T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U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V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W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X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Y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Z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A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B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C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D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E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F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G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H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I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J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K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L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M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N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O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P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Q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R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S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T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U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V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W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X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Y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AZ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A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B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C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D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E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F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G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H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I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J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K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L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M11" s="25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N11" s="29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O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P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Q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R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S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T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U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V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W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X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Y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BZ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A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B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C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D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E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F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G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H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I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J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K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L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M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N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O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P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Q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R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S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T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U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V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W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X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Y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CZ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A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B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C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D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E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F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G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H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I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J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K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L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M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N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O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P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Q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R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S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T11">
        <f ca="1">IF(OR(INDEX(DOAN_CONG_SUAT!$B$2:$B$122,COLUMN()-3)="",INDEX(DOAN_CONG_SUAT!$D$2:$D$122,COLUMN()-3)&lt;=$B11,INDEX(DOAN_CONG_SUAT!$C$2:$C$122,COLUMN()-3)&gt;=$C11,INDEX(DOAN_CONG_SUAT!$D$2:$D$122,COLUMN()-3)=INDEX(DOAN_CONG_SUAT!$C$2:$C$122,COLUMN()-3)),0,((INDEX(DOAN_CONG_SUAT!$E$2:$E$122,COLUMN()-3)+(INDEX(DOAN_CONG_SUAT!$F$2:$F$122,COLUMN()-3)-INDEX(DOAN_CONG_SUAT!$E$2:$E$122,COLUMN()-3))*(MAX($B11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11,INDEX(DOAN_CONG_SUAT!$D$2:$D$122,COLUMN()-3))-INDEX(DOAN_CONG_SUAT!$C$2:$C$122,COLUMN()-3))/(INDEX(DOAN_CONG_SUAT!$D$2:$D$122,COLUMN()-3)-INDEX(DOAN_CONG_SUAT!$C$2:$C$122,COLUMN()-3))))/2*(MIN($C11,INDEX(DOAN_CONG_SUAT!$D$2:$D$122,COLUMN()-3))-MAX($B11,INDEX(DOAN_CONG_SUAT!$C$2:$C$122,COLUMN()-3))))</f>
        <v>0</v>
      </c>
      <c r="DU11">
        <f t="shared" ca="1" si="0"/>
        <v>0</v>
      </c>
      <c r="DV11">
        <f t="shared" ca="1" si="1"/>
        <v>0</v>
      </c>
    </row>
    <row r="12" spans="1:126">
      <c r="A12" s="5">
        <v>11</v>
      </c>
      <c r="B12" s="13">
        <v>18000</v>
      </c>
      <c r="C12" s="13">
        <v>19800</v>
      </c>
      <c r="D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E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F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G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H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I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J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K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L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M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N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O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P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Q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R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S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T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U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V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W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X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Y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Z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A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B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C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D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E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F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G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H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I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J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K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L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M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N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O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P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Q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R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S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T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U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V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W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X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Y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AZ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A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B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C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D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E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F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G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H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I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J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K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L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M12" s="25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N12" s="29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O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P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Q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R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S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T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U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V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W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X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Y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BZ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A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B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C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D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E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F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G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H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I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J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K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L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M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N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O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P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Q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R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S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T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U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V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W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X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Y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CZ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A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B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C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D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E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F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G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H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I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J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K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L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M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N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O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P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Q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R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S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T12">
        <f ca="1">IF(OR(INDEX(DOAN_CONG_SUAT!$B$2:$B$122,COLUMN()-3)="",INDEX(DOAN_CONG_SUAT!$D$2:$D$122,COLUMN()-3)&lt;=$B12,INDEX(DOAN_CONG_SUAT!$C$2:$C$122,COLUMN()-3)&gt;=$C12,INDEX(DOAN_CONG_SUAT!$D$2:$D$122,COLUMN()-3)=INDEX(DOAN_CONG_SUAT!$C$2:$C$122,COLUMN()-3)),0,((INDEX(DOAN_CONG_SUAT!$E$2:$E$122,COLUMN()-3)+(INDEX(DOAN_CONG_SUAT!$F$2:$F$122,COLUMN()-3)-INDEX(DOAN_CONG_SUAT!$E$2:$E$122,COLUMN()-3))*(MAX($B12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12,INDEX(DOAN_CONG_SUAT!$D$2:$D$122,COLUMN()-3))-INDEX(DOAN_CONG_SUAT!$C$2:$C$122,COLUMN()-3))/(INDEX(DOAN_CONG_SUAT!$D$2:$D$122,COLUMN()-3)-INDEX(DOAN_CONG_SUAT!$C$2:$C$122,COLUMN()-3))))/2*(MIN($C12,INDEX(DOAN_CONG_SUAT!$D$2:$D$122,COLUMN()-3))-MAX($B12,INDEX(DOAN_CONG_SUAT!$C$2:$C$122,COLUMN()-3))))</f>
        <v>0</v>
      </c>
      <c r="DU12">
        <f t="shared" ca="1" si="0"/>
        <v>0</v>
      </c>
      <c r="DV12">
        <f t="shared" ca="1" si="1"/>
        <v>0</v>
      </c>
    </row>
    <row r="13" spans="1:126">
      <c r="A13" s="5">
        <v>12</v>
      </c>
      <c r="B13" s="13">
        <v>19800</v>
      </c>
      <c r="C13" s="13">
        <v>21600</v>
      </c>
      <c r="D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E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F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G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H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I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J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K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L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M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N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O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P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Q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R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S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T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U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V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W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X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Y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Z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A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B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C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D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E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F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G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H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I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J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K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L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M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N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O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P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Q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R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S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T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U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V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W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X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Y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AZ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A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B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C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D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E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F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G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H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I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J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K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L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M13" s="25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N13" s="29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O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P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Q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R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S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T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U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V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W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X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Y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BZ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A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B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C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D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E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F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G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H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I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J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K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L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M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N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O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P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Q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R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S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T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U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V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W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X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Y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CZ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A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B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C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D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E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F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G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H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I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J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K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L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M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N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O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P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Q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R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S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T13">
        <f ca="1">IF(OR(INDEX(DOAN_CONG_SUAT!$B$2:$B$122,COLUMN()-3)="",INDEX(DOAN_CONG_SUAT!$D$2:$D$122,COLUMN()-3)&lt;=$B13,INDEX(DOAN_CONG_SUAT!$C$2:$C$122,COLUMN()-3)&gt;=$C13,INDEX(DOAN_CONG_SUAT!$D$2:$D$122,COLUMN()-3)=INDEX(DOAN_CONG_SUAT!$C$2:$C$122,COLUMN()-3)),0,((INDEX(DOAN_CONG_SUAT!$E$2:$E$122,COLUMN()-3)+(INDEX(DOAN_CONG_SUAT!$F$2:$F$122,COLUMN()-3)-INDEX(DOAN_CONG_SUAT!$E$2:$E$122,COLUMN()-3))*(MAX($B13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13,INDEX(DOAN_CONG_SUAT!$D$2:$D$122,COLUMN()-3))-INDEX(DOAN_CONG_SUAT!$C$2:$C$122,COLUMN()-3))/(INDEX(DOAN_CONG_SUAT!$D$2:$D$122,COLUMN()-3)-INDEX(DOAN_CONG_SUAT!$C$2:$C$122,COLUMN()-3))))/2*(MIN($C13,INDEX(DOAN_CONG_SUAT!$D$2:$D$122,COLUMN()-3))-MAX($B13,INDEX(DOAN_CONG_SUAT!$C$2:$C$122,COLUMN()-3))))</f>
        <v>0</v>
      </c>
      <c r="DU13">
        <f t="shared" ca="1" si="0"/>
        <v>0</v>
      </c>
      <c r="DV13">
        <f t="shared" ca="1" si="1"/>
        <v>0</v>
      </c>
    </row>
    <row r="14" spans="1:126">
      <c r="A14" s="5">
        <v>13</v>
      </c>
      <c r="B14" s="13">
        <v>21600</v>
      </c>
      <c r="C14" s="13">
        <v>23400</v>
      </c>
      <c r="D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E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F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G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H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I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J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K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L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M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N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O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P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Q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R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S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T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U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V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W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X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Y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Z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A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B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C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D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E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F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G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H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I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J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K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L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M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N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O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P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Q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R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S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T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U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V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W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X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Y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AZ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A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B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C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D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E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F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G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H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I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J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K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L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M14" s="25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N14" s="29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O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P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Q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R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S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T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U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V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W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X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Y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BZ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A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B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C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D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E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F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G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H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I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J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K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L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M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N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O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P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Q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R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S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T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U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V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W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X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Y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CZ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A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B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C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D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E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F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G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H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I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J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K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L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M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N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O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P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Q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R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S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T14">
        <f ca="1">IF(OR(INDEX(DOAN_CONG_SUAT!$B$2:$B$122,COLUMN()-3)="",INDEX(DOAN_CONG_SUAT!$D$2:$D$122,COLUMN()-3)&lt;=$B14,INDEX(DOAN_CONG_SUAT!$C$2:$C$122,COLUMN()-3)&gt;=$C14,INDEX(DOAN_CONG_SUAT!$D$2:$D$122,COLUMN()-3)=INDEX(DOAN_CONG_SUAT!$C$2:$C$122,COLUMN()-3)),0,((INDEX(DOAN_CONG_SUAT!$E$2:$E$122,COLUMN()-3)+(INDEX(DOAN_CONG_SUAT!$F$2:$F$122,COLUMN()-3)-INDEX(DOAN_CONG_SUAT!$E$2:$E$122,COLUMN()-3))*(MAX($B14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14,INDEX(DOAN_CONG_SUAT!$D$2:$D$122,COLUMN()-3))-INDEX(DOAN_CONG_SUAT!$C$2:$C$122,COLUMN()-3))/(INDEX(DOAN_CONG_SUAT!$D$2:$D$122,COLUMN()-3)-INDEX(DOAN_CONG_SUAT!$C$2:$C$122,COLUMN()-3))))/2*(MIN($C14,INDEX(DOAN_CONG_SUAT!$D$2:$D$122,COLUMN()-3))-MAX($B14,INDEX(DOAN_CONG_SUAT!$C$2:$C$122,COLUMN()-3))))</f>
        <v>0</v>
      </c>
      <c r="DU14">
        <f t="shared" ca="1" si="0"/>
        <v>0</v>
      </c>
      <c r="DV14">
        <f t="shared" ca="1" si="1"/>
        <v>0</v>
      </c>
    </row>
    <row r="15" spans="1:126">
      <c r="A15" s="5">
        <v>14</v>
      </c>
      <c r="B15" s="13">
        <v>23400</v>
      </c>
      <c r="C15" s="13">
        <v>25200</v>
      </c>
      <c r="D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E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F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G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H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I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J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K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L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M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N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O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P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Q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R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S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T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U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V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W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X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Y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Z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A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B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C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D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E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F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G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H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I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J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K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L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M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N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O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P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Q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R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S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T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U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V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W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X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Y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AZ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A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B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C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D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E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F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G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H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I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J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K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L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M15" s="2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N15" s="29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O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P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Q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R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S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T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U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V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W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X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Y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BZ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A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B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C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D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E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F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G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H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I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J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K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L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M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N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O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P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Q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R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S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T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U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V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W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X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Y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CZ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A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B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C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D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E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F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G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H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I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J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K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L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M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N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O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P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Q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R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S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T15">
        <f ca="1">IF(OR(INDEX(DOAN_CONG_SUAT!$B$2:$B$122,COLUMN()-3)="",INDEX(DOAN_CONG_SUAT!$D$2:$D$122,COLUMN()-3)&lt;=$B15,INDEX(DOAN_CONG_SUAT!$C$2:$C$122,COLUMN()-3)&gt;=$C15,INDEX(DOAN_CONG_SUAT!$D$2:$D$122,COLUMN()-3)=INDEX(DOAN_CONG_SUAT!$C$2:$C$122,COLUMN()-3)),0,((INDEX(DOAN_CONG_SUAT!$E$2:$E$122,COLUMN()-3)+(INDEX(DOAN_CONG_SUAT!$F$2:$F$122,COLUMN()-3)-INDEX(DOAN_CONG_SUAT!$E$2:$E$122,COLUMN()-3))*(MAX($B15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15,INDEX(DOAN_CONG_SUAT!$D$2:$D$122,COLUMN()-3))-INDEX(DOAN_CONG_SUAT!$C$2:$C$122,COLUMN()-3))/(INDEX(DOAN_CONG_SUAT!$D$2:$D$122,COLUMN()-3)-INDEX(DOAN_CONG_SUAT!$C$2:$C$122,COLUMN()-3))))/2*(MIN($C15,INDEX(DOAN_CONG_SUAT!$D$2:$D$122,COLUMN()-3))-MAX($B15,INDEX(DOAN_CONG_SUAT!$C$2:$C$122,COLUMN()-3))))</f>
        <v>0</v>
      </c>
      <c r="DU15">
        <f t="shared" ca="1" si="0"/>
        <v>0</v>
      </c>
      <c r="DV15">
        <f t="shared" ca="1" si="1"/>
        <v>0</v>
      </c>
    </row>
    <row r="16" spans="1:126">
      <c r="A16" s="5">
        <v>15</v>
      </c>
      <c r="B16" s="13">
        <v>25200</v>
      </c>
      <c r="C16" s="13">
        <v>27000</v>
      </c>
      <c r="D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E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F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G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H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I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J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K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L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M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N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O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P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Q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R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S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T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U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V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W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X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Y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Z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A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B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C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D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E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F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G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H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I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J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K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L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M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N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O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P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Q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R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S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T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U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V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W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X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Y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AZ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A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B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C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D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E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F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G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H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I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J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K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L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M16" s="25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N16" s="29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O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P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Q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R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S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T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U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V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W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X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Y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BZ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A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B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C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D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E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F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G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H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I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J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K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L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M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N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O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P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Q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R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S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T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U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V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W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X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Y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CZ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A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B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C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D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E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F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G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H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I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J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K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L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M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N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O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P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Q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R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S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T16">
        <f ca="1">IF(OR(INDEX(DOAN_CONG_SUAT!$B$2:$B$122,COLUMN()-3)="",INDEX(DOAN_CONG_SUAT!$D$2:$D$122,COLUMN()-3)&lt;=$B16,INDEX(DOAN_CONG_SUAT!$C$2:$C$122,COLUMN()-3)&gt;=$C16,INDEX(DOAN_CONG_SUAT!$D$2:$D$122,COLUMN()-3)=INDEX(DOAN_CONG_SUAT!$C$2:$C$122,COLUMN()-3)),0,((INDEX(DOAN_CONG_SUAT!$E$2:$E$122,COLUMN()-3)+(INDEX(DOAN_CONG_SUAT!$F$2:$F$122,COLUMN()-3)-INDEX(DOAN_CONG_SUAT!$E$2:$E$122,COLUMN()-3))*(MAX($B16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16,INDEX(DOAN_CONG_SUAT!$D$2:$D$122,COLUMN()-3))-INDEX(DOAN_CONG_SUAT!$C$2:$C$122,COLUMN()-3))/(INDEX(DOAN_CONG_SUAT!$D$2:$D$122,COLUMN()-3)-INDEX(DOAN_CONG_SUAT!$C$2:$C$122,COLUMN()-3))))/2*(MIN($C16,INDEX(DOAN_CONG_SUAT!$D$2:$D$122,COLUMN()-3))-MAX($B16,INDEX(DOAN_CONG_SUAT!$C$2:$C$122,COLUMN()-3))))</f>
        <v>0</v>
      </c>
      <c r="DU16">
        <f t="shared" ca="1" si="0"/>
        <v>0</v>
      </c>
      <c r="DV16">
        <f t="shared" ca="1" si="1"/>
        <v>0</v>
      </c>
    </row>
    <row r="17" spans="1:126">
      <c r="A17" s="5">
        <v>16</v>
      </c>
      <c r="B17" s="13">
        <v>27000</v>
      </c>
      <c r="C17" s="13">
        <v>28800</v>
      </c>
      <c r="D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E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F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G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H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I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J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K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L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M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N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O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P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Q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R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S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T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U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V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W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X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Y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Z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A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B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C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D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E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F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G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H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I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J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K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L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M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N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O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P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Q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R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S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T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U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V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W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X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Y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AZ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A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B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C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D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E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F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G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H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I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J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K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L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M17" s="25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N17" s="29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O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P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Q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R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S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T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U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V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W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X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Y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BZ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A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B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C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D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E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F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G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H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I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J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K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L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M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N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O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P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Q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R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S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T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U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V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W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X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Y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CZ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A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B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C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D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E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F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G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H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I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J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K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L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M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N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O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P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Q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R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S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T17">
        <f ca="1">IF(OR(INDEX(DOAN_CONG_SUAT!$B$2:$B$122,COLUMN()-3)="",INDEX(DOAN_CONG_SUAT!$D$2:$D$122,COLUMN()-3)&lt;=$B17,INDEX(DOAN_CONG_SUAT!$C$2:$C$122,COLUMN()-3)&gt;=$C17,INDEX(DOAN_CONG_SUAT!$D$2:$D$122,COLUMN()-3)=INDEX(DOAN_CONG_SUAT!$C$2:$C$122,COLUMN()-3)),0,((INDEX(DOAN_CONG_SUAT!$E$2:$E$122,COLUMN()-3)+(INDEX(DOAN_CONG_SUAT!$F$2:$F$122,COLUMN()-3)-INDEX(DOAN_CONG_SUAT!$E$2:$E$122,COLUMN()-3))*(MAX($B17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17,INDEX(DOAN_CONG_SUAT!$D$2:$D$122,COLUMN()-3))-INDEX(DOAN_CONG_SUAT!$C$2:$C$122,COLUMN()-3))/(INDEX(DOAN_CONG_SUAT!$D$2:$D$122,COLUMN()-3)-INDEX(DOAN_CONG_SUAT!$C$2:$C$122,COLUMN()-3))))/2*(MIN($C17,INDEX(DOAN_CONG_SUAT!$D$2:$D$122,COLUMN()-3))-MAX($B17,INDEX(DOAN_CONG_SUAT!$C$2:$C$122,COLUMN()-3))))</f>
        <v>0</v>
      </c>
      <c r="DU17">
        <f t="shared" ca="1" si="0"/>
        <v>0</v>
      </c>
      <c r="DV17">
        <f t="shared" ca="1" si="1"/>
        <v>0</v>
      </c>
    </row>
    <row r="18" spans="1:126">
      <c r="A18" s="5">
        <v>17</v>
      </c>
      <c r="B18" s="13">
        <v>28800</v>
      </c>
      <c r="C18" s="13">
        <v>30600</v>
      </c>
      <c r="D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E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F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G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H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I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J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K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L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M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N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O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P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Q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R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S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T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U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V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W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X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Y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Z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A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B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C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D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E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F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G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H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I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J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K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L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M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N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O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P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Q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R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S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T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U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V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W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X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Y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AZ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A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B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C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D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E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F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G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H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I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J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K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L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M18" s="25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N18" s="29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O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P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Q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R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S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T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U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V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W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X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Y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BZ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A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B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C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D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E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F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G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H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I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J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K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L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M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N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O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P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Q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R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S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T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U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V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W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X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Y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CZ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A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B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C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D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E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F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G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H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I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J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K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L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M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N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O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P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Q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R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S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T18">
        <f ca="1">IF(OR(INDEX(DOAN_CONG_SUAT!$B$2:$B$122,COLUMN()-3)="",INDEX(DOAN_CONG_SUAT!$D$2:$D$122,COLUMN()-3)&lt;=$B18,INDEX(DOAN_CONG_SUAT!$C$2:$C$122,COLUMN()-3)&gt;=$C18,INDEX(DOAN_CONG_SUAT!$D$2:$D$122,COLUMN()-3)=INDEX(DOAN_CONG_SUAT!$C$2:$C$122,COLUMN()-3)),0,((INDEX(DOAN_CONG_SUAT!$E$2:$E$122,COLUMN()-3)+(INDEX(DOAN_CONG_SUAT!$F$2:$F$122,COLUMN()-3)-INDEX(DOAN_CONG_SUAT!$E$2:$E$122,COLUMN()-3))*(MAX($B18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18,INDEX(DOAN_CONG_SUAT!$D$2:$D$122,COLUMN()-3))-INDEX(DOAN_CONG_SUAT!$C$2:$C$122,COLUMN()-3))/(INDEX(DOAN_CONG_SUAT!$D$2:$D$122,COLUMN()-3)-INDEX(DOAN_CONG_SUAT!$C$2:$C$122,COLUMN()-3))))/2*(MIN($C18,INDEX(DOAN_CONG_SUAT!$D$2:$D$122,COLUMN()-3))-MAX($B18,INDEX(DOAN_CONG_SUAT!$C$2:$C$122,COLUMN()-3))))</f>
        <v>0</v>
      </c>
      <c r="DU18">
        <f t="shared" ca="1" si="0"/>
        <v>0</v>
      </c>
      <c r="DV18">
        <f t="shared" ca="1" si="1"/>
        <v>0</v>
      </c>
    </row>
    <row r="19" spans="1:126">
      <c r="A19" s="5">
        <v>18</v>
      </c>
      <c r="B19" s="13">
        <v>30600</v>
      </c>
      <c r="C19" s="13">
        <v>32400</v>
      </c>
      <c r="D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E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F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G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H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I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J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K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L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M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N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O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P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Q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R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S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T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U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V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W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X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Y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Z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A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B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C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D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E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F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G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H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I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J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K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L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M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N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O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P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Q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R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S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T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U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V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W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X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Y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AZ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A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B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C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D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E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F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G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H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I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J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K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L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M19" s="25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N19" s="2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O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P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Q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R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S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T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U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V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W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X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Y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BZ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A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B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C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D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E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F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G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H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I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J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K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L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M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N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O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P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Q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R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S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T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U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V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W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X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Y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CZ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A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B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C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D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E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F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G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H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I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J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K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L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M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N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O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P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Q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R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S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T19">
        <f ca="1">IF(OR(INDEX(DOAN_CONG_SUAT!$B$2:$B$122,COLUMN()-3)="",INDEX(DOAN_CONG_SUAT!$D$2:$D$122,COLUMN()-3)&lt;=$B19,INDEX(DOAN_CONG_SUAT!$C$2:$C$122,COLUMN()-3)&gt;=$C19,INDEX(DOAN_CONG_SUAT!$D$2:$D$122,COLUMN()-3)=INDEX(DOAN_CONG_SUAT!$C$2:$C$122,COLUMN()-3)),0,((INDEX(DOAN_CONG_SUAT!$E$2:$E$122,COLUMN()-3)+(INDEX(DOAN_CONG_SUAT!$F$2:$F$122,COLUMN()-3)-INDEX(DOAN_CONG_SUAT!$E$2:$E$122,COLUMN()-3))*(MAX($B19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19,INDEX(DOAN_CONG_SUAT!$D$2:$D$122,COLUMN()-3))-INDEX(DOAN_CONG_SUAT!$C$2:$C$122,COLUMN()-3))/(INDEX(DOAN_CONG_SUAT!$D$2:$D$122,COLUMN()-3)-INDEX(DOAN_CONG_SUAT!$C$2:$C$122,COLUMN()-3))))/2*(MIN($C19,INDEX(DOAN_CONG_SUAT!$D$2:$D$122,COLUMN()-3))-MAX($B19,INDEX(DOAN_CONG_SUAT!$C$2:$C$122,COLUMN()-3))))</f>
        <v>0</v>
      </c>
      <c r="DU19">
        <f t="shared" ca="1" si="0"/>
        <v>0</v>
      </c>
      <c r="DV19">
        <f t="shared" ca="1" si="1"/>
        <v>0</v>
      </c>
    </row>
    <row r="20" spans="1:126">
      <c r="A20" s="5">
        <v>19</v>
      </c>
      <c r="B20" s="13">
        <v>32400</v>
      </c>
      <c r="C20" s="13">
        <v>34200</v>
      </c>
      <c r="D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E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F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G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H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I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J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K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L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M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N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O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P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Q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R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S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T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U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V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W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X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Y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Z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A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B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C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D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E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F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G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H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I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J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K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L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M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N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O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P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Q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R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S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T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U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V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W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X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Y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AZ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A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B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C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D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E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F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G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H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I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J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K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L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M20" s="25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N20" s="29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O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P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Q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R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S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T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U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V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W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X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Y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BZ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A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B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C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D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E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F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G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H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I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J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K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L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M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N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O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P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Q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R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S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T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U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V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W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X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Y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CZ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A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B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C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D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E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F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G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H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I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J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K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L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M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N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O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P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Q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R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S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T20">
        <f ca="1">IF(OR(INDEX(DOAN_CONG_SUAT!$B$2:$B$122,COLUMN()-3)="",INDEX(DOAN_CONG_SUAT!$D$2:$D$122,COLUMN()-3)&lt;=$B20,INDEX(DOAN_CONG_SUAT!$C$2:$C$122,COLUMN()-3)&gt;=$C20,INDEX(DOAN_CONG_SUAT!$D$2:$D$122,COLUMN()-3)=INDEX(DOAN_CONG_SUAT!$C$2:$C$122,COLUMN()-3)),0,((INDEX(DOAN_CONG_SUAT!$E$2:$E$122,COLUMN()-3)+(INDEX(DOAN_CONG_SUAT!$F$2:$F$122,COLUMN()-3)-INDEX(DOAN_CONG_SUAT!$E$2:$E$122,COLUMN()-3))*(MAX($B20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20,INDEX(DOAN_CONG_SUAT!$D$2:$D$122,COLUMN()-3))-INDEX(DOAN_CONG_SUAT!$C$2:$C$122,COLUMN()-3))/(INDEX(DOAN_CONG_SUAT!$D$2:$D$122,COLUMN()-3)-INDEX(DOAN_CONG_SUAT!$C$2:$C$122,COLUMN()-3))))/2*(MIN($C20,INDEX(DOAN_CONG_SUAT!$D$2:$D$122,COLUMN()-3))-MAX($B20,INDEX(DOAN_CONG_SUAT!$C$2:$C$122,COLUMN()-3))))</f>
        <v>0</v>
      </c>
      <c r="DU20">
        <f t="shared" ca="1" si="0"/>
        <v>0</v>
      </c>
      <c r="DV20">
        <f t="shared" ca="1" si="1"/>
        <v>0</v>
      </c>
    </row>
    <row r="21" spans="1:126">
      <c r="A21" s="5">
        <v>20</v>
      </c>
      <c r="B21" s="13">
        <v>34200</v>
      </c>
      <c r="C21" s="13">
        <v>36000</v>
      </c>
      <c r="D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E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F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G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H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I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J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K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L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M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N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O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P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Q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R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S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T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U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V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W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X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Y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Z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A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B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C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D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E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F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G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H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I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J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K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L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M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N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O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P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Q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R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S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T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U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V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W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X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Y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AZ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A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B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C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D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E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F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G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H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I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J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K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L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M21" s="25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N21" s="29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O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P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Q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R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S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T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U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V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W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X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Y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BZ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A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B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C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D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E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F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G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H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I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J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K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L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M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N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O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P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Q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R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S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T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U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V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W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X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Y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CZ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A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B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C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D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E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F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G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H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I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J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K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L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M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N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O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P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Q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R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S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T21">
        <f ca="1">IF(OR(INDEX(DOAN_CONG_SUAT!$B$2:$B$122,COLUMN()-3)="",INDEX(DOAN_CONG_SUAT!$D$2:$D$122,COLUMN()-3)&lt;=$B21,INDEX(DOAN_CONG_SUAT!$C$2:$C$122,COLUMN()-3)&gt;=$C21,INDEX(DOAN_CONG_SUAT!$D$2:$D$122,COLUMN()-3)=INDEX(DOAN_CONG_SUAT!$C$2:$C$122,COLUMN()-3)),0,((INDEX(DOAN_CONG_SUAT!$E$2:$E$122,COLUMN()-3)+(INDEX(DOAN_CONG_SUAT!$F$2:$F$122,COLUMN()-3)-INDEX(DOAN_CONG_SUAT!$E$2:$E$122,COLUMN()-3))*(MAX($B21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21,INDEX(DOAN_CONG_SUAT!$D$2:$D$122,COLUMN()-3))-INDEX(DOAN_CONG_SUAT!$C$2:$C$122,COLUMN()-3))/(INDEX(DOAN_CONG_SUAT!$D$2:$D$122,COLUMN()-3)-INDEX(DOAN_CONG_SUAT!$C$2:$C$122,COLUMN()-3))))/2*(MIN($C21,INDEX(DOAN_CONG_SUAT!$D$2:$D$122,COLUMN()-3))-MAX($B21,INDEX(DOAN_CONG_SUAT!$C$2:$C$122,COLUMN()-3))))</f>
        <v>0</v>
      </c>
      <c r="DU21">
        <f t="shared" ca="1" si="0"/>
        <v>0</v>
      </c>
      <c r="DV21">
        <f t="shared" ca="1" si="1"/>
        <v>0</v>
      </c>
    </row>
    <row r="22" spans="1:126">
      <c r="A22" s="5">
        <v>21</v>
      </c>
      <c r="B22" s="13">
        <v>36000</v>
      </c>
      <c r="C22" s="13">
        <v>37800</v>
      </c>
      <c r="D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E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F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G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H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I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J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K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L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M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N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O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P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Q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R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S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T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U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V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W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X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Y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Z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A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B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C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D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E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F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G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H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I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J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K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L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M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N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O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P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Q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R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S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T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U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V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W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X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Y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AZ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A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B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C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D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E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F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G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H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I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J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K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L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M22" s="25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N22" s="29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O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P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Q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R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S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T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U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V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W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X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Y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BZ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A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B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C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D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E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F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G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H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I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J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K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L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M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N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O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P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Q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R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S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T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U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V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W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X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Y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CZ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A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B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C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D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E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F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G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H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I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J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K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L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M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N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O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P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Q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R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S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T22">
        <f ca="1">IF(OR(INDEX(DOAN_CONG_SUAT!$B$2:$B$122,COLUMN()-3)="",INDEX(DOAN_CONG_SUAT!$D$2:$D$122,COLUMN()-3)&lt;=$B22,INDEX(DOAN_CONG_SUAT!$C$2:$C$122,COLUMN()-3)&gt;=$C22,INDEX(DOAN_CONG_SUAT!$D$2:$D$122,COLUMN()-3)=INDEX(DOAN_CONG_SUAT!$C$2:$C$122,COLUMN()-3)),0,((INDEX(DOAN_CONG_SUAT!$E$2:$E$122,COLUMN()-3)+(INDEX(DOAN_CONG_SUAT!$F$2:$F$122,COLUMN()-3)-INDEX(DOAN_CONG_SUAT!$E$2:$E$122,COLUMN()-3))*(MAX($B22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22,INDEX(DOAN_CONG_SUAT!$D$2:$D$122,COLUMN()-3))-INDEX(DOAN_CONG_SUAT!$C$2:$C$122,COLUMN()-3))/(INDEX(DOAN_CONG_SUAT!$D$2:$D$122,COLUMN()-3)-INDEX(DOAN_CONG_SUAT!$C$2:$C$122,COLUMN()-3))))/2*(MIN($C22,INDEX(DOAN_CONG_SUAT!$D$2:$D$122,COLUMN()-3))-MAX($B22,INDEX(DOAN_CONG_SUAT!$C$2:$C$122,COLUMN()-3))))</f>
        <v>0</v>
      </c>
      <c r="DU22">
        <f t="shared" ca="1" si="0"/>
        <v>0</v>
      </c>
      <c r="DV22">
        <f t="shared" ca="1" si="1"/>
        <v>0</v>
      </c>
    </row>
    <row r="23" spans="1:126">
      <c r="A23" s="5">
        <v>22</v>
      </c>
      <c r="B23" s="13">
        <v>37800</v>
      </c>
      <c r="C23" s="13">
        <v>39600</v>
      </c>
      <c r="D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E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F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G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H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I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J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K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L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M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N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O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P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Q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R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S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T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U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V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W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X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Y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Z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A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B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C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D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E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F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G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H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I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J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K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L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M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N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O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P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Q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R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S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T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U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V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W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X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Y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AZ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A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B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C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D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E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F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G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H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I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J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K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L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M23" s="25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N23" s="29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O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P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Q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R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S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T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U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V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W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X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Y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BZ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A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B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C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D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E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F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G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H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I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J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K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L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M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N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O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P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Q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R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S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T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U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V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W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X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Y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CZ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A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B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C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D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E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F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G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H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I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J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K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L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M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N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O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P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Q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R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S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T23">
        <f ca="1">IF(OR(INDEX(DOAN_CONG_SUAT!$B$2:$B$122,COLUMN()-3)="",INDEX(DOAN_CONG_SUAT!$D$2:$D$122,COLUMN()-3)&lt;=$B23,INDEX(DOAN_CONG_SUAT!$C$2:$C$122,COLUMN()-3)&gt;=$C23,INDEX(DOAN_CONG_SUAT!$D$2:$D$122,COLUMN()-3)=INDEX(DOAN_CONG_SUAT!$C$2:$C$122,COLUMN()-3)),0,((INDEX(DOAN_CONG_SUAT!$E$2:$E$122,COLUMN()-3)+(INDEX(DOAN_CONG_SUAT!$F$2:$F$122,COLUMN()-3)-INDEX(DOAN_CONG_SUAT!$E$2:$E$122,COLUMN()-3))*(MAX($B23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23,INDEX(DOAN_CONG_SUAT!$D$2:$D$122,COLUMN()-3))-INDEX(DOAN_CONG_SUAT!$C$2:$C$122,COLUMN()-3))/(INDEX(DOAN_CONG_SUAT!$D$2:$D$122,COLUMN()-3)-INDEX(DOAN_CONG_SUAT!$C$2:$C$122,COLUMN()-3))))/2*(MIN($C23,INDEX(DOAN_CONG_SUAT!$D$2:$D$122,COLUMN()-3))-MAX($B23,INDEX(DOAN_CONG_SUAT!$C$2:$C$122,COLUMN()-3))))</f>
        <v>0</v>
      </c>
      <c r="DU23">
        <f t="shared" ca="1" si="0"/>
        <v>0</v>
      </c>
      <c r="DV23">
        <f t="shared" ca="1" si="1"/>
        <v>0</v>
      </c>
    </row>
    <row r="24" spans="1:126">
      <c r="A24" s="5">
        <v>23</v>
      </c>
      <c r="B24" s="13">
        <v>39600</v>
      </c>
      <c r="C24" s="13">
        <v>41400</v>
      </c>
      <c r="D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E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F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G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H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I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J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K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L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M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N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O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P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Q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R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S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T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U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V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W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X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Y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Z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A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B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C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D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E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F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G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H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I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J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K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L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M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N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O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P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Q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R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S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T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U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V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W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X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Y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AZ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A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B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C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D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E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F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G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H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I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J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K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L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M24" s="25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N24" s="29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O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P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Q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R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S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T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U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V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W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X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Y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BZ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A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B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C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D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E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F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G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H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I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J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K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L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M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N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O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P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Q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R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S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T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U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V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W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X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Y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CZ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A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B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C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D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E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F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G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H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I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J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K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L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M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N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O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P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Q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R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S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T24">
        <f ca="1">IF(OR(INDEX(DOAN_CONG_SUAT!$B$2:$B$122,COLUMN()-3)="",INDEX(DOAN_CONG_SUAT!$D$2:$D$122,COLUMN()-3)&lt;=$B24,INDEX(DOAN_CONG_SUAT!$C$2:$C$122,COLUMN()-3)&gt;=$C24,INDEX(DOAN_CONG_SUAT!$D$2:$D$122,COLUMN()-3)=INDEX(DOAN_CONG_SUAT!$C$2:$C$122,COLUMN()-3)),0,((INDEX(DOAN_CONG_SUAT!$E$2:$E$122,COLUMN()-3)+(INDEX(DOAN_CONG_SUAT!$F$2:$F$122,COLUMN()-3)-INDEX(DOAN_CONG_SUAT!$E$2:$E$122,COLUMN()-3))*(MAX($B24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24,INDEX(DOAN_CONG_SUAT!$D$2:$D$122,COLUMN()-3))-INDEX(DOAN_CONG_SUAT!$C$2:$C$122,COLUMN()-3))/(INDEX(DOAN_CONG_SUAT!$D$2:$D$122,COLUMN()-3)-INDEX(DOAN_CONG_SUAT!$C$2:$C$122,COLUMN()-3))))/2*(MIN($C24,INDEX(DOAN_CONG_SUAT!$D$2:$D$122,COLUMN()-3))-MAX($B24,INDEX(DOAN_CONG_SUAT!$C$2:$C$122,COLUMN()-3))))</f>
        <v>0</v>
      </c>
      <c r="DU24">
        <f t="shared" ca="1" si="0"/>
        <v>0</v>
      </c>
      <c r="DV24">
        <f t="shared" ca="1" si="1"/>
        <v>0</v>
      </c>
    </row>
    <row r="25" spans="1:126">
      <c r="A25" s="5">
        <v>24</v>
      </c>
      <c r="B25" s="13">
        <v>41400</v>
      </c>
      <c r="C25" s="13">
        <v>43200</v>
      </c>
      <c r="D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E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F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G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H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I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J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K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L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M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N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O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P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Q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R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S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T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U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V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W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X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Y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Z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A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B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C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D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E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F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G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H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I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J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K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L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M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N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O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P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Q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R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S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T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U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V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W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X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Y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AZ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A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B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C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D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E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F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G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H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I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J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K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L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M25" s="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N25" s="29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O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P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Q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R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S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T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U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V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W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X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Y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BZ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A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B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C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D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E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F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G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H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I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J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K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L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M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N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O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P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Q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R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S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T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U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V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W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X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Y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CZ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A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B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C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D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E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F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G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H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I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J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K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L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M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N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O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P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Q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R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S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T25">
        <f ca="1">IF(OR(INDEX(DOAN_CONG_SUAT!$B$2:$B$122,COLUMN()-3)="",INDEX(DOAN_CONG_SUAT!$D$2:$D$122,COLUMN()-3)&lt;=$B25,INDEX(DOAN_CONG_SUAT!$C$2:$C$122,COLUMN()-3)&gt;=$C25,INDEX(DOAN_CONG_SUAT!$D$2:$D$122,COLUMN()-3)=INDEX(DOAN_CONG_SUAT!$C$2:$C$122,COLUMN()-3)),0,((INDEX(DOAN_CONG_SUAT!$E$2:$E$122,COLUMN()-3)+(INDEX(DOAN_CONG_SUAT!$F$2:$F$122,COLUMN()-3)-INDEX(DOAN_CONG_SUAT!$E$2:$E$122,COLUMN()-3))*(MAX($B25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25,INDEX(DOAN_CONG_SUAT!$D$2:$D$122,COLUMN()-3))-INDEX(DOAN_CONG_SUAT!$C$2:$C$122,COLUMN()-3))/(INDEX(DOAN_CONG_SUAT!$D$2:$D$122,COLUMN()-3)-INDEX(DOAN_CONG_SUAT!$C$2:$C$122,COLUMN()-3))))/2*(MIN($C25,INDEX(DOAN_CONG_SUAT!$D$2:$D$122,COLUMN()-3))-MAX($B25,INDEX(DOAN_CONG_SUAT!$C$2:$C$122,COLUMN()-3))))</f>
        <v>0</v>
      </c>
      <c r="DU25">
        <f t="shared" ca="1" si="0"/>
        <v>0</v>
      </c>
      <c r="DV25">
        <f t="shared" ca="1" si="1"/>
        <v>0</v>
      </c>
    </row>
    <row r="26" spans="1:126">
      <c r="A26" s="5">
        <v>25</v>
      </c>
      <c r="B26" s="13">
        <v>43200</v>
      </c>
      <c r="C26" s="13">
        <v>45000</v>
      </c>
      <c r="D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E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F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G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H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I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J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K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L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M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N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O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P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Q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R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S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T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U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V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W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X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Y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Z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A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B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C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D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E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F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G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H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I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J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K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L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M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N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O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P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Q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R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S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T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U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V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W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X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Y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AZ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A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B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C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D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E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F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G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H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I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J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K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L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M26" s="25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N26" s="29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O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P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Q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R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S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T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U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V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W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X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Y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BZ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A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B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C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D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E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F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G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H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I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J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K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L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M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N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O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P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Q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R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S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T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U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V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W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X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Y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CZ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A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B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C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D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E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F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G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H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I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J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K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L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M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N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O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P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Q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R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S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T26">
        <f ca="1">IF(OR(INDEX(DOAN_CONG_SUAT!$B$2:$B$122,COLUMN()-3)="",INDEX(DOAN_CONG_SUAT!$D$2:$D$122,COLUMN()-3)&lt;=$B26,INDEX(DOAN_CONG_SUAT!$C$2:$C$122,COLUMN()-3)&gt;=$C26,INDEX(DOAN_CONG_SUAT!$D$2:$D$122,COLUMN()-3)=INDEX(DOAN_CONG_SUAT!$C$2:$C$122,COLUMN()-3)),0,((INDEX(DOAN_CONG_SUAT!$E$2:$E$122,COLUMN()-3)+(INDEX(DOAN_CONG_SUAT!$F$2:$F$122,COLUMN()-3)-INDEX(DOAN_CONG_SUAT!$E$2:$E$122,COLUMN()-3))*(MAX($B26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26,INDEX(DOAN_CONG_SUAT!$D$2:$D$122,COLUMN()-3))-INDEX(DOAN_CONG_SUAT!$C$2:$C$122,COLUMN()-3))/(INDEX(DOAN_CONG_SUAT!$D$2:$D$122,COLUMN()-3)-INDEX(DOAN_CONG_SUAT!$C$2:$C$122,COLUMN()-3))))/2*(MIN($C26,INDEX(DOAN_CONG_SUAT!$D$2:$D$122,COLUMN()-3))-MAX($B26,INDEX(DOAN_CONG_SUAT!$C$2:$C$122,COLUMN()-3))))</f>
        <v>0</v>
      </c>
      <c r="DU26">
        <f t="shared" ca="1" si="0"/>
        <v>0</v>
      </c>
      <c r="DV26">
        <f t="shared" ca="1" si="1"/>
        <v>0</v>
      </c>
    </row>
    <row r="27" spans="1:126">
      <c r="A27" s="5">
        <v>26</v>
      </c>
      <c r="B27" s="13">
        <v>45000</v>
      </c>
      <c r="C27" s="13">
        <v>46800</v>
      </c>
      <c r="D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E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F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G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H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I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J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K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L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M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N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O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P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Q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R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S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T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U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V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W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X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Y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Z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A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B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C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D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E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F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G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H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I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J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K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L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M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N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O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P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Q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R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S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T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U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V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W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X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Y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AZ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A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B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C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D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E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F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G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H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I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J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K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L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M27" s="25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N27" s="29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O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P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Q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R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S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T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U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V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W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X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Y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BZ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A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B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C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D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E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F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G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H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I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J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K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L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M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N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O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P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Q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R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S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T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U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V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W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X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Y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CZ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A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B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C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D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E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F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G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H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I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J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K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L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M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N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O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P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Q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R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S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T27">
        <f ca="1">IF(OR(INDEX(DOAN_CONG_SUAT!$B$2:$B$122,COLUMN()-3)="",INDEX(DOAN_CONG_SUAT!$D$2:$D$122,COLUMN()-3)&lt;=$B27,INDEX(DOAN_CONG_SUAT!$C$2:$C$122,COLUMN()-3)&gt;=$C27,INDEX(DOAN_CONG_SUAT!$D$2:$D$122,COLUMN()-3)=INDEX(DOAN_CONG_SUAT!$C$2:$C$122,COLUMN()-3)),0,((INDEX(DOAN_CONG_SUAT!$E$2:$E$122,COLUMN()-3)+(INDEX(DOAN_CONG_SUAT!$F$2:$F$122,COLUMN()-3)-INDEX(DOAN_CONG_SUAT!$E$2:$E$122,COLUMN()-3))*(MAX($B27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27,INDEX(DOAN_CONG_SUAT!$D$2:$D$122,COLUMN()-3))-INDEX(DOAN_CONG_SUAT!$C$2:$C$122,COLUMN()-3))/(INDEX(DOAN_CONG_SUAT!$D$2:$D$122,COLUMN()-3)-INDEX(DOAN_CONG_SUAT!$C$2:$C$122,COLUMN()-3))))/2*(MIN($C27,INDEX(DOAN_CONG_SUAT!$D$2:$D$122,COLUMN()-3))-MAX($B27,INDEX(DOAN_CONG_SUAT!$C$2:$C$122,COLUMN()-3))))</f>
        <v>0</v>
      </c>
      <c r="DU27">
        <f t="shared" ca="1" si="0"/>
        <v>0</v>
      </c>
      <c r="DV27">
        <f t="shared" ca="1" si="1"/>
        <v>0</v>
      </c>
    </row>
    <row r="28" spans="1:126">
      <c r="A28" s="5">
        <v>27</v>
      </c>
      <c r="B28" s="13">
        <v>46800</v>
      </c>
      <c r="C28" s="13">
        <v>48600</v>
      </c>
      <c r="D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E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F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G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H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I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J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K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L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M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N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O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P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Q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R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S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T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U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V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W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X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Y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Z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A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B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C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D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E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F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G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H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I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J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K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L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M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N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O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P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Q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R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S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T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U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V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W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X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Y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AZ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A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B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C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D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E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F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G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H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I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J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K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L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M28" s="25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N28" s="29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O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P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Q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R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S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T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U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V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W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X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Y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BZ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A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B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C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D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E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F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G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H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I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J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K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L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M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N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O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P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Q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R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S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T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U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V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W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X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Y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CZ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A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B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C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D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E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F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G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H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I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J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K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L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M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N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O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P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Q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R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S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T28">
        <f ca="1">IF(OR(INDEX(DOAN_CONG_SUAT!$B$2:$B$122,COLUMN()-3)="",INDEX(DOAN_CONG_SUAT!$D$2:$D$122,COLUMN()-3)&lt;=$B28,INDEX(DOAN_CONG_SUAT!$C$2:$C$122,COLUMN()-3)&gt;=$C28,INDEX(DOAN_CONG_SUAT!$D$2:$D$122,COLUMN()-3)=INDEX(DOAN_CONG_SUAT!$C$2:$C$122,COLUMN()-3)),0,((INDEX(DOAN_CONG_SUAT!$E$2:$E$122,COLUMN()-3)+(INDEX(DOAN_CONG_SUAT!$F$2:$F$122,COLUMN()-3)-INDEX(DOAN_CONG_SUAT!$E$2:$E$122,COLUMN()-3))*(MAX($B28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28,INDEX(DOAN_CONG_SUAT!$D$2:$D$122,COLUMN()-3))-INDEX(DOAN_CONG_SUAT!$C$2:$C$122,COLUMN()-3))/(INDEX(DOAN_CONG_SUAT!$D$2:$D$122,COLUMN()-3)-INDEX(DOAN_CONG_SUAT!$C$2:$C$122,COLUMN()-3))))/2*(MIN($C28,INDEX(DOAN_CONG_SUAT!$D$2:$D$122,COLUMN()-3))-MAX($B28,INDEX(DOAN_CONG_SUAT!$C$2:$C$122,COLUMN()-3))))</f>
        <v>0</v>
      </c>
      <c r="DU28">
        <f t="shared" ca="1" si="0"/>
        <v>0</v>
      </c>
      <c r="DV28">
        <f t="shared" ca="1" si="1"/>
        <v>0</v>
      </c>
    </row>
    <row r="29" spans="1:126">
      <c r="A29" s="5">
        <v>28</v>
      </c>
      <c r="B29" s="13">
        <v>48600</v>
      </c>
      <c r="C29" s="13">
        <v>50400</v>
      </c>
      <c r="D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E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F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G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H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I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J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K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L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M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N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O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P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Q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R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S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T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U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V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W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X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Y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Z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A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B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C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D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E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F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G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H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I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J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K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L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M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N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O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P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Q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R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S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T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U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V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W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X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Y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AZ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A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B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C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D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E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F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G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H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I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J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K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L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M29" s="25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N29" s="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O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P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Q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R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S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T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U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V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W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X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Y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BZ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A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B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C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D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E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F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G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H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I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J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K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L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M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N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O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P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Q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R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S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T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U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V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W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X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Y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CZ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A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B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C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D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E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F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G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H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I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J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K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L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M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N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O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P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Q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R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S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T29">
        <f ca="1">IF(OR(INDEX(DOAN_CONG_SUAT!$B$2:$B$122,COLUMN()-3)="",INDEX(DOAN_CONG_SUAT!$D$2:$D$122,COLUMN()-3)&lt;=$B29,INDEX(DOAN_CONG_SUAT!$C$2:$C$122,COLUMN()-3)&gt;=$C29,INDEX(DOAN_CONG_SUAT!$D$2:$D$122,COLUMN()-3)=INDEX(DOAN_CONG_SUAT!$C$2:$C$122,COLUMN()-3)),0,((INDEX(DOAN_CONG_SUAT!$E$2:$E$122,COLUMN()-3)+(INDEX(DOAN_CONG_SUAT!$F$2:$F$122,COLUMN()-3)-INDEX(DOAN_CONG_SUAT!$E$2:$E$122,COLUMN()-3))*(MAX($B29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29,INDEX(DOAN_CONG_SUAT!$D$2:$D$122,COLUMN()-3))-INDEX(DOAN_CONG_SUAT!$C$2:$C$122,COLUMN()-3))/(INDEX(DOAN_CONG_SUAT!$D$2:$D$122,COLUMN()-3)-INDEX(DOAN_CONG_SUAT!$C$2:$C$122,COLUMN()-3))))/2*(MIN($C29,INDEX(DOAN_CONG_SUAT!$D$2:$D$122,COLUMN()-3))-MAX($B29,INDEX(DOAN_CONG_SUAT!$C$2:$C$122,COLUMN()-3))))</f>
        <v>0</v>
      </c>
      <c r="DU29">
        <f t="shared" ca="1" si="0"/>
        <v>0</v>
      </c>
      <c r="DV29">
        <f t="shared" ca="1" si="1"/>
        <v>0</v>
      </c>
    </row>
    <row r="30" spans="1:126">
      <c r="A30" s="5">
        <v>29</v>
      </c>
      <c r="B30" s="13">
        <v>50400</v>
      </c>
      <c r="C30" s="13">
        <v>52200</v>
      </c>
      <c r="D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E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F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G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H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I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J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K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L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M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N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O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P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Q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R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S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T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U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V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W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X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Y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Z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A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B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C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D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E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F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G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H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I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J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K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L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M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N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O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P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Q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R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S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T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U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V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W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X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Y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AZ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A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B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C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D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E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F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G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H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I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J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K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L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M30" s="25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N30" s="29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O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P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Q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R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S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T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U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V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W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X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Y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BZ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A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B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C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D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E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F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G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H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I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J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K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L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M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N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O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P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Q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R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S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T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U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V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W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X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Y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CZ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A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B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C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D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E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F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G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H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I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J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K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L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M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N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O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P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Q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R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S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T30">
        <f ca="1">IF(OR(INDEX(DOAN_CONG_SUAT!$B$2:$B$122,COLUMN()-3)="",INDEX(DOAN_CONG_SUAT!$D$2:$D$122,COLUMN()-3)&lt;=$B30,INDEX(DOAN_CONG_SUAT!$C$2:$C$122,COLUMN()-3)&gt;=$C30,INDEX(DOAN_CONG_SUAT!$D$2:$D$122,COLUMN()-3)=INDEX(DOAN_CONG_SUAT!$C$2:$C$122,COLUMN()-3)),0,((INDEX(DOAN_CONG_SUAT!$E$2:$E$122,COLUMN()-3)+(INDEX(DOAN_CONG_SUAT!$F$2:$F$122,COLUMN()-3)-INDEX(DOAN_CONG_SUAT!$E$2:$E$122,COLUMN()-3))*(MAX($B30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30,INDEX(DOAN_CONG_SUAT!$D$2:$D$122,COLUMN()-3))-INDEX(DOAN_CONG_SUAT!$C$2:$C$122,COLUMN()-3))/(INDEX(DOAN_CONG_SUAT!$D$2:$D$122,COLUMN()-3)-INDEX(DOAN_CONG_SUAT!$C$2:$C$122,COLUMN()-3))))/2*(MIN($C30,INDEX(DOAN_CONG_SUAT!$D$2:$D$122,COLUMN()-3))-MAX($B30,INDEX(DOAN_CONG_SUAT!$C$2:$C$122,COLUMN()-3))))</f>
        <v>0</v>
      </c>
      <c r="DU30">
        <f t="shared" ca="1" si="0"/>
        <v>0</v>
      </c>
      <c r="DV30">
        <f t="shared" ca="1" si="1"/>
        <v>0</v>
      </c>
    </row>
    <row r="31" spans="1:126">
      <c r="A31" s="5">
        <v>30</v>
      </c>
      <c r="B31" s="13">
        <v>52200</v>
      </c>
      <c r="C31" s="13">
        <v>54000</v>
      </c>
      <c r="D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E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F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G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H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I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J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K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L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M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N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O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P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Q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R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S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T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U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V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W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X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Y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Z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A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B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C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D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E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F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G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H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I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J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K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L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M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N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O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P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Q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R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S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T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U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V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W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X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Y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AZ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A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B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C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D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E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F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G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H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I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J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K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L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M31" s="25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N31" s="29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O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P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Q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R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S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T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U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V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W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X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Y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BZ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A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B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C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D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E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F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G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H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I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J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K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L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M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N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O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P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Q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R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S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T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U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V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W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X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Y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CZ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A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B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C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D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E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F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G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H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I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J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K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L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M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N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O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P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Q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R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S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T31">
        <f ca="1">IF(OR(INDEX(DOAN_CONG_SUAT!$B$2:$B$122,COLUMN()-3)="",INDEX(DOAN_CONG_SUAT!$D$2:$D$122,COLUMN()-3)&lt;=$B31,INDEX(DOAN_CONG_SUAT!$C$2:$C$122,COLUMN()-3)&gt;=$C31,INDEX(DOAN_CONG_SUAT!$D$2:$D$122,COLUMN()-3)=INDEX(DOAN_CONG_SUAT!$C$2:$C$122,COLUMN()-3)),0,((INDEX(DOAN_CONG_SUAT!$E$2:$E$122,COLUMN()-3)+(INDEX(DOAN_CONG_SUAT!$F$2:$F$122,COLUMN()-3)-INDEX(DOAN_CONG_SUAT!$E$2:$E$122,COLUMN()-3))*(MAX($B31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31,INDEX(DOAN_CONG_SUAT!$D$2:$D$122,COLUMN()-3))-INDEX(DOAN_CONG_SUAT!$C$2:$C$122,COLUMN()-3))/(INDEX(DOAN_CONG_SUAT!$D$2:$D$122,COLUMN()-3)-INDEX(DOAN_CONG_SUAT!$C$2:$C$122,COLUMN()-3))))/2*(MIN($C31,INDEX(DOAN_CONG_SUAT!$D$2:$D$122,COLUMN()-3))-MAX($B31,INDEX(DOAN_CONG_SUAT!$C$2:$C$122,COLUMN()-3))))</f>
        <v>0</v>
      </c>
      <c r="DU31">
        <f t="shared" ca="1" si="0"/>
        <v>0</v>
      </c>
      <c r="DV31">
        <f t="shared" ca="1" si="1"/>
        <v>0</v>
      </c>
    </row>
    <row r="32" spans="1:126">
      <c r="A32" s="5">
        <v>31</v>
      </c>
      <c r="B32" s="13">
        <v>54000</v>
      </c>
      <c r="C32" s="13">
        <v>55800</v>
      </c>
      <c r="D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E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F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G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H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I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J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K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L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M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N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O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P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Q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R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S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T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U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V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W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X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Y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Z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A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B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C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D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E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F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G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H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I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J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K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L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M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N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O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P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Q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R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S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T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U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V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W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X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Y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AZ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A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B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C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D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E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F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G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H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I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J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K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L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M32" s="25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N32" s="29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O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P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Q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R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S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T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U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V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W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X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Y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BZ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A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B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C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D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E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F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G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H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I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J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K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L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M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N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O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P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Q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R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S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T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U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V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W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X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Y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CZ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A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B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C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D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E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F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G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H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I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J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K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L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M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N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O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P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Q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R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S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T32">
        <f ca="1">IF(OR(INDEX(DOAN_CONG_SUAT!$B$2:$B$122,COLUMN()-3)="",INDEX(DOAN_CONG_SUAT!$D$2:$D$122,COLUMN()-3)&lt;=$B32,INDEX(DOAN_CONG_SUAT!$C$2:$C$122,COLUMN()-3)&gt;=$C32,INDEX(DOAN_CONG_SUAT!$D$2:$D$122,COLUMN()-3)=INDEX(DOAN_CONG_SUAT!$C$2:$C$122,COLUMN()-3)),0,((INDEX(DOAN_CONG_SUAT!$E$2:$E$122,COLUMN()-3)+(INDEX(DOAN_CONG_SUAT!$F$2:$F$122,COLUMN()-3)-INDEX(DOAN_CONG_SUAT!$E$2:$E$122,COLUMN()-3))*(MAX($B32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32,INDEX(DOAN_CONG_SUAT!$D$2:$D$122,COLUMN()-3))-INDEX(DOAN_CONG_SUAT!$C$2:$C$122,COLUMN()-3))/(INDEX(DOAN_CONG_SUAT!$D$2:$D$122,COLUMN()-3)-INDEX(DOAN_CONG_SUAT!$C$2:$C$122,COLUMN()-3))))/2*(MIN($C32,INDEX(DOAN_CONG_SUAT!$D$2:$D$122,COLUMN()-3))-MAX($B32,INDEX(DOAN_CONG_SUAT!$C$2:$C$122,COLUMN()-3))))</f>
        <v>0</v>
      </c>
      <c r="DU32">
        <f t="shared" ca="1" si="0"/>
        <v>0</v>
      </c>
      <c r="DV32">
        <f t="shared" ca="1" si="1"/>
        <v>0</v>
      </c>
    </row>
    <row r="33" spans="1:126">
      <c r="A33" s="5">
        <v>32</v>
      </c>
      <c r="B33" s="13">
        <v>55800</v>
      </c>
      <c r="C33" s="13">
        <v>57600</v>
      </c>
      <c r="D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E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F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G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H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I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J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K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L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M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N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O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P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Q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R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S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T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U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V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W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X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Y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Z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A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B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C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D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E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F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G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H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I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J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K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L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M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N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O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P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Q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R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S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T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U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V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W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X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Y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AZ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A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B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C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D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E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F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G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H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I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J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K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L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M33" s="25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N33" s="29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O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P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Q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R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S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T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U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V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W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X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Y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BZ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A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B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C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D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E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F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G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H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I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J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K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L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M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N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O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P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Q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R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S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T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U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V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W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X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Y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CZ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A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B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C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D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E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F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G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H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I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J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K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L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M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N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O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P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Q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R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S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T33">
        <f ca="1">IF(OR(INDEX(DOAN_CONG_SUAT!$B$2:$B$122,COLUMN()-3)="",INDEX(DOAN_CONG_SUAT!$D$2:$D$122,COLUMN()-3)&lt;=$B33,INDEX(DOAN_CONG_SUAT!$C$2:$C$122,COLUMN()-3)&gt;=$C33,INDEX(DOAN_CONG_SUAT!$D$2:$D$122,COLUMN()-3)=INDEX(DOAN_CONG_SUAT!$C$2:$C$122,COLUMN()-3)),0,((INDEX(DOAN_CONG_SUAT!$E$2:$E$122,COLUMN()-3)+(INDEX(DOAN_CONG_SUAT!$F$2:$F$122,COLUMN()-3)-INDEX(DOAN_CONG_SUAT!$E$2:$E$122,COLUMN()-3))*(MAX($B33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33,INDEX(DOAN_CONG_SUAT!$D$2:$D$122,COLUMN()-3))-INDEX(DOAN_CONG_SUAT!$C$2:$C$122,COLUMN()-3))/(INDEX(DOAN_CONG_SUAT!$D$2:$D$122,COLUMN()-3)-INDEX(DOAN_CONG_SUAT!$C$2:$C$122,COLUMN()-3))))/2*(MIN($C33,INDEX(DOAN_CONG_SUAT!$D$2:$D$122,COLUMN()-3))-MAX($B33,INDEX(DOAN_CONG_SUAT!$C$2:$C$122,COLUMN()-3))))</f>
        <v>0</v>
      </c>
      <c r="DU33">
        <f t="shared" ca="1" si="0"/>
        <v>0</v>
      </c>
      <c r="DV33">
        <f t="shared" ca="1" si="1"/>
        <v>0</v>
      </c>
    </row>
    <row r="34" spans="1:126">
      <c r="A34" s="5">
        <v>33</v>
      </c>
      <c r="B34" s="13">
        <v>57600</v>
      </c>
      <c r="C34" s="13">
        <v>59400</v>
      </c>
      <c r="D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E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F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G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H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I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J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K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L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M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N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O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P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Q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R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S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T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U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V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W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X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Y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Z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A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B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C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D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E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F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G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H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I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J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K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L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M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N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O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P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Q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R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S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T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U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V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W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X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Y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AZ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A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B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C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D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E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F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G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H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I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J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K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L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M34" s="25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N34" s="29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O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P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Q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R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S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T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U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V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W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X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Y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BZ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A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B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C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D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E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F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G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H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I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J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K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L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M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N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O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P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Q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R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S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T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U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V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W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X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Y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CZ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A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B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C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D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E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F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G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H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I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J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K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L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M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N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O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P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Q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R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S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T34">
        <f ca="1">IF(OR(INDEX(DOAN_CONG_SUAT!$B$2:$B$122,COLUMN()-3)="",INDEX(DOAN_CONG_SUAT!$D$2:$D$122,COLUMN()-3)&lt;=$B34,INDEX(DOAN_CONG_SUAT!$C$2:$C$122,COLUMN()-3)&gt;=$C34,INDEX(DOAN_CONG_SUAT!$D$2:$D$122,COLUMN()-3)=INDEX(DOAN_CONG_SUAT!$C$2:$C$122,COLUMN()-3)),0,((INDEX(DOAN_CONG_SUAT!$E$2:$E$122,COLUMN()-3)+(INDEX(DOAN_CONG_SUAT!$F$2:$F$122,COLUMN()-3)-INDEX(DOAN_CONG_SUAT!$E$2:$E$122,COLUMN()-3))*(MAX($B34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34,INDEX(DOAN_CONG_SUAT!$D$2:$D$122,COLUMN()-3))-INDEX(DOAN_CONG_SUAT!$C$2:$C$122,COLUMN()-3))/(INDEX(DOAN_CONG_SUAT!$D$2:$D$122,COLUMN()-3)-INDEX(DOAN_CONG_SUAT!$C$2:$C$122,COLUMN()-3))))/2*(MIN($C34,INDEX(DOAN_CONG_SUAT!$D$2:$D$122,COLUMN()-3))-MAX($B34,INDEX(DOAN_CONG_SUAT!$C$2:$C$122,COLUMN()-3))))</f>
        <v>0</v>
      </c>
      <c r="DU34">
        <f t="shared" ca="1" si="0"/>
        <v>0</v>
      </c>
      <c r="DV34">
        <f t="shared" ca="1" si="1"/>
        <v>0</v>
      </c>
    </row>
    <row r="35" spans="1:126">
      <c r="A35" s="5">
        <v>34</v>
      </c>
      <c r="B35" s="13">
        <v>59400</v>
      </c>
      <c r="C35" s="13">
        <v>61200</v>
      </c>
      <c r="D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E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F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G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H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I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J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K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L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M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N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O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P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Q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R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S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T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U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V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W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X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Y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Z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A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B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C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D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E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F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G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H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I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J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K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L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M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N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O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P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Q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R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S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T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U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V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W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X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Y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AZ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A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B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C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D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E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F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G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H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I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J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K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L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M35" s="2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N35" s="29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O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P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Q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R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S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T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U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V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W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X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Y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BZ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A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B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C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D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E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F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G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H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I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J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K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L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M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N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O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P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Q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R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S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T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U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V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W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X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Y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CZ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A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B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C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D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E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F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G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H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I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J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K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L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M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N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O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P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Q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R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S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T35">
        <f ca="1">IF(OR(INDEX(DOAN_CONG_SUAT!$B$2:$B$122,COLUMN()-3)="",INDEX(DOAN_CONG_SUAT!$D$2:$D$122,COLUMN()-3)&lt;=$B35,INDEX(DOAN_CONG_SUAT!$C$2:$C$122,COLUMN()-3)&gt;=$C35,INDEX(DOAN_CONG_SUAT!$D$2:$D$122,COLUMN()-3)=INDEX(DOAN_CONG_SUAT!$C$2:$C$122,COLUMN()-3)),0,((INDEX(DOAN_CONG_SUAT!$E$2:$E$122,COLUMN()-3)+(INDEX(DOAN_CONG_SUAT!$F$2:$F$122,COLUMN()-3)-INDEX(DOAN_CONG_SUAT!$E$2:$E$122,COLUMN()-3))*(MAX($B35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35,INDEX(DOAN_CONG_SUAT!$D$2:$D$122,COLUMN()-3))-INDEX(DOAN_CONG_SUAT!$C$2:$C$122,COLUMN()-3))/(INDEX(DOAN_CONG_SUAT!$D$2:$D$122,COLUMN()-3)-INDEX(DOAN_CONG_SUAT!$C$2:$C$122,COLUMN()-3))))/2*(MIN($C35,INDEX(DOAN_CONG_SUAT!$D$2:$D$122,COLUMN()-3))-MAX($B35,INDEX(DOAN_CONG_SUAT!$C$2:$C$122,COLUMN()-3))))</f>
        <v>0</v>
      </c>
      <c r="DU35">
        <f t="shared" ca="1" si="0"/>
        <v>0</v>
      </c>
      <c r="DV35">
        <f t="shared" ca="1" si="1"/>
        <v>0</v>
      </c>
    </row>
    <row r="36" spans="1:126">
      <c r="A36" s="5">
        <v>35</v>
      </c>
      <c r="B36" s="13">
        <v>61200</v>
      </c>
      <c r="C36" s="13">
        <v>63000</v>
      </c>
      <c r="D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E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F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G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H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I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J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K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L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M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N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O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P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Q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R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S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T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U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V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W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X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Y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Z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A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B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C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D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E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F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G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H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I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J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K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L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M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N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O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P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Q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R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S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T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U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V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W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X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Y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AZ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A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B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C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D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E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F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G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H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I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J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K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L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M36" s="25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N36" s="29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O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P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Q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R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S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T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U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V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W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X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Y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BZ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A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B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C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D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E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F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G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H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I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J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K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L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M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N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O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P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Q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R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S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T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U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V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W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X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Y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CZ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A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B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C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D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E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F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G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H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I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J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K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L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M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N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O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P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Q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R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S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T36">
        <f ca="1">IF(OR(INDEX(DOAN_CONG_SUAT!$B$2:$B$122,COLUMN()-3)="",INDEX(DOAN_CONG_SUAT!$D$2:$D$122,COLUMN()-3)&lt;=$B36,INDEX(DOAN_CONG_SUAT!$C$2:$C$122,COLUMN()-3)&gt;=$C36,INDEX(DOAN_CONG_SUAT!$D$2:$D$122,COLUMN()-3)=INDEX(DOAN_CONG_SUAT!$C$2:$C$122,COLUMN()-3)),0,((INDEX(DOAN_CONG_SUAT!$E$2:$E$122,COLUMN()-3)+(INDEX(DOAN_CONG_SUAT!$F$2:$F$122,COLUMN()-3)-INDEX(DOAN_CONG_SUAT!$E$2:$E$122,COLUMN()-3))*(MAX($B36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36,INDEX(DOAN_CONG_SUAT!$D$2:$D$122,COLUMN()-3))-INDEX(DOAN_CONG_SUAT!$C$2:$C$122,COLUMN()-3))/(INDEX(DOAN_CONG_SUAT!$D$2:$D$122,COLUMN()-3)-INDEX(DOAN_CONG_SUAT!$C$2:$C$122,COLUMN()-3))))/2*(MIN($C36,INDEX(DOAN_CONG_SUAT!$D$2:$D$122,COLUMN()-3))-MAX($B36,INDEX(DOAN_CONG_SUAT!$C$2:$C$122,COLUMN()-3))))</f>
        <v>0</v>
      </c>
      <c r="DU36">
        <f t="shared" ca="1" si="0"/>
        <v>0</v>
      </c>
      <c r="DV36">
        <f t="shared" ca="1" si="1"/>
        <v>0</v>
      </c>
    </row>
    <row r="37" spans="1:126">
      <c r="A37" s="5">
        <v>36</v>
      </c>
      <c r="B37" s="13">
        <v>63000</v>
      </c>
      <c r="C37" s="13">
        <v>64800</v>
      </c>
      <c r="D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E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F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G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H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I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J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K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L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M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N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O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P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Q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R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S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T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U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V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W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X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Y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Z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A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B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C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D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E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F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G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H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I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J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K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L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M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N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O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P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Q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R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S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T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U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V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W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X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Y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AZ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A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B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C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D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E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F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G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H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I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J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K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L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M37" s="25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N37" s="29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O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P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Q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R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S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T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U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V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W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X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Y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BZ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A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B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C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D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E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F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G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H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I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J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K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L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M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N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O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P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Q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R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S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T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U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V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W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X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Y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CZ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A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B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C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D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E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F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G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H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I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J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K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L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M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N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O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P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Q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R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S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T37">
        <f ca="1">IF(OR(INDEX(DOAN_CONG_SUAT!$B$2:$B$122,COLUMN()-3)="",INDEX(DOAN_CONG_SUAT!$D$2:$D$122,COLUMN()-3)&lt;=$B37,INDEX(DOAN_CONG_SUAT!$C$2:$C$122,COLUMN()-3)&gt;=$C37,INDEX(DOAN_CONG_SUAT!$D$2:$D$122,COLUMN()-3)=INDEX(DOAN_CONG_SUAT!$C$2:$C$122,COLUMN()-3)),0,((INDEX(DOAN_CONG_SUAT!$E$2:$E$122,COLUMN()-3)+(INDEX(DOAN_CONG_SUAT!$F$2:$F$122,COLUMN()-3)-INDEX(DOAN_CONG_SUAT!$E$2:$E$122,COLUMN()-3))*(MAX($B37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37,INDEX(DOAN_CONG_SUAT!$D$2:$D$122,COLUMN()-3))-INDEX(DOAN_CONG_SUAT!$C$2:$C$122,COLUMN()-3))/(INDEX(DOAN_CONG_SUAT!$D$2:$D$122,COLUMN()-3)-INDEX(DOAN_CONG_SUAT!$C$2:$C$122,COLUMN()-3))))/2*(MIN($C37,INDEX(DOAN_CONG_SUAT!$D$2:$D$122,COLUMN()-3))-MAX($B37,INDEX(DOAN_CONG_SUAT!$C$2:$C$122,COLUMN()-3))))</f>
        <v>0</v>
      </c>
      <c r="DU37">
        <f t="shared" ca="1" si="0"/>
        <v>0</v>
      </c>
      <c r="DV37">
        <f t="shared" ca="1" si="1"/>
        <v>0</v>
      </c>
    </row>
    <row r="38" spans="1:126">
      <c r="A38" s="5">
        <v>37</v>
      </c>
      <c r="B38" s="13">
        <v>64800</v>
      </c>
      <c r="C38" s="13">
        <v>66600</v>
      </c>
      <c r="D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E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F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G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H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I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J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K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L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M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N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O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P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Q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R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S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T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U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V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W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X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Y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Z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A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B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C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D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E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F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G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H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I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J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K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L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M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N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O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P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Q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R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S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T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U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V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W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X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Y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AZ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A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B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C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D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E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F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G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H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I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J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K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L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M38" s="25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N38" s="29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O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P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Q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R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S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T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U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V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W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X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Y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BZ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A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B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C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D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E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F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G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H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I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J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K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L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M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N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O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P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Q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R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S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T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U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V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W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X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Y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CZ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A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B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C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D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E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F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G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H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I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J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K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L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M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N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O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P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Q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R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S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T38">
        <f ca="1">IF(OR(INDEX(DOAN_CONG_SUAT!$B$2:$B$122,COLUMN()-3)="",INDEX(DOAN_CONG_SUAT!$D$2:$D$122,COLUMN()-3)&lt;=$B38,INDEX(DOAN_CONG_SUAT!$C$2:$C$122,COLUMN()-3)&gt;=$C38,INDEX(DOAN_CONG_SUAT!$D$2:$D$122,COLUMN()-3)=INDEX(DOAN_CONG_SUAT!$C$2:$C$122,COLUMN()-3)),0,((INDEX(DOAN_CONG_SUAT!$E$2:$E$122,COLUMN()-3)+(INDEX(DOAN_CONG_SUAT!$F$2:$F$122,COLUMN()-3)-INDEX(DOAN_CONG_SUAT!$E$2:$E$122,COLUMN()-3))*(MAX($B38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38,INDEX(DOAN_CONG_SUAT!$D$2:$D$122,COLUMN()-3))-INDEX(DOAN_CONG_SUAT!$C$2:$C$122,COLUMN()-3))/(INDEX(DOAN_CONG_SUAT!$D$2:$D$122,COLUMN()-3)-INDEX(DOAN_CONG_SUAT!$C$2:$C$122,COLUMN()-3))))/2*(MIN($C38,INDEX(DOAN_CONG_SUAT!$D$2:$D$122,COLUMN()-3))-MAX($B38,INDEX(DOAN_CONG_SUAT!$C$2:$C$122,COLUMN()-3))))</f>
        <v>0</v>
      </c>
      <c r="DU38">
        <f t="shared" ca="1" si="0"/>
        <v>0</v>
      </c>
      <c r="DV38">
        <f t="shared" ca="1" si="1"/>
        <v>0</v>
      </c>
    </row>
    <row r="39" spans="1:126">
      <c r="A39" s="5">
        <v>38</v>
      </c>
      <c r="B39" s="13">
        <v>66600</v>
      </c>
      <c r="C39" s="13">
        <v>68400</v>
      </c>
      <c r="D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E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F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G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H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I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J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K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L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M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N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O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P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Q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R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S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T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U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V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W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X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Y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Z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A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B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C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D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E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F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G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H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I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J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K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L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M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N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O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P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Q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R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S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T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U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V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W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X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Y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AZ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A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B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C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D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E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F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G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H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I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J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K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L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M39" s="25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N39" s="2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O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P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Q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R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S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T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U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V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W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X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Y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BZ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A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B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C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D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E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F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G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H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I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J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K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L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M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N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O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P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Q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R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S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T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U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V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W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X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Y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CZ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A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B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C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D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E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F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G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H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I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J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K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L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M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N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O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P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Q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R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S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T39">
        <f ca="1">IF(OR(INDEX(DOAN_CONG_SUAT!$B$2:$B$122,COLUMN()-3)="",INDEX(DOAN_CONG_SUAT!$D$2:$D$122,COLUMN()-3)&lt;=$B39,INDEX(DOAN_CONG_SUAT!$C$2:$C$122,COLUMN()-3)&gt;=$C39,INDEX(DOAN_CONG_SUAT!$D$2:$D$122,COLUMN()-3)=INDEX(DOAN_CONG_SUAT!$C$2:$C$122,COLUMN()-3)),0,((INDEX(DOAN_CONG_SUAT!$E$2:$E$122,COLUMN()-3)+(INDEX(DOAN_CONG_SUAT!$F$2:$F$122,COLUMN()-3)-INDEX(DOAN_CONG_SUAT!$E$2:$E$122,COLUMN()-3))*(MAX($B39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39,INDEX(DOAN_CONG_SUAT!$D$2:$D$122,COLUMN()-3))-INDEX(DOAN_CONG_SUAT!$C$2:$C$122,COLUMN()-3))/(INDEX(DOAN_CONG_SUAT!$D$2:$D$122,COLUMN()-3)-INDEX(DOAN_CONG_SUAT!$C$2:$C$122,COLUMN()-3))))/2*(MIN($C39,INDEX(DOAN_CONG_SUAT!$D$2:$D$122,COLUMN()-3))-MAX($B39,INDEX(DOAN_CONG_SUAT!$C$2:$C$122,COLUMN()-3))))</f>
        <v>0</v>
      </c>
      <c r="DU39">
        <f t="shared" ca="1" si="0"/>
        <v>0</v>
      </c>
      <c r="DV39">
        <f t="shared" ca="1" si="1"/>
        <v>0</v>
      </c>
    </row>
    <row r="40" spans="1:126">
      <c r="A40" s="5">
        <v>39</v>
      </c>
      <c r="B40" s="13">
        <v>68400</v>
      </c>
      <c r="C40" s="13">
        <v>70200</v>
      </c>
      <c r="D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E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F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G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H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I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J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K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L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M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N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O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P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Q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R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S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T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U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V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W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X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Y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Z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A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B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C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D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E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F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G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H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I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J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K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L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M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N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O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P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Q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R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S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T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U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V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W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X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Y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AZ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A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B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C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D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E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F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G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H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I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J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K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L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M40" s="25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N40" s="29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O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P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Q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R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S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T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U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V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W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X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Y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BZ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A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B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C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D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E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F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G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H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I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J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K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L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M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N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O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P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Q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R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S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T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U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V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W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X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Y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CZ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A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B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C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D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E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F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G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H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I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J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K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L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M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N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O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P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Q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R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S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T40">
        <f ca="1">IF(OR(INDEX(DOAN_CONG_SUAT!$B$2:$B$122,COLUMN()-3)="",INDEX(DOAN_CONG_SUAT!$D$2:$D$122,COLUMN()-3)&lt;=$B40,INDEX(DOAN_CONG_SUAT!$C$2:$C$122,COLUMN()-3)&gt;=$C40,INDEX(DOAN_CONG_SUAT!$D$2:$D$122,COLUMN()-3)=INDEX(DOAN_CONG_SUAT!$C$2:$C$122,COLUMN()-3)),0,((INDEX(DOAN_CONG_SUAT!$E$2:$E$122,COLUMN()-3)+(INDEX(DOAN_CONG_SUAT!$F$2:$F$122,COLUMN()-3)-INDEX(DOAN_CONG_SUAT!$E$2:$E$122,COLUMN()-3))*(MAX($B40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40,INDEX(DOAN_CONG_SUAT!$D$2:$D$122,COLUMN()-3))-INDEX(DOAN_CONG_SUAT!$C$2:$C$122,COLUMN()-3))/(INDEX(DOAN_CONG_SUAT!$D$2:$D$122,COLUMN()-3)-INDEX(DOAN_CONG_SUAT!$C$2:$C$122,COLUMN()-3))))/2*(MIN($C40,INDEX(DOAN_CONG_SUAT!$D$2:$D$122,COLUMN()-3))-MAX($B40,INDEX(DOAN_CONG_SUAT!$C$2:$C$122,COLUMN()-3))))</f>
        <v>0</v>
      </c>
      <c r="DU40">
        <f t="shared" ca="1" si="0"/>
        <v>0</v>
      </c>
      <c r="DV40">
        <f t="shared" ca="1" si="1"/>
        <v>0</v>
      </c>
    </row>
    <row r="41" spans="1:126">
      <c r="A41" s="5">
        <v>40</v>
      </c>
      <c r="B41" s="13">
        <v>70200</v>
      </c>
      <c r="C41" s="13">
        <v>72000</v>
      </c>
      <c r="D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E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F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G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H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I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J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K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L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M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N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O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P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Q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R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S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T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U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V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W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X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Y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Z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A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B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C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D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E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F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G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H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I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J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K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L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M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N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O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P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Q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R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S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T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U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V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W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X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Y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AZ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A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B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C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D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E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F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G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H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I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J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K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L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M41" s="25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N41" s="29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O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P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Q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R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S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T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U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V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W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X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Y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BZ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A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B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C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D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E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F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G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H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I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J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K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L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M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N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O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P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Q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R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S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T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U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V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W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X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Y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CZ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A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B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C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D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E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F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G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H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I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J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K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L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M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N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O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P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Q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R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S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T41">
        <f ca="1">IF(OR(INDEX(DOAN_CONG_SUAT!$B$2:$B$122,COLUMN()-3)="",INDEX(DOAN_CONG_SUAT!$D$2:$D$122,COLUMN()-3)&lt;=$B41,INDEX(DOAN_CONG_SUAT!$C$2:$C$122,COLUMN()-3)&gt;=$C41,INDEX(DOAN_CONG_SUAT!$D$2:$D$122,COLUMN()-3)=INDEX(DOAN_CONG_SUAT!$C$2:$C$122,COLUMN()-3)),0,((INDEX(DOAN_CONG_SUAT!$E$2:$E$122,COLUMN()-3)+(INDEX(DOAN_CONG_SUAT!$F$2:$F$122,COLUMN()-3)-INDEX(DOAN_CONG_SUAT!$E$2:$E$122,COLUMN()-3))*(MAX($B41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41,INDEX(DOAN_CONG_SUAT!$D$2:$D$122,COLUMN()-3))-INDEX(DOAN_CONG_SUAT!$C$2:$C$122,COLUMN()-3))/(INDEX(DOAN_CONG_SUAT!$D$2:$D$122,COLUMN()-3)-INDEX(DOAN_CONG_SUAT!$C$2:$C$122,COLUMN()-3))))/2*(MIN($C41,INDEX(DOAN_CONG_SUAT!$D$2:$D$122,COLUMN()-3))-MAX($B41,INDEX(DOAN_CONG_SUAT!$C$2:$C$122,COLUMN()-3))))</f>
        <v>0</v>
      </c>
      <c r="DU41">
        <f t="shared" ca="1" si="0"/>
        <v>0</v>
      </c>
      <c r="DV41">
        <f t="shared" ca="1" si="1"/>
        <v>0</v>
      </c>
    </row>
    <row r="42" spans="1:126">
      <c r="A42" s="5">
        <v>41</v>
      </c>
      <c r="B42" s="13">
        <v>72000</v>
      </c>
      <c r="C42" s="13">
        <v>73800</v>
      </c>
      <c r="D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E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F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G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H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I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J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K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L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M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N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O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P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Q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R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S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T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U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V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W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X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Y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Z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A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B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C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D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E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F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G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H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I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J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K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L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M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N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O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P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Q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R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S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T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U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V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W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X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Y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AZ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A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B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C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D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E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F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G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H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I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J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K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L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M42" s="25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N42" s="29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O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P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Q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R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S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T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U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V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W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X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Y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BZ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A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B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C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D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E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F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G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H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I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J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K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L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M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N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O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P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Q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R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S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T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U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V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W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X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Y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CZ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A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B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C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D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E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F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G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H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I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J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K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L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M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N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O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P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Q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R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S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T42">
        <f ca="1">IF(OR(INDEX(DOAN_CONG_SUAT!$B$2:$B$122,COLUMN()-3)="",INDEX(DOAN_CONG_SUAT!$D$2:$D$122,COLUMN()-3)&lt;=$B42,INDEX(DOAN_CONG_SUAT!$C$2:$C$122,COLUMN()-3)&gt;=$C42,INDEX(DOAN_CONG_SUAT!$D$2:$D$122,COLUMN()-3)=INDEX(DOAN_CONG_SUAT!$C$2:$C$122,COLUMN()-3)),0,((INDEX(DOAN_CONG_SUAT!$E$2:$E$122,COLUMN()-3)+(INDEX(DOAN_CONG_SUAT!$F$2:$F$122,COLUMN()-3)-INDEX(DOAN_CONG_SUAT!$E$2:$E$122,COLUMN()-3))*(MAX($B42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42,INDEX(DOAN_CONG_SUAT!$D$2:$D$122,COLUMN()-3))-INDEX(DOAN_CONG_SUAT!$C$2:$C$122,COLUMN()-3))/(INDEX(DOAN_CONG_SUAT!$D$2:$D$122,COLUMN()-3)-INDEX(DOAN_CONG_SUAT!$C$2:$C$122,COLUMN()-3))))/2*(MIN($C42,INDEX(DOAN_CONG_SUAT!$D$2:$D$122,COLUMN()-3))-MAX($B42,INDEX(DOAN_CONG_SUAT!$C$2:$C$122,COLUMN()-3))))</f>
        <v>0</v>
      </c>
      <c r="DU42">
        <f t="shared" ca="1" si="0"/>
        <v>0</v>
      </c>
      <c r="DV42">
        <f t="shared" ca="1" si="1"/>
        <v>0</v>
      </c>
    </row>
    <row r="43" spans="1:126">
      <c r="A43" s="5">
        <v>42</v>
      </c>
      <c r="B43" s="13">
        <v>73800</v>
      </c>
      <c r="C43" s="13">
        <v>75600</v>
      </c>
      <c r="D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E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F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G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H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I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J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K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L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M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N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O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P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Q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R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S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T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U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V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W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X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Y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Z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A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B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C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D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E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F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G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H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I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J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K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L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M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N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O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P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Q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R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S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T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U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V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W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X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Y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AZ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A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B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C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D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E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F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G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H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I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J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K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L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M43" s="25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N43" s="29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O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P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Q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R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S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T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U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V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W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X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Y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BZ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A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B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C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D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E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F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G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H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I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J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K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L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M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N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O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P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Q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R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S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T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U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V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W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X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Y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CZ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A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B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C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D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E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F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G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H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I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J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K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L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M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N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O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P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Q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R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S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T43">
        <f ca="1">IF(OR(INDEX(DOAN_CONG_SUAT!$B$2:$B$122,COLUMN()-3)="",INDEX(DOAN_CONG_SUAT!$D$2:$D$122,COLUMN()-3)&lt;=$B43,INDEX(DOAN_CONG_SUAT!$C$2:$C$122,COLUMN()-3)&gt;=$C43,INDEX(DOAN_CONG_SUAT!$D$2:$D$122,COLUMN()-3)=INDEX(DOAN_CONG_SUAT!$C$2:$C$122,COLUMN()-3)),0,((INDEX(DOAN_CONG_SUAT!$E$2:$E$122,COLUMN()-3)+(INDEX(DOAN_CONG_SUAT!$F$2:$F$122,COLUMN()-3)-INDEX(DOAN_CONG_SUAT!$E$2:$E$122,COLUMN()-3))*(MAX($B43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43,INDEX(DOAN_CONG_SUAT!$D$2:$D$122,COLUMN()-3))-INDEX(DOAN_CONG_SUAT!$C$2:$C$122,COLUMN()-3))/(INDEX(DOAN_CONG_SUAT!$D$2:$D$122,COLUMN()-3)-INDEX(DOAN_CONG_SUAT!$C$2:$C$122,COLUMN()-3))))/2*(MIN($C43,INDEX(DOAN_CONG_SUAT!$D$2:$D$122,COLUMN()-3))-MAX($B43,INDEX(DOAN_CONG_SUAT!$C$2:$C$122,COLUMN()-3))))</f>
        <v>0</v>
      </c>
      <c r="DU43">
        <f t="shared" ca="1" si="0"/>
        <v>0</v>
      </c>
      <c r="DV43">
        <f t="shared" ca="1" si="1"/>
        <v>0</v>
      </c>
    </row>
    <row r="44" spans="1:126">
      <c r="A44" s="5">
        <v>43</v>
      </c>
      <c r="B44" s="13">
        <v>75600</v>
      </c>
      <c r="C44" s="13">
        <v>77400</v>
      </c>
      <c r="D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E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F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G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H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I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J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K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L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M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N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O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P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Q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R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S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T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U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V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W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X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Y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Z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A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B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C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D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E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F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G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H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I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J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K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L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M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N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O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P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Q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R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S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T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U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V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W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X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Y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AZ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A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B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C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D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E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F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G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H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I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J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K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L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M44" s="25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N44" s="29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O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P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Q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R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S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T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U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V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W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X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Y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BZ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A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B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C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D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E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F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G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H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I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J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K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L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M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N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O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P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Q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R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S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T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U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V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W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X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Y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CZ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A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B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C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D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E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F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G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H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I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J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K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L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M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N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O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P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Q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R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S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T44">
        <f ca="1">IF(OR(INDEX(DOAN_CONG_SUAT!$B$2:$B$122,COLUMN()-3)="",INDEX(DOAN_CONG_SUAT!$D$2:$D$122,COLUMN()-3)&lt;=$B44,INDEX(DOAN_CONG_SUAT!$C$2:$C$122,COLUMN()-3)&gt;=$C44,INDEX(DOAN_CONG_SUAT!$D$2:$D$122,COLUMN()-3)=INDEX(DOAN_CONG_SUAT!$C$2:$C$122,COLUMN()-3)),0,((INDEX(DOAN_CONG_SUAT!$E$2:$E$122,COLUMN()-3)+(INDEX(DOAN_CONG_SUAT!$F$2:$F$122,COLUMN()-3)-INDEX(DOAN_CONG_SUAT!$E$2:$E$122,COLUMN()-3))*(MAX($B44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44,INDEX(DOAN_CONG_SUAT!$D$2:$D$122,COLUMN()-3))-INDEX(DOAN_CONG_SUAT!$C$2:$C$122,COLUMN()-3))/(INDEX(DOAN_CONG_SUAT!$D$2:$D$122,COLUMN()-3)-INDEX(DOAN_CONG_SUAT!$C$2:$C$122,COLUMN()-3))))/2*(MIN($C44,INDEX(DOAN_CONG_SUAT!$D$2:$D$122,COLUMN()-3))-MAX($B44,INDEX(DOAN_CONG_SUAT!$C$2:$C$122,COLUMN()-3))))</f>
        <v>0</v>
      </c>
      <c r="DU44">
        <f t="shared" ca="1" si="0"/>
        <v>0</v>
      </c>
      <c r="DV44">
        <f t="shared" ca="1" si="1"/>
        <v>0</v>
      </c>
    </row>
    <row r="45" spans="1:126">
      <c r="A45" s="5">
        <v>44</v>
      </c>
      <c r="B45" s="13">
        <v>77400</v>
      </c>
      <c r="C45" s="13">
        <v>79200</v>
      </c>
      <c r="D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E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F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G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H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I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J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K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L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M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N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O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P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Q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R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S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T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U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V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W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X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Y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Z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A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B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C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D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E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F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G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H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I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J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K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L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M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N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O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P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Q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R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S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T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U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V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W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X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Y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AZ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A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B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C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D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E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F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G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H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I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J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K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L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M45" s="2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N45" s="29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O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P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Q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R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S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T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U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V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W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X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Y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BZ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A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B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C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D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E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F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G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H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I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J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K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L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M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N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O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P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Q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R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S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T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U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V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W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X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Y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CZ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A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B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C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D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E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F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G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H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I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J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K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L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M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N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O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P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Q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R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S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T45">
        <f ca="1">IF(OR(INDEX(DOAN_CONG_SUAT!$B$2:$B$122,COLUMN()-3)="",INDEX(DOAN_CONG_SUAT!$D$2:$D$122,COLUMN()-3)&lt;=$B45,INDEX(DOAN_CONG_SUAT!$C$2:$C$122,COLUMN()-3)&gt;=$C45,INDEX(DOAN_CONG_SUAT!$D$2:$D$122,COLUMN()-3)=INDEX(DOAN_CONG_SUAT!$C$2:$C$122,COLUMN()-3)),0,((INDEX(DOAN_CONG_SUAT!$E$2:$E$122,COLUMN()-3)+(INDEX(DOAN_CONG_SUAT!$F$2:$F$122,COLUMN()-3)-INDEX(DOAN_CONG_SUAT!$E$2:$E$122,COLUMN()-3))*(MAX($B45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45,INDEX(DOAN_CONG_SUAT!$D$2:$D$122,COLUMN()-3))-INDEX(DOAN_CONG_SUAT!$C$2:$C$122,COLUMN()-3))/(INDEX(DOAN_CONG_SUAT!$D$2:$D$122,COLUMN()-3)-INDEX(DOAN_CONG_SUAT!$C$2:$C$122,COLUMN()-3))))/2*(MIN($C45,INDEX(DOAN_CONG_SUAT!$D$2:$D$122,COLUMN()-3))-MAX($B45,INDEX(DOAN_CONG_SUAT!$C$2:$C$122,COLUMN()-3))))</f>
        <v>0</v>
      </c>
      <c r="DU45">
        <f t="shared" ca="1" si="0"/>
        <v>0</v>
      </c>
      <c r="DV45">
        <f t="shared" ca="1" si="1"/>
        <v>0</v>
      </c>
    </row>
    <row r="46" spans="1:126">
      <c r="A46" s="5">
        <v>45</v>
      </c>
      <c r="B46" s="13">
        <v>79200</v>
      </c>
      <c r="C46" s="13">
        <v>81000</v>
      </c>
      <c r="D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E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F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G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H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I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J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K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L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M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N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O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P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Q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R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S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T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U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V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W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X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Y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Z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A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B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C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D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E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F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G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H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I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J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K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L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M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N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O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P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Q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R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S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T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U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V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W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X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Y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AZ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A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B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C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D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E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F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G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H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I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J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K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L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M46" s="25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N46" s="29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O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P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Q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R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S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T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U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V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W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X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Y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BZ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A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B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C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D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E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F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G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H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I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J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K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L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M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N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O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P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Q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R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S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T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U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V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W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X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Y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CZ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A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B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C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D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E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F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G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H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I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J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K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L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M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N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O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P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Q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R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S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T46">
        <f ca="1">IF(OR(INDEX(DOAN_CONG_SUAT!$B$2:$B$122,COLUMN()-3)="",INDEX(DOAN_CONG_SUAT!$D$2:$D$122,COLUMN()-3)&lt;=$B46,INDEX(DOAN_CONG_SUAT!$C$2:$C$122,COLUMN()-3)&gt;=$C46,INDEX(DOAN_CONG_SUAT!$D$2:$D$122,COLUMN()-3)=INDEX(DOAN_CONG_SUAT!$C$2:$C$122,COLUMN()-3)),0,((INDEX(DOAN_CONG_SUAT!$E$2:$E$122,COLUMN()-3)+(INDEX(DOAN_CONG_SUAT!$F$2:$F$122,COLUMN()-3)-INDEX(DOAN_CONG_SUAT!$E$2:$E$122,COLUMN()-3))*(MAX($B46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46,INDEX(DOAN_CONG_SUAT!$D$2:$D$122,COLUMN()-3))-INDEX(DOAN_CONG_SUAT!$C$2:$C$122,COLUMN()-3))/(INDEX(DOAN_CONG_SUAT!$D$2:$D$122,COLUMN()-3)-INDEX(DOAN_CONG_SUAT!$C$2:$C$122,COLUMN()-3))))/2*(MIN($C46,INDEX(DOAN_CONG_SUAT!$D$2:$D$122,COLUMN()-3))-MAX($B46,INDEX(DOAN_CONG_SUAT!$C$2:$C$122,COLUMN()-3))))</f>
        <v>0</v>
      </c>
      <c r="DU46">
        <f t="shared" ca="1" si="0"/>
        <v>0</v>
      </c>
      <c r="DV46">
        <f t="shared" ca="1" si="1"/>
        <v>0</v>
      </c>
    </row>
    <row r="47" spans="1:126">
      <c r="A47" s="5">
        <v>46</v>
      </c>
      <c r="B47" s="13">
        <v>81000</v>
      </c>
      <c r="C47" s="13">
        <v>82800</v>
      </c>
      <c r="D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E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F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G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H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I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J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K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L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M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N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O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P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Q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R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S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T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U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V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W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X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Y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Z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A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B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C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D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E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F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G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H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I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J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K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L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M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N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O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P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Q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R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S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T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U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V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W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X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Y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AZ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A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B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C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D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E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F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G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H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I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J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K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L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M47" s="25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N47" s="29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O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P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Q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R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S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T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U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V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W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X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Y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BZ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A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B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C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D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E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F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G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H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I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J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K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L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M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N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O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P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Q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R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S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T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U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V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W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X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Y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CZ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A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B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C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D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E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F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G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H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I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J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K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L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M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N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O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P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Q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R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S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T47">
        <f ca="1">IF(OR(INDEX(DOAN_CONG_SUAT!$B$2:$B$122,COLUMN()-3)="",INDEX(DOAN_CONG_SUAT!$D$2:$D$122,COLUMN()-3)&lt;=$B47,INDEX(DOAN_CONG_SUAT!$C$2:$C$122,COLUMN()-3)&gt;=$C47,INDEX(DOAN_CONG_SUAT!$D$2:$D$122,COLUMN()-3)=INDEX(DOAN_CONG_SUAT!$C$2:$C$122,COLUMN()-3)),0,((INDEX(DOAN_CONG_SUAT!$E$2:$E$122,COLUMN()-3)+(INDEX(DOAN_CONG_SUAT!$F$2:$F$122,COLUMN()-3)-INDEX(DOAN_CONG_SUAT!$E$2:$E$122,COLUMN()-3))*(MAX($B47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47,INDEX(DOAN_CONG_SUAT!$D$2:$D$122,COLUMN()-3))-INDEX(DOAN_CONG_SUAT!$C$2:$C$122,COLUMN()-3))/(INDEX(DOAN_CONG_SUAT!$D$2:$D$122,COLUMN()-3)-INDEX(DOAN_CONG_SUAT!$C$2:$C$122,COLUMN()-3))))/2*(MIN($C47,INDEX(DOAN_CONG_SUAT!$D$2:$D$122,COLUMN()-3))-MAX($B47,INDEX(DOAN_CONG_SUAT!$C$2:$C$122,COLUMN()-3))))</f>
        <v>0</v>
      </c>
      <c r="DU47">
        <f t="shared" ca="1" si="0"/>
        <v>0</v>
      </c>
      <c r="DV47">
        <f t="shared" ca="1" si="1"/>
        <v>0</v>
      </c>
    </row>
    <row r="48" spans="1:126">
      <c r="A48" s="5">
        <v>47</v>
      </c>
      <c r="B48" s="13">
        <v>82800</v>
      </c>
      <c r="C48" s="13">
        <v>84600</v>
      </c>
      <c r="D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E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F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G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H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I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J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K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L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M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N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O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P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Q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R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S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T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U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V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W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X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Y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Z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A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B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C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D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E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F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G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H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I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J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K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L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M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N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O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P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Q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R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S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T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U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V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W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X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Y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AZ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A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B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C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D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E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F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G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H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I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J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K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L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M48" s="25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N48" s="29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O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P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Q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R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S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T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U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V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W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X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Y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BZ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A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B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C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D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E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F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G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H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I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J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K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L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M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N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O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P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Q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R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S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T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U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V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W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X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Y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CZ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A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B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C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D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E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F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G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H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I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J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K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L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M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N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O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P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Q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R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S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T48">
        <f ca="1">IF(OR(INDEX(DOAN_CONG_SUAT!$B$2:$B$122,COLUMN()-3)="",INDEX(DOAN_CONG_SUAT!$D$2:$D$122,COLUMN()-3)&lt;=$B48,INDEX(DOAN_CONG_SUAT!$C$2:$C$122,COLUMN()-3)&gt;=$C48,INDEX(DOAN_CONG_SUAT!$D$2:$D$122,COLUMN()-3)=INDEX(DOAN_CONG_SUAT!$C$2:$C$122,COLUMN()-3)),0,((INDEX(DOAN_CONG_SUAT!$E$2:$E$122,COLUMN()-3)+(INDEX(DOAN_CONG_SUAT!$F$2:$F$122,COLUMN()-3)-INDEX(DOAN_CONG_SUAT!$E$2:$E$122,COLUMN()-3))*(MAX($B48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48,INDEX(DOAN_CONG_SUAT!$D$2:$D$122,COLUMN()-3))-INDEX(DOAN_CONG_SUAT!$C$2:$C$122,COLUMN()-3))/(INDEX(DOAN_CONG_SUAT!$D$2:$D$122,COLUMN()-3)-INDEX(DOAN_CONG_SUAT!$C$2:$C$122,COLUMN()-3))))/2*(MIN($C48,INDEX(DOAN_CONG_SUAT!$D$2:$D$122,COLUMN()-3))-MAX($B48,INDEX(DOAN_CONG_SUAT!$C$2:$C$122,COLUMN()-3))))</f>
        <v>0</v>
      </c>
      <c r="DU48">
        <f t="shared" ca="1" si="0"/>
        <v>0</v>
      </c>
      <c r="DV48">
        <f t="shared" ca="1" si="1"/>
        <v>0</v>
      </c>
    </row>
    <row r="49" spans="1:126">
      <c r="A49" s="7">
        <v>48</v>
      </c>
      <c r="B49" s="14">
        <v>84600</v>
      </c>
      <c r="C49" s="14">
        <v>86400</v>
      </c>
      <c r="D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E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F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G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H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I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J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K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L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M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N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O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P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Q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R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S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T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U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V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W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X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Y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Z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A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B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C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D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E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F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G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H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I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J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K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L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M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N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O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P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Q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R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S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T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U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V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W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X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Y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AZ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A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B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C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D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E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F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G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H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I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J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K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L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M49" s="26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N49" s="30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O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P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Q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R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S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T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U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V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W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X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Y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BZ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A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B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C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D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E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F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G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H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I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J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K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L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M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N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O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P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Q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R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S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T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U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V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W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X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Y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CZ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A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B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C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D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E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F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G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H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I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J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K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L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M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N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O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P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Q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R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S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T49">
        <f ca="1">IF(OR(INDEX(DOAN_CONG_SUAT!$B$2:$B$122,COLUMN()-3)="",INDEX(DOAN_CONG_SUAT!$D$2:$D$122,COLUMN()-3)&lt;=$B49,INDEX(DOAN_CONG_SUAT!$C$2:$C$122,COLUMN()-3)&gt;=$C49,INDEX(DOAN_CONG_SUAT!$D$2:$D$122,COLUMN()-3)=INDEX(DOAN_CONG_SUAT!$C$2:$C$122,COLUMN()-3)),0,((INDEX(DOAN_CONG_SUAT!$E$2:$E$122,COLUMN()-3)+(INDEX(DOAN_CONG_SUAT!$F$2:$F$122,COLUMN()-3)-INDEX(DOAN_CONG_SUAT!$E$2:$E$122,COLUMN()-3))*(MAX($B49,INDEX(DOAN_CONG_SUAT!$C$2:$C$122,COLUMN()-3))-INDEX(DOAN_CONG_SUAT!$C$2:$C$122,COLUMN()-3))/(INDEX(DOAN_CONG_SUAT!$D$2:$D$122,COLUMN()-3)-INDEX(DOAN_CONG_SUAT!$C$2:$C$122,COLUMN()-3)))+(INDEX(DOAN_CONG_SUAT!$E$2:$E$122,COLUMN()-3)+(INDEX(DOAN_CONG_SUAT!$F$2:$F$122,COLUMN()-3)-INDEX(DOAN_CONG_SUAT!$E$2:$E$122,COLUMN()-3))*(MIN($C49,INDEX(DOAN_CONG_SUAT!$D$2:$D$122,COLUMN()-3))-INDEX(DOAN_CONG_SUAT!$C$2:$C$122,COLUMN()-3))/(INDEX(DOAN_CONG_SUAT!$D$2:$D$122,COLUMN()-3)-INDEX(DOAN_CONG_SUAT!$C$2:$C$122,COLUMN()-3))))/2*(MIN($C49,INDEX(DOAN_CONG_SUAT!$D$2:$D$122,COLUMN()-3))-MAX($B49,INDEX(DOAN_CONG_SUAT!$C$2:$C$122,COLUMN()-3))))</f>
        <v>0</v>
      </c>
      <c r="DU49">
        <f t="shared" ca="1" si="0"/>
        <v>0</v>
      </c>
      <c r="DV49">
        <f t="shared" ca="1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R49"/>
  <sheetViews>
    <sheetView workbookViewId="0"/>
  </sheetViews>
  <sheetFormatPr baseColWidth="10" defaultColWidth="8.83203125" defaultRowHeight="14"/>
  <cols>
    <col min="1" max="1" width="22" customWidth="1"/>
    <col min="2" max="3" width="12" customWidth="1"/>
    <col min="4" max="4" width="13" customWidth="1"/>
    <col min="5" max="5" width="15" customWidth="1"/>
    <col min="6" max="11" width="13" customWidth="1"/>
    <col min="12" max="12" width="14" customWidth="1"/>
    <col min="13" max="13" width="17" customWidth="1"/>
    <col min="14" max="14" width="38" customWidth="1"/>
    <col min="15" max="15" width="18" customWidth="1"/>
    <col min="16" max="17" width="14" customWidth="1"/>
    <col min="18" max="18" width="48" customWidth="1"/>
  </cols>
  <sheetData>
    <row r="1" spans="1:18" ht="15">
      <c r="A1" s="1" t="s">
        <v>151</v>
      </c>
      <c r="B1" s="11" t="s">
        <v>277</v>
      </c>
      <c r="C1" s="11" t="s">
        <v>278</v>
      </c>
      <c r="D1" s="11" t="s">
        <v>279</v>
      </c>
      <c r="E1" s="11" t="s">
        <v>280</v>
      </c>
      <c r="F1" s="11" t="s">
        <v>281</v>
      </c>
      <c r="G1" s="11" t="s">
        <v>282</v>
      </c>
      <c r="H1" s="11" t="s">
        <v>283</v>
      </c>
      <c r="I1" s="11" t="s">
        <v>284</v>
      </c>
      <c r="J1" s="11" t="s">
        <v>285</v>
      </c>
      <c r="K1" s="11" t="s">
        <v>286</v>
      </c>
      <c r="L1" s="11" t="s">
        <v>287</v>
      </c>
      <c r="M1" s="11" t="s">
        <v>288</v>
      </c>
      <c r="N1" s="2" t="s">
        <v>150</v>
      </c>
      <c r="O1" s="40" t="s">
        <v>289</v>
      </c>
      <c r="P1" s="42" t="s">
        <v>290</v>
      </c>
      <c r="Q1" s="42" t="s">
        <v>291</v>
      </c>
      <c r="R1" s="41" t="s">
        <v>146</v>
      </c>
    </row>
    <row r="2" spans="1:18">
      <c r="A2" s="3" t="str">
        <f t="shared" ref="A2:A49" si="0">TEXT(ROW()-1,"00")&amp;" ["&amp;TEXT(B2,"hh:mm")&amp;"-"&amp;TEXT(C2,"hh:mm")&amp;"]"</f>
        <v>01 [00:00-00:30]</v>
      </c>
      <c r="B2" s="31">
        <v>0</v>
      </c>
      <c r="C2" s="31">
        <v>2.0833333333333332E-2</v>
      </c>
      <c r="D2" s="34">
        <f ca="1">DIEN_TICH!DV2</f>
        <v>0</v>
      </c>
      <c r="E2" s="34">
        <f ca="1">IF(D2="","",D2/2*CAI_DAT!$B$8)</f>
        <v>0</v>
      </c>
      <c r="F2" s="34" t="str">
        <f>IFERROR(INDEX(CSV_6001!$C$1:$AX$50,MATCH("KwhGiao",CSV_6001!$B$1:$B$50,0),ROW()-1)/1000,"")</f>
        <v/>
      </c>
      <c r="G2" s="34" t="str">
        <f t="shared" ref="G2:G49" si="1">IF(F2="","",F2*2)</f>
        <v/>
      </c>
      <c r="H2" s="34">
        <f ca="1">IF(D2="","",D2*(1-CAI_DAT!$B$9))</f>
        <v>0</v>
      </c>
      <c r="I2" s="34">
        <f ca="1">IF(D2="","",D2*(1+CAI_DAT!$B$9))</f>
        <v>0</v>
      </c>
      <c r="J2" s="34" t="str">
        <f>IFERROR(INDEX(CSV_6303!$C$1:$AX$50,MATCH("KwhGiao",CSV_6303!$B$1:$B$50,0),ROW()-1)/1000,"")</f>
        <v/>
      </c>
      <c r="K2" s="34" t="str">
        <f t="shared" ref="K2:K49" ca="1" si="2">IF(OR(D2="",F2="",J2=""),"",IF(OR(G2&lt;H2,G2&gt;I2),J2-E2,0))</f>
        <v/>
      </c>
      <c r="L2" s="12" t="str">
        <f t="shared" ref="L2:L49" ca="1" si="3">IF(OR(D2="",F2=""),"",IF(G2&lt;H2,"âm",IF(G2&gt;I2,"dương","trong ±3%")))</f>
        <v/>
      </c>
      <c r="M2" s="12" t="str">
        <f ca="1">IF(CAI_DAT!$B$4&lt;TODAY(),"Đã ghi nhận",IF(CAI_DAT!$B$4&gt;TODAY(),"Dự kiến",IF(C2&lt;=MOD(NOW(),1),"Đã ghi nhận",IF(B2&lt;=MOD(NOW(),1),"Chu kỳ hiện tại","Dự kiến"))))</f>
        <v>Đã ghi nhận</v>
      </c>
      <c r="N2" s="4" t="s">
        <v>292</v>
      </c>
      <c r="O2" s="44"/>
      <c r="P2" s="44" t="str">
        <f t="shared" ref="P2:P49" ca="1" si="4">IF(OR(O2="",D2=""),"",D2-O2)</f>
        <v/>
      </c>
      <c r="Q2" t="str">
        <f t="shared" ref="Q2:Q49" ca="1" si="5">IF(P2="","",IF(ABS(P2)&lt;=0.15,"Khớp",IF(ABS(P2)&lt;=0.3,"Kiểm tra","Lệch lớn")))</f>
        <v/>
      </c>
    </row>
    <row r="3" spans="1:18">
      <c r="A3" s="5" t="str">
        <f t="shared" si="0"/>
        <v>02 [00:30-01:00]</v>
      </c>
      <c r="B3" s="32">
        <v>2.0833333333333332E-2</v>
      </c>
      <c r="C3" s="32">
        <v>4.1666666666666664E-2</v>
      </c>
      <c r="D3" s="35">
        <f ca="1">DIEN_TICH!DV3</f>
        <v>0</v>
      </c>
      <c r="E3" s="35">
        <f ca="1">IF(D3="","",D3/2*CAI_DAT!$B$8)</f>
        <v>0</v>
      </c>
      <c r="F3" s="35" t="str">
        <f>IFERROR(INDEX(CSV_6001!$C$1:$AX$50,MATCH("KwhGiao",CSV_6001!$B$1:$B$50,0),ROW()-1)/1000,"")</f>
        <v/>
      </c>
      <c r="G3" s="35" t="str">
        <f t="shared" si="1"/>
        <v/>
      </c>
      <c r="H3" s="35">
        <f ca="1">IF(D3="","",D3*(1-CAI_DAT!$B$9))</f>
        <v>0</v>
      </c>
      <c r="I3" s="35">
        <f ca="1">IF(D3="","",D3*(1+CAI_DAT!$B$9))</f>
        <v>0</v>
      </c>
      <c r="J3" s="35" t="str">
        <f>IFERROR(INDEX(CSV_6303!$C$1:$AX$50,MATCH("KwhGiao",CSV_6303!$B$1:$B$50,0),ROW()-1)/1000,"")</f>
        <v/>
      </c>
      <c r="K3" s="35" t="str">
        <f t="shared" ca="1" si="2"/>
        <v/>
      </c>
      <c r="L3" s="13" t="str">
        <f t="shared" ca="1" si="3"/>
        <v/>
      </c>
      <c r="M3" s="13" t="str">
        <f ca="1">IF(CAI_DAT!$B$4&lt;TODAY(),"Đã ghi nhận",IF(CAI_DAT!$B$4&gt;TODAY(),"Dự kiến",IF(C3&lt;=MOD(NOW(),1),"Đã ghi nhận",IF(B3&lt;=MOD(NOW(),1),"Chu kỳ hiện tại","Dự kiến"))))</f>
        <v>Đã ghi nhận</v>
      </c>
      <c r="N3" s="6" t="s">
        <v>292</v>
      </c>
      <c r="O3" s="44"/>
      <c r="P3" s="44" t="str">
        <f t="shared" ca="1" si="4"/>
        <v/>
      </c>
      <c r="Q3" t="str">
        <f t="shared" ca="1" si="5"/>
        <v/>
      </c>
    </row>
    <row r="4" spans="1:18">
      <c r="A4" s="5" t="str">
        <f t="shared" si="0"/>
        <v>03 [01:00-01:30]</v>
      </c>
      <c r="B4" s="32">
        <v>4.1666666666666664E-2</v>
      </c>
      <c r="C4" s="32">
        <v>6.25E-2</v>
      </c>
      <c r="D4" s="35">
        <f ca="1">DIEN_TICH!DV4</f>
        <v>0</v>
      </c>
      <c r="E4" s="35">
        <f ca="1">IF(D4="","",D4/2*CAI_DAT!$B$8)</f>
        <v>0</v>
      </c>
      <c r="F4" s="35" t="str">
        <f>IFERROR(INDEX(CSV_6001!$C$1:$AX$50,MATCH("KwhGiao",CSV_6001!$B$1:$B$50,0),ROW()-1)/1000,"")</f>
        <v/>
      </c>
      <c r="G4" s="35" t="str">
        <f t="shared" si="1"/>
        <v/>
      </c>
      <c r="H4" s="35">
        <f ca="1">IF(D4="","",D4*(1-CAI_DAT!$B$9))</f>
        <v>0</v>
      </c>
      <c r="I4" s="35">
        <f ca="1">IF(D4="","",D4*(1+CAI_DAT!$B$9))</f>
        <v>0</v>
      </c>
      <c r="J4" s="35" t="str">
        <f>IFERROR(INDEX(CSV_6303!$C$1:$AX$50,MATCH("KwhGiao",CSV_6303!$B$1:$B$50,0),ROW()-1)/1000,"")</f>
        <v/>
      </c>
      <c r="K4" s="35" t="str">
        <f t="shared" ca="1" si="2"/>
        <v/>
      </c>
      <c r="L4" s="13" t="str">
        <f t="shared" ca="1" si="3"/>
        <v/>
      </c>
      <c r="M4" s="13" t="str">
        <f ca="1">IF(CAI_DAT!$B$4&lt;TODAY(),"Đã ghi nhận",IF(CAI_DAT!$B$4&gt;TODAY(),"Dự kiến",IF(C4&lt;=MOD(NOW(),1),"Đã ghi nhận",IF(B4&lt;=MOD(NOW(),1),"Chu kỳ hiện tại","Dự kiến"))))</f>
        <v>Đã ghi nhận</v>
      </c>
      <c r="N4" s="6" t="s">
        <v>292</v>
      </c>
      <c r="O4" s="44"/>
      <c r="P4" s="44" t="str">
        <f t="shared" ca="1" si="4"/>
        <v/>
      </c>
      <c r="Q4" t="str">
        <f t="shared" ca="1" si="5"/>
        <v/>
      </c>
    </row>
    <row r="5" spans="1:18">
      <c r="A5" s="5" t="str">
        <f t="shared" si="0"/>
        <v>04 [01:30-02:00]</v>
      </c>
      <c r="B5" s="32">
        <v>6.25E-2</v>
      </c>
      <c r="C5" s="32">
        <v>8.3333333333333329E-2</v>
      </c>
      <c r="D5" s="35">
        <f ca="1">DIEN_TICH!DV5</f>
        <v>0</v>
      </c>
      <c r="E5" s="35">
        <f ca="1">IF(D5="","",D5/2*CAI_DAT!$B$8)</f>
        <v>0</v>
      </c>
      <c r="F5" s="35" t="str">
        <f>IFERROR(INDEX(CSV_6001!$C$1:$AX$50,MATCH("KwhGiao",CSV_6001!$B$1:$B$50,0),ROW()-1)/1000,"")</f>
        <v/>
      </c>
      <c r="G5" s="35" t="str">
        <f t="shared" si="1"/>
        <v/>
      </c>
      <c r="H5" s="35">
        <f ca="1">IF(D5="","",D5*(1-CAI_DAT!$B$9))</f>
        <v>0</v>
      </c>
      <c r="I5" s="35">
        <f ca="1">IF(D5="","",D5*(1+CAI_DAT!$B$9))</f>
        <v>0</v>
      </c>
      <c r="J5" s="35" t="str">
        <f>IFERROR(INDEX(CSV_6303!$C$1:$AX$50,MATCH("KwhGiao",CSV_6303!$B$1:$B$50,0),ROW()-1)/1000,"")</f>
        <v/>
      </c>
      <c r="K5" s="35" t="str">
        <f t="shared" ca="1" si="2"/>
        <v/>
      </c>
      <c r="L5" s="13" t="str">
        <f t="shared" ca="1" si="3"/>
        <v/>
      </c>
      <c r="M5" s="13" t="str">
        <f ca="1">IF(CAI_DAT!$B$4&lt;TODAY(),"Đã ghi nhận",IF(CAI_DAT!$B$4&gt;TODAY(),"Dự kiến",IF(C5&lt;=MOD(NOW(),1),"Đã ghi nhận",IF(B5&lt;=MOD(NOW(),1),"Chu kỳ hiện tại","Dự kiến"))))</f>
        <v>Đã ghi nhận</v>
      </c>
      <c r="N5" s="6" t="s">
        <v>292</v>
      </c>
      <c r="O5" s="44"/>
      <c r="P5" s="44" t="str">
        <f t="shared" ca="1" si="4"/>
        <v/>
      </c>
      <c r="Q5" t="str">
        <f t="shared" ca="1" si="5"/>
        <v/>
      </c>
    </row>
    <row r="6" spans="1:18">
      <c r="A6" s="5" t="str">
        <f t="shared" si="0"/>
        <v>05 [02:00-02:30]</v>
      </c>
      <c r="B6" s="32">
        <v>8.3333333333333329E-2</v>
      </c>
      <c r="C6" s="32">
        <v>0.10416666666666667</v>
      </c>
      <c r="D6" s="35">
        <f ca="1">DIEN_TICH!DV6</f>
        <v>0</v>
      </c>
      <c r="E6" s="35">
        <f ca="1">IF(D6="","",D6/2*CAI_DAT!$B$8)</f>
        <v>0</v>
      </c>
      <c r="F6" s="35" t="str">
        <f>IFERROR(INDEX(CSV_6001!$C$1:$AX$50,MATCH("KwhGiao",CSV_6001!$B$1:$B$50,0),ROW()-1)/1000,"")</f>
        <v/>
      </c>
      <c r="G6" s="35" t="str">
        <f t="shared" si="1"/>
        <v/>
      </c>
      <c r="H6" s="35">
        <f ca="1">IF(D6="","",D6*(1-CAI_DAT!$B$9))</f>
        <v>0</v>
      </c>
      <c r="I6" s="35">
        <f ca="1">IF(D6="","",D6*(1+CAI_DAT!$B$9))</f>
        <v>0</v>
      </c>
      <c r="J6" s="35" t="str">
        <f>IFERROR(INDEX(CSV_6303!$C$1:$AX$50,MATCH("KwhGiao",CSV_6303!$B$1:$B$50,0),ROW()-1)/1000,"")</f>
        <v/>
      </c>
      <c r="K6" s="35" t="str">
        <f t="shared" ca="1" si="2"/>
        <v/>
      </c>
      <c r="L6" s="13" t="str">
        <f t="shared" ca="1" si="3"/>
        <v/>
      </c>
      <c r="M6" s="13" t="str">
        <f ca="1">IF(CAI_DAT!$B$4&lt;TODAY(),"Đã ghi nhận",IF(CAI_DAT!$B$4&gt;TODAY(),"Dự kiến",IF(C6&lt;=MOD(NOW(),1),"Đã ghi nhận",IF(B6&lt;=MOD(NOW(),1),"Chu kỳ hiện tại","Dự kiến"))))</f>
        <v>Đã ghi nhận</v>
      </c>
      <c r="N6" s="6" t="s">
        <v>292</v>
      </c>
      <c r="O6" s="44"/>
      <c r="P6" s="44" t="str">
        <f t="shared" ca="1" si="4"/>
        <v/>
      </c>
      <c r="Q6" t="str">
        <f t="shared" ca="1" si="5"/>
        <v/>
      </c>
    </row>
    <row r="7" spans="1:18">
      <c r="A7" s="5" t="str">
        <f t="shared" si="0"/>
        <v>06 [02:30-03:00]</v>
      </c>
      <c r="B7" s="32">
        <v>0.10416666666666667</v>
      </c>
      <c r="C7" s="32">
        <v>0.125</v>
      </c>
      <c r="D7" s="35">
        <f ca="1">DIEN_TICH!DV7</f>
        <v>0</v>
      </c>
      <c r="E7" s="35">
        <f ca="1">IF(D7="","",D7/2*CAI_DAT!$B$8)</f>
        <v>0</v>
      </c>
      <c r="F7" s="35" t="str">
        <f>IFERROR(INDEX(CSV_6001!$C$1:$AX$50,MATCH("KwhGiao",CSV_6001!$B$1:$B$50,0),ROW()-1)/1000,"")</f>
        <v/>
      </c>
      <c r="G7" s="35" t="str">
        <f t="shared" si="1"/>
        <v/>
      </c>
      <c r="H7" s="35">
        <f ca="1">IF(D7="","",D7*(1-CAI_DAT!$B$9))</f>
        <v>0</v>
      </c>
      <c r="I7" s="35">
        <f ca="1">IF(D7="","",D7*(1+CAI_DAT!$B$9))</f>
        <v>0</v>
      </c>
      <c r="J7" s="35" t="str">
        <f>IFERROR(INDEX(CSV_6303!$C$1:$AX$50,MATCH("KwhGiao",CSV_6303!$B$1:$B$50,0),ROW()-1)/1000,"")</f>
        <v/>
      </c>
      <c r="K7" s="35" t="str">
        <f t="shared" ca="1" si="2"/>
        <v/>
      </c>
      <c r="L7" s="13" t="str">
        <f t="shared" ca="1" si="3"/>
        <v/>
      </c>
      <c r="M7" s="13" t="str">
        <f ca="1">IF(CAI_DAT!$B$4&lt;TODAY(),"Đã ghi nhận",IF(CAI_DAT!$B$4&gt;TODAY(),"Dự kiến",IF(C7&lt;=MOD(NOW(),1),"Đã ghi nhận",IF(B7&lt;=MOD(NOW(),1),"Chu kỳ hiện tại","Dự kiến"))))</f>
        <v>Đã ghi nhận</v>
      </c>
      <c r="N7" s="6" t="s">
        <v>292</v>
      </c>
      <c r="O7" s="44"/>
      <c r="P7" s="44" t="str">
        <f t="shared" ca="1" si="4"/>
        <v/>
      </c>
      <c r="Q7" t="str">
        <f t="shared" ca="1" si="5"/>
        <v/>
      </c>
    </row>
    <row r="8" spans="1:18">
      <c r="A8" s="5" t="str">
        <f t="shared" si="0"/>
        <v>07 [03:00-03:30]</v>
      </c>
      <c r="B8" s="32">
        <v>0.125</v>
      </c>
      <c r="C8" s="32">
        <v>0.14583333333333334</v>
      </c>
      <c r="D8" s="35">
        <f ca="1">DIEN_TICH!DV8</f>
        <v>0</v>
      </c>
      <c r="E8" s="35">
        <f ca="1">IF(D8="","",D8/2*CAI_DAT!$B$8)</f>
        <v>0</v>
      </c>
      <c r="F8" s="35" t="str">
        <f>IFERROR(INDEX(CSV_6001!$C$1:$AX$50,MATCH("KwhGiao",CSV_6001!$B$1:$B$50,0),ROW()-1)/1000,"")</f>
        <v/>
      </c>
      <c r="G8" s="35" t="str">
        <f t="shared" si="1"/>
        <v/>
      </c>
      <c r="H8" s="35">
        <f ca="1">IF(D8="","",D8*(1-CAI_DAT!$B$9))</f>
        <v>0</v>
      </c>
      <c r="I8" s="35">
        <f ca="1">IF(D8="","",D8*(1+CAI_DAT!$B$9))</f>
        <v>0</v>
      </c>
      <c r="J8" s="35" t="str">
        <f>IFERROR(INDEX(CSV_6303!$C$1:$AX$50,MATCH("KwhGiao",CSV_6303!$B$1:$B$50,0),ROW()-1)/1000,"")</f>
        <v/>
      </c>
      <c r="K8" s="35" t="str">
        <f t="shared" ca="1" si="2"/>
        <v/>
      </c>
      <c r="L8" s="13" t="str">
        <f t="shared" ca="1" si="3"/>
        <v/>
      </c>
      <c r="M8" s="13" t="str">
        <f ca="1">IF(CAI_DAT!$B$4&lt;TODAY(),"Đã ghi nhận",IF(CAI_DAT!$B$4&gt;TODAY(),"Dự kiến",IF(C8&lt;=MOD(NOW(),1),"Đã ghi nhận",IF(B8&lt;=MOD(NOW(),1),"Chu kỳ hiện tại","Dự kiến"))))</f>
        <v>Đã ghi nhận</v>
      </c>
      <c r="N8" s="6" t="s">
        <v>292</v>
      </c>
      <c r="O8" s="44"/>
      <c r="P8" s="44" t="str">
        <f t="shared" ca="1" si="4"/>
        <v/>
      </c>
      <c r="Q8" t="str">
        <f t="shared" ca="1" si="5"/>
        <v/>
      </c>
    </row>
    <row r="9" spans="1:18">
      <c r="A9" s="5" t="str">
        <f t="shared" si="0"/>
        <v>08 [03:30-04:00]</v>
      </c>
      <c r="B9" s="32">
        <v>0.14583333333333334</v>
      </c>
      <c r="C9" s="32">
        <v>0.16666666666666666</v>
      </c>
      <c r="D9" s="35">
        <f ca="1">DIEN_TICH!DV9</f>
        <v>0</v>
      </c>
      <c r="E9" s="35">
        <f ca="1">IF(D9="","",D9/2*CAI_DAT!$B$8)</f>
        <v>0</v>
      </c>
      <c r="F9" s="35" t="str">
        <f>IFERROR(INDEX(CSV_6001!$C$1:$AX$50,MATCH("KwhGiao",CSV_6001!$B$1:$B$50,0),ROW()-1)/1000,"")</f>
        <v/>
      </c>
      <c r="G9" s="35" t="str">
        <f t="shared" si="1"/>
        <v/>
      </c>
      <c r="H9" s="35">
        <f ca="1">IF(D9="","",D9*(1-CAI_DAT!$B$9))</f>
        <v>0</v>
      </c>
      <c r="I9" s="35">
        <f ca="1">IF(D9="","",D9*(1+CAI_DAT!$B$9))</f>
        <v>0</v>
      </c>
      <c r="J9" s="35" t="str">
        <f>IFERROR(INDEX(CSV_6303!$C$1:$AX$50,MATCH("KwhGiao",CSV_6303!$B$1:$B$50,0),ROW()-1)/1000,"")</f>
        <v/>
      </c>
      <c r="K9" s="35" t="str">
        <f t="shared" ca="1" si="2"/>
        <v/>
      </c>
      <c r="L9" s="13" t="str">
        <f t="shared" ca="1" si="3"/>
        <v/>
      </c>
      <c r="M9" s="13" t="str">
        <f ca="1">IF(CAI_DAT!$B$4&lt;TODAY(),"Đã ghi nhận",IF(CAI_DAT!$B$4&gt;TODAY(),"Dự kiến",IF(C9&lt;=MOD(NOW(),1),"Đã ghi nhận",IF(B9&lt;=MOD(NOW(),1),"Chu kỳ hiện tại","Dự kiến"))))</f>
        <v>Đã ghi nhận</v>
      </c>
      <c r="N9" s="6" t="s">
        <v>292</v>
      </c>
      <c r="O9" s="44"/>
      <c r="P9" s="44" t="str">
        <f t="shared" ca="1" si="4"/>
        <v/>
      </c>
      <c r="Q9" t="str">
        <f t="shared" ca="1" si="5"/>
        <v/>
      </c>
    </row>
    <row r="10" spans="1:18">
      <c r="A10" s="5" t="str">
        <f t="shared" si="0"/>
        <v>09 [04:00-04:30]</v>
      </c>
      <c r="B10" s="32">
        <v>0.16666666666666666</v>
      </c>
      <c r="C10" s="32">
        <v>0.1875</v>
      </c>
      <c r="D10" s="35">
        <f ca="1">DIEN_TICH!DV10</f>
        <v>0</v>
      </c>
      <c r="E10" s="35">
        <f ca="1">IF(D10="","",D10/2*CAI_DAT!$B$8)</f>
        <v>0</v>
      </c>
      <c r="F10" s="35" t="str">
        <f>IFERROR(INDEX(CSV_6001!$C$1:$AX$50,MATCH("KwhGiao",CSV_6001!$B$1:$B$50,0),ROW()-1)/1000,"")</f>
        <v/>
      </c>
      <c r="G10" s="35" t="str">
        <f t="shared" si="1"/>
        <v/>
      </c>
      <c r="H10" s="35">
        <f ca="1">IF(D10="","",D10*(1-CAI_DAT!$B$9))</f>
        <v>0</v>
      </c>
      <c r="I10" s="35">
        <f ca="1">IF(D10="","",D10*(1+CAI_DAT!$B$9))</f>
        <v>0</v>
      </c>
      <c r="J10" s="35" t="str">
        <f>IFERROR(INDEX(CSV_6303!$C$1:$AX$50,MATCH("KwhGiao",CSV_6303!$B$1:$B$50,0),ROW()-1)/1000,"")</f>
        <v/>
      </c>
      <c r="K10" s="35" t="str">
        <f t="shared" ca="1" si="2"/>
        <v/>
      </c>
      <c r="L10" s="13" t="str">
        <f t="shared" ca="1" si="3"/>
        <v/>
      </c>
      <c r="M10" s="13" t="str">
        <f ca="1">IF(CAI_DAT!$B$4&lt;TODAY(),"Đã ghi nhận",IF(CAI_DAT!$B$4&gt;TODAY(),"Dự kiến",IF(C10&lt;=MOD(NOW(),1),"Đã ghi nhận",IF(B10&lt;=MOD(NOW(),1),"Chu kỳ hiện tại","Dự kiến"))))</f>
        <v>Đã ghi nhận</v>
      </c>
      <c r="N10" s="6" t="s">
        <v>292</v>
      </c>
      <c r="O10" s="44"/>
      <c r="P10" s="44" t="str">
        <f t="shared" ca="1" si="4"/>
        <v/>
      </c>
      <c r="Q10" t="str">
        <f t="shared" ca="1" si="5"/>
        <v/>
      </c>
    </row>
    <row r="11" spans="1:18">
      <c r="A11" s="5" t="str">
        <f t="shared" si="0"/>
        <v>10 [04:30-05:00]</v>
      </c>
      <c r="B11" s="32">
        <v>0.1875</v>
      </c>
      <c r="C11" s="32">
        <v>0.20833333333333334</v>
      </c>
      <c r="D11" s="35">
        <f ca="1">DIEN_TICH!DV11</f>
        <v>0</v>
      </c>
      <c r="E11" s="35">
        <f ca="1">IF(D11="","",D11/2*CAI_DAT!$B$8)</f>
        <v>0</v>
      </c>
      <c r="F11" s="35" t="str">
        <f>IFERROR(INDEX(CSV_6001!$C$1:$AX$50,MATCH("KwhGiao",CSV_6001!$B$1:$B$50,0),ROW()-1)/1000,"")</f>
        <v/>
      </c>
      <c r="G11" s="35" t="str">
        <f t="shared" si="1"/>
        <v/>
      </c>
      <c r="H11" s="35">
        <f ca="1">IF(D11="","",D11*(1-CAI_DAT!$B$9))</f>
        <v>0</v>
      </c>
      <c r="I11" s="35">
        <f ca="1">IF(D11="","",D11*(1+CAI_DAT!$B$9))</f>
        <v>0</v>
      </c>
      <c r="J11" s="35" t="str">
        <f>IFERROR(INDEX(CSV_6303!$C$1:$AX$50,MATCH("KwhGiao",CSV_6303!$B$1:$B$50,0),ROW()-1)/1000,"")</f>
        <v/>
      </c>
      <c r="K11" s="35" t="str">
        <f t="shared" ca="1" si="2"/>
        <v/>
      </c>
      <c r="L11" s="13" t="str">
        <f t="shared" ca="1" si="3"/>
        <v/>
      </c>
      <c r="M11" s="13" t="str">
        <f ca="1">IF(CAI_DAT!$B$4&lt;TODAY(),"Đã ghi nhận",IF(CAI_DAT!$B$4&gt;TODAY(),"Dự kiến",IF(C11&lt;=MOD(NOW(),1),"Đã ghi nhận",IF(B11&lt;=MOD(NOW(),1),"Chu kỳ hiện tại","Dự kiến"))))</f>
        <v>Đã ghi nhận</v>
      </c>
      <c r="N11" s="6" t="s">
        <v>292</v>
      </c>
      <c r="O11" s="44"/>
      <c r="P11" s="44" t="str">
        <f t="shared" ca="1" si="4"/>
        <v/>
      </c>
      <c r="Q11" t="str">
        <f t="shared" ca="1" si="5"/>
        <v/>
      </c>
    </row>
    <row r="12" spans="1:18">
      <c r="A12" s="5" t="str">
        <f t="shared" si="0"/>
        <v>11 [05:00-05:30]</v>
      </c>
      <c r="B12" s="32">
        <v>0.20833333333333334</v>
      </c>
      <c r="C12" s="32">
        <v>0.22916666666666666</v>
      </c>
      <c r="D12" s="35">
        <f ca="1">DIEN_TICH!DV12</f>
        <v>0</v>
      </c>
      <c r="E12" s="35">
        <f ca="1">IF(D12="","",D12/2*CAI_DAT!$B$8)</f>
        <v>0</v>
      </c>
      <c r="F12" s="35" t="str">
        <f>IFERROR(INDEX(CSV_6001!$C$1:$AX$50,MATCH("KwhGiao",CSV_6001!$B$1:$B$50,0),ROW()-1)/1000,"")</f>
        <v/>
      </c>
      <c r="G12" s="35" t="str">
        <f t="shared" si="1"/>
        <v/>
      </c>
      <c r="H12" s="35">
        <f ca="1">IF(D12="","",D12*(1-CAI_DAT!$B$9))</f>
        <v>0</v>
      </c>
      <c r="I12" s="35">
        <f ca="1">IF(D12="","",D12*(1+CAI_DAT!$B$9))</f>
        <v>0</v>
      </c>
      <c r="J12" s="35" t="str">
        <f>IFERROR(INDEX(CSV_6303!$C$1:$AX$50,MATCH("KwhGiao",CSV_6303!$B$1:$B$50,0),ROW()-1)/1000,"")</f>
        <v/>
      </c>
      <c r="K12" s="35" t="str">
        <f t="shared" ca="1" si="2"/>
        <v/>
      </c>
      <c r="L12" s="13" t="str">
        <f t="shared" ca="1" si="3"/>
        <v/>
      </c>
      <c r="M12" s="13" t="str">
        <f ca="1">IF(CAI_DAT!$B$4&lt;TODAY(),"Đã ghi nhận",IF(CAI_DAT!$B$4&gt;TODAY(),"Dự kiến",IF(C12&lt;=MOD(NOW(),1),"Đã ghi nhận",IF(B12&lt;=MOD(NOW(),1),"Chu kỳ hiện tại","Dự kiến"))))</f>
        <v>Đã ghi nhận</v>
      </c>
      <c r="N12" s="6" t="s">
        <v>292</v>
      </c>
      <c r="O12" s="44"/>
      <c r="P12" s="44" t="str">
        <f t="shared" ca="1" si="4"/>
        <v/>
      </c>
      <c r="Q12" t="str">
        <f t="shared" ca="1" si="5"/>
        <v/>
      </c>
    </row>
    <row r="13" spans="1:18">
      <c r="A13" s="5" t="str">
        <f t="shared" si="0"/>
        <v>12 [05:30-06:00]</v>
      </c>
      <c r="B13" s="32">
        <v>0.22916666666666666</v>
      </c>
      <c r="C13" s="32">
        <v>0.25</v>
      </c>
      <c r="D13" s="35">
        <f ca="1">DIEN_TICH!DV13</f>
        <v>0</v>
      </c>
      <c r="E13" s="35">
        <f ca="1">IF(D13="","",D13/2*CAI_DAT!$B$8)</f>
        <v>0</v>
      </c>
      <c r="F13" s="35" t="str">
        <f>IFERROR(INDEX(CSV_6001!$C$1:$AX$50,MATCH("KwhGiao",CSV_6001!$B$1:$B$50,0),ROW()-1)/1000,"")</f>
        <v/>
      </c>
      <c r="G13" s="35" t="str">
        <f t="shared" si="1"/>
        <v/>
      </c>
      <c r="H13" s="35">
        <f ca="1">IF(D13="","",D13*(1-CAI_DAT!$B$9))</f>
        <v>0</v>
      </c>
      <c r="I13" s="35">
        <f ca="1">IF(D13="","",D13*(1+CAI_DAT!$B$9))</f>
        <v>0</v>
      </c>
      <c r="J13" s="35" t="str">
        <f>IFERROR(INDEX(CSV_6303!$C$1:$AX$50,MATCH("KwhGiao",CSV_6303!$B$1:$B$50,0),ROW()-1)/1000,"")</f>
        <v/>
      </c>
      <c r="K13" s="35" t="str">
        <f t="shared" ca="1" si="2"/>
        <v/>
      </c>
      <c r="L13" s="13" t="str">
        <f t="shared" ca="1" si="3"/>
        <v/>
      </c>
      <c r="M13" s="13" t="str">
        <f ca="1">IF(CAI_DAT!$B$4&lt;TODAY(),"Đã ghi nhận",IF(CAI_DAT!$B$4&gt;TODAY(),"Dự kiến",IF(C13&lt;=MOD(NOW(),1),"Đã ghi nhận",IF(B13&lt;=MOD(NOW(),1),"Chu kỳ hiện tại","Dự kiến"))))</f>
        <v>Đã ghi nhận</v>
      </c>
      <c r="N13" s="6" t="s">
        <v>292</v>
      </c>
      <c r="O13" s="44"/>
      <c r="P13" s="44" t="str">
        <f t="shared" ca="1" si="4"/>
        <v/>
      </c>
      <c r="Q13" t="str">
        <f t="shared" ca="1" si="5"/>
        <v/>
      </c>
    </row>
    <row r="14" spans="1:18">
      <c r="A14" s="5" t="str">
        <f t="shared" si="0"/>
        <v>13 [06:00-06:30]</v>
      </c>
      <c r="B14" s="32">
        <v>0.25</v>
      </c>
      <c r="C14" s="32">
        <v>0.27083333333333331</v>
      </c>
      <c r="D14" s="35">
        <f ca="1">DIEN_TICH!DV14</f>
        <v>0</v>
      </c>
      <c r="E14" s="35">
        <f ca="1">IF(D14="","",D14/2*CAI_DAT!$B$8)</f>
        <v>0</v>
      </c>
      <c r="F14" s="35" t="str">
        <f>IFERROR(INDEX(CSV_6001!$C$1:$AX$50,MATCH("KwhGiao",CSV_6001!$B$1:$B$50,0),ROW()-1)/1000,"")</f>
        <v/>
      </c>
      <c r="G14" s="35" t="str">
        <f t="shared" si="1"/>
        <v/>
      </c>
      <c r="H14" s="35">
        <f ca="1">IF(D14="","",D14*(1-CAI_DAT!$B$9))</f>
        <v>0</v>
      </c>
      <c r="I14" s="35">
        <f ca="1">IF(D14="","",D14*(1+CAI_DAT!$B$9))</f>
        <v>0</v>
      </c>
      <c r="J14" s="35" t="str">
        <f>IFERROR(INDEX(CSV_6303!$C$1:$AX$50,MATCH("KwhGiao",CSV_6303!$B$1:$B$50,0),ROW()-1)/1000,"")</f>
        <v/>
      </c>
      <c r="K14" s="35" t="str">
        <f t="shared" ca="1" si="2"/>
        <v/>
      </c>
      <c r="L14" s="13" t="str">
        <f t="shared" ca="1" si="3"/>
        <v/>
      </c>
      <c r="M14" s="13" t="str">
        <f ca="1">IF(CAI_DAT!$B$4&lt;TODAY(),"Đã ghi nhận",IF(CAI_DAT!$B$4&gt;TODAY(),"Dự kiến",IF(C14&lt;=MOD(NOW(),1),"Đã ghi nhận",IF(B14&lt;=MOD(NOW(),1),"Chu kỳ hiện tại","Dự kiến"))))</f>
        <v>Đã ghi nhận</v>
      </c>
      <c r="N14" s="6" t="s">
        <v>292</v>
      </c>
      <c r="O14" s="44"/>
      <c r="P14" s="44" t="str">
        <f t="shared" ca="1" si="4"/>
        <v/>
      </c>
      <c r="Q14" t="str">
        <f t="shared" ca="1" si="5"/>
        <v/>
      </c>
    </row>
    <row r="15" spans="1:18">
      <c r="A15" s="5" t="str">
        <f t="shared" si="0"/>
        <v>14 [06:30-07:00]</v>
      </c>
      <c r="B15" s="32">
        <v>0.27083333333333331</v>
      </c>
      <c r="C15" s="32">
        <v>0.29166666666666669</v>
      </c>
      <c r="D15" s="35">
        <f ca="1">DIEN_TICH!DV15</f>
        <v>0</v>
      </c>
      <c r="E15" s="35">
        <f ca="1">IF(D15="","",D15/2*CAI_DAT!$B$8)</f>
        <v>0</v>
      </c>
      <c r="F15" s="35" t="str">
        <f>IFERROR(INDEX(CSV_6001!$C$1:$AX$50,MATCH("KwhGiao",CSV_6001!$B$1:$B$50,0),ROW()-1)/1000,"")</f>
        <v/>
      </c>
      <c r="G15" s="35" t="str">
        <f t="shared" si="1"/>
        <v/>
      </c>
      <c r="H15" s="35">
        <f ca="1">IF(D15="","",D15*(1-CAI_DAT!$B$9))</f>
        <v>0</v>
      </c>
      <c r="I15" s="35">
        <f ca="1">IF(D15="","",D15*(1+CAI_DAT!$B$9))</f>
        <v>0</v>
      </c>
      <c r="J15" s="35" t="str">
        <f>IFERROR(INDEX(CSV_6303!$C$1:$AX$50,MATCH("KwhGiao",CSV_6303!$B$1:$B$50,0),ROW()-1)/1000,"")</f>
        <v/>
      </c>
      <c r="K15" s="35" t="str">
        <f t="shared" ca="1" si="2"/>
        <v/>
      </c>
      <c r="L15" s="13" t="str">
        <f t="shared" ca="1" si="3"/>
        <v/>
      </c>
      <c r="M15" s="13" t="str">
        <f ca="1">IF(CAI_DAT!$B$4&lt;TODAY(),"Đã ghi nhận",IF(CAI_DAT!$B$4&gt;TODAY(),"Dự kiến",IF(C15&lt;=MOD(NOW(),1),"Đã ghi nhận",IF(B15&lt;=MOD(NOW(),1),"Chu kỳ hiện tại","Dự kiến"))))</f>
        <v>Đã ghi nhận</v>
      </c>
      <c r="N15" s="6" t="s">
        <v>292</v>
      </c>
      <c r="O15" s="44"/>
      <c r="P15" s="44" t="str">
        <f t="shared" ca="1" si="4"/>
        <v/>
      </c>
      <c r="Q15" t="str">
        <f t="shared" ca="1" si="5"/>
        <v/>
      </c>
    </row>
    <row r="16" spans="1:18">
      <c r="A16" s="5" t="str">
        <f t="shared" si="0"/>
        <v>15 [07:00-07:30]</v>
      </c>
      <c r="B16" s="32">
        <v>0.29166666666666669</v>
      </c>
      <c r="C16" s="32">
        <v>0.3125</v>
      </c>
      <c r="D16" s="35">
        <f ca="1">DIEN_TICH!DV16</f>
        <v>0</v>
      </c>
      <c r="E16" s="35">
        <f ca="1">IF(D16="","",D16/2*CAI_DAT!$B$8)</f>
        <v>0</v>
      </c>
      <c r="F16" s="35" t="str">
        <f>IFERROR(INDEX(CSV_6001!$C$1:$AX$50,MATCH("KwhGiao",CSV_6001!$B$1:$B$50,0),ROW()-1)/1000,"")</f>
        <v/>
      </c>
      <c r="G16" s="35" t="str">
        <f t="shared" si="1"/>
        <v/>
      </c>
      <c r="H16" s="35">
        <f ca="1">IF(D16="","",D16*(1-CAI_DAT!$B$9))</f>
        <v>0</v>
      </c>
      <c r="I16" s="35">
        <f ca="1">IF(D16="","",D16*(1+CAI_DAT!$B$9))</f>
        <v>0</v>
      </c>
      <c r="J16" s="35" t="str">
        <f>IFERROR(INDEX(CSV_6303!$C$1:$AX$50,MATCH("KwhGiao",CSV_6303!$B$1:$B$50,0),ROW()-1)/1000,"")</f>
        <v/>
      </c>
      <c r="K16" s="35" t="str">
        <f t="shared" ca="1" si="2"/>
        <v/>
      </c>
      <c r="L16" s="13" t="str">
        <f t="shared" ca="1" si="3"/>
        <v/>
      </c>
      <c r="M16" s="13" t="str">
        <f ca="1">IF(CAI_DAT!$B$4&lt;TODAY(),"Đã ghi nhận",IF(CAI_DAT!$B$4&gt;TODAY(),"Dự kiến",IF(C16&lt;=MOD(NOW(),1),"Đã ghi nhận",IF(B16&lt;=MOD(NOW(),1),"Chu kỳ hiện tại","Dự kiến"))))</f>
        <v>Đã ghi nhận</v>
      </c>
      <c r="N16" s="6" t="s">
        <v>292</v>
      </c>
      <c r="O16" s="44"/>
      <c r="P16" s="44" t="str">
        <f t="shared" ca="1" si="4"/>
        <v/>
      </c>
      <c r="Q16" t="str">
        <f t="shared" ca="1" si="5"/>
        <v/>
      </c>
    </row>
    <row r="17" spans="1:17">
      <c r="A17" s="5" t="str">
        <f t="shared" si="0"/>
        <v>16 [07:30-08:00]</v>
      </c>
      <c r="B17" s="32">
        <v>0.3125</v>
      </c>
      <c r="C17" s="32">
        <v>0.33333333333333331</v>
      </c>
      <c r="D17" s="35">
        <f ca="1">DIEN_TICH!DV17</f>
        <v>0</v>
      </c>
      <c r="E17" s="35">
        <f ca="1">IF(D17="","",D17/2*CAI_DAT!$B$8)</f>
        <v>0</v>
      </c>
      <c r="F17" s="35" t="str">
        <f>IFERROR(INDEX(CSV_6001!$C$1:$AX$50,MATCH("KwhGiao",CSV_6001!$B$1:$B$50,0),ROW()-1)/1000,"")</f>
        <v/>
      </c>
      <c r="G17" s="35" t="str">
        <f t="shared" si="1"/>
        <v/>
      </c>
      <c r="H17" s="35">
        <f ca="1">IF(D17="","",D17*(1-CAI_DAT!$B$9))</f>
        <v>0</v>
      </c>
      <c r="I17" s="35">
        <f ca="1">IF(D17="","",D17*(1+CAI_DAT!$B$9))</f>
        <v>0</v>
      </c>
      <c r="J17" s="35" t="str">
        <f>IFERROR(INDEX(CSV_6303!$C$1:$AX$50,MATCH("KwhGiao",CSV_6303!$B$1:$B$50,0),ROW()-1)/1000,"")</f>
        <v/>
      </c>
      <c r="K17" s="35" t="str">
        <f t="shared" ca="1" si="2"/>
        <v/>
      </c>
      <c r="L17" s="13" t="str">
        <f t="shared" ca="1" si="3"/>
        <v/>
      </c>
      <c r="M17" s="13" t="str">
        <f ca="1">IF(CAI_DAT!$B$4&lt;TODAY(),"Đã ghi nhận",IF(CAI_DAT!$B$4&gt;TODAY(),"Dự kiến",IF(C17&lt;=MOD(NOW(),1),"Đã ghi nhận",IF(B17&lt;=MOD(NOW(),1),"Chu kỳ hiện tại","Dự kiến"))))</f>
        <v>Đã ghi nhận</v>
      </c>
      <c r="N17" s="6" t="s">
        <v>292</v>
      </c>
      <c r="O17" s="44"/>
      <c r="P17" s="44" t="str">
        <f t="shared" ca="1" si="4"/>
        <v/>
      </c>
      <c r="Q17" t="str">
        <f t="shared" ca="1" si="5"/>
        <v/>
      </c>
    </row>
    <row r="18" spans="1:17">
      <c r="A18" s="5" t="str">
        <f t="shared" si="0"/>
        <v>17 [08:00-08:30]</v>
      </c>
      <c r="B18" s="32">
        <v>0.33333333333333331</v>
      </c>
      <c r="C18" s="32">
        <v>0.35416666666666669</v>
      </c>
      <c r="D18" s="35">
        <f ca="1">DIEN_TICH!DV18</f>
        <v>0</v>
      </c>
      <c r="E18" s="35">
        <f ca="1">IF(D18="","",D18/2*CAI_DAT!$B$8)</f>
        <v>0</v>
      </c>
      <c r="F18" s="35" t="str">
        <f>IFERROR(INDEX(CSV_6001!$C$1:$AX$50,MATCH("KwhGiao",CSV_6001!$B$1:$B$50,0),ROW()-1)/1000,"")</f>
        <v/>
      </c>
      <c r="G18" s="35" t="str">
        <f t="shared" si="1"/>
        <v/>
      </c>
      <c r="H18" s="35">
        <f ca="1">IF(D18="","",D18*(1-CAI_DAT!$B$9))</f>
        <v>0</v>
      </c>
      <c r="I18" s="35">
        <f ca="1">IF(D18="","",D18*(1+CAI_DAT!$B$9))</f>
        <v>0</v>
      </c>
      <c r="J18" s="35" t="str">
        <f>IFERROR(INDEX(CSV_6303!$C$1:$AX$50,MATCH("KwhGiao",CSV_6303!$B$1:$B$50,0),ROW()-1)/1000,"")</f>
        <v/>
      </c>
      <c r="K18" s="35" t="str">
        <f t="shared" ca="1" si="2"/>
        <v/>
      </c>
      <c r="L18" s="13" t="str">
        <f t="shared" ca="1" si="3"/>
        <v/>
      </c>
      <c r="M18" s="13" t="str">
        <f ca="1">IF(CAI_DAT!$B$4&lt;TODAY(),"Đã ghi nhận",IF(CAI_DAT!$B$4&gt;TODAY(),"Dự kiến",IF(C18&lt;=MOD(NOW(),1),"Đã ghi nhận",IF(B18&lt;=MOD(NOW(),1),"Chu kỳ hiện tại","Dự kiến"))))</f>
        <v>Đã ghi nhận</v>
      </c>
      <c r="N18" s="6" t="s">
        <v>292</v>
      </c>
      <c r="O18" s="44"/>
      <c r="P18" s="44" t="str">
        <f t="shared" ca="1" si="4"/>
        <v/>
      </c>
      <c r="Q18" t="str">
        <f t="shared" ca="1" si="5"/>
        <v/>
      </c>
    </row>
    <row r="19" spans="1:17">
      <c r="A19" s="5" t="str">
        <f t="shared" si="0"/>
        <v>18 [08:30-09:00]</v>
      </c>
      <c r="B19" s="32">
        <v>0.35416666666666669</v>
      </c>
      <c r="C19" s="32">
        <v>0.375</v>
      </c>
      <c r="D19" s="35">
        <f ca="1">DIEN_TICH!DV19</f>
        <v>0</v>
      </c>
      <c r="E19" s="35">
        <f ca="1">IF(D19="","",D19/2*CAI_DAT!$B$8)</f>
        <v>0</v>
      </c>
      <c r="F19" s="35" t="str">
        <f>IFERROR(INDEX(CSV_6001!$C$1:$AX$50,MATCH("KwhGiao",CSV_6001!$B$1:$B$50,0),ROW()-1)/1000,"")</f>
        <v/>
      </c>
      <c r="G19" s="35" t="str">
        <f t="shared" si="1"/>
        <v/>
      </c>
      <c r="H19" s="35">
        <f ca="1">IF(D19="","",D19*(1-CAI_DAT!$B$9))</f>
        <v>0</v>
      </c>
      <c r="I19" s="35">
        <f ca="1">IF(D19="","",D19*(1+CAI_DAT!$B$9))</f>
        <v>0</v>
      </c>
      <c r="J19" s="35" t="str">
        <f>IFERROR(INDEX(CSV_6303!$C$1:$AX$50,MATCH("KwhGiao",CSV_6303!$B$1:$B$50,0),ROW()-1)/1000,"")</f>
        <v/>
      </c>
      <c r="K19" s="35" t="str">
        <f t="shared" ca="1" si="2"/>
        <v/>
      </c>
      <c r="L19" s="13" t="str">
        <f t="shared" ca="1" si="3"/>
        <v/>
      </c>
      <c r="M19" s="13" t="str">
        <f ca="1">IF(CAI_DAT!$B$4&lt;TODAY(),"Đã ghi nhận",IF(CAI_DAT!$B$4&gt;TODAY(),"Dự kiến",IF(C19&lt;=MOD(NOW(),1),"Đã ghi nhận",IF(B19&lt;=MOD(NOW(),1),"Chu kỳ hiện tại","Dự kiến"))))</f>
        <v>Đã ghi nhận</v>
      </c>
      <c r="N19" s="6" t="s">
        <v>292</v>
      </c>
      <c r="O19" s="44"/>
      <c r="P19" s="44" t="str">
        <f t="shared" ca="1" si="4"/>
        <v/>
      </c>
      <c r="Q19" t="str">
        <f t="shared" ca="1" si="5"/>
        <v/>
      </c>
    </row>
    <row r="20" spans="1:17">
      <c r="A20" s="5" t="str">
        <f t="shared" si="0"/>
        <v>19 [09:00-09:30]</v>
      </c>
      <c r="B20" s="32">
        <v>0.375</v>
      </c>
      <c r="C20" s="32">
        <v>0.39583333333333331</v>
      </c>
      <c r="D20" s="35">
        <f ca="1">DIEN_TICH!DV20</f>
        <v>0</v>
      </c>
      <c r="E20" s="35">
        <f ca="1">IF(D20="","",D20/2*CAI_DAT!$B$8)</f>
        <v>0</v>
      </c>
      <c r="F20" s="35" t="str">
        <f>IFERROR(INDEX(CSV_6001!$C$1:$AX$50,MATCH("KwhGiao",CSV_6001!$B$1:$B$50,0),ROW()-1)/1000,"")</f>
        <v/>
      </c>
      <c r="G20" s="35" t="str">
        <f t="shared" si="1"/>
        <v/>
      </c>
      <c r="H20" s="35">
        <f ca="1">IF(D20="","",D20*(1-CAI_DAT!$B$9))</f>
        <v>0</v>
      </c>
      <c r="I20" s="35">
        <f ca="1">IF(D20="","",D20*(1+CAI_DAT!$B$9))</f>
        <v>0</v>
      </c>
      <c r="J20" s="35" t="str">
        <f>IFERROR(INDEX(CSV_6303!$C$1:$AX$50,MATCH("KwhGiao",CSV_6303!$B$1:$B$50,0),ROW()-1)/1000,"")</f>
        <v/>
      </c>
      <c r="K20" s="35" t="str">
        <f t="shared" ca="1" si="2"/>
        <v/>
      </c>
      <c r="L20" s="13" t="str">
        <f t="shared" ca="1" si="3"/>
        <v/>
      </c>
      <c r="M20" s="13" t="str">
        <f ca="1">IF(CAI_DAT!$B$4&lt;TODAY(),"Đã ghi nhận",IF(CAI_DAT!$B$4&gt;TODAY(),"Dự kiến",IF(C20&lt;=MOD(NOW(),1),"Đã ghi nhận",IF(B20&lt;=MOD(NOW(),1),"Chu kỳ hiện tại","Dự kiến"))))</f>
        <v>Đã ghi nhận</v>
      </c>
      <c r="N20" s="6" t="s">
        <v>292</v>
      </c>
      <c r="O20" s="44"/>
      <c r="P20" s="44" t="str">
        <f t="shared" ca="1" si="4"/>
        <v/>
      </c>
      <c r="Q20" t="str">
        <f t="shared" ca="1" si="5"/>
        <v/>
      </c>
    </row>
    <row r="21" spans="1:17">
      <c r="A21" s="5" t="str">
        <f t="shared" si="0"/>
        <v>20 [09:30-10:00]</v>
      </c>
      <c r="B21" s="32">
        <v>0.39583333333333331</v>
      </c>
      <c r="C21" s="32">
        <v>0.41666666666666669</v>
      </c>
      <c r="D21" s="35">
        <f ca="1">DIEN_TICH!DV21</f>
        <v>0</v>
      </c>
      <c r="E21" s="35">
        <f ca="1">IF(D21="","",D21/2*CAI_DAT!$B$8)</f>
        <v>0</v>
      </c>
      <c r="F21" s="35" t="str">
        <f>IFERROR(INDEX(CSV_6001!$C$1:$AX$50,MATCH("KwhGiao",CSV_6001!$B$1:$B$50,0),ROW()-1)/1000,"")</f>
        <v/>
      </c>
      <c r="G21" s="35" t="str">
        <f t="shared" si="1"/>
        <v/>
      </c>
      <c r="H21" s="35">
        <f ca="1">IF(D21="","",D21*(1-CAI_DAT!$B$9))</f>
        <v>0</v>
      </c>
      <c r="I21" s="35">
        <f ca="1">IF(D21="","",D21*(1+CAI_DAT!$B$9))</f>
        <v>0</v>
      </c>
      <c r="J21" s="35" t="str">
        <f>IFERROR(INDEX(CSV_6303!$C$1:$AX$50,MATCH("KwhGiao",CSV_6303!$B$1:$B$50,0),ROW()-1)/1000,"")</f>
        <v/>
      </c>
      <c r="K21" s="35" t="str">
        <f t="shared" ca="1" si="2"/>
        <v/>
      </c>
      <c r="L21" s="13" t="str">
        <f t="shared" ca="1" si="3"/>
        <v/>
      </c>
      <c r="M21" s="13" t="str">
        <f ca="1">IF(CAI_DAT!$B$4&lt;TODAY(),"Đã ghi nhận",IF(CAI_DAT!$B$4&gt;TODAY(),"Dự kiến",IF(C21&lt;=MOD(NOW(),1),"Đã ghi nhận",IF(B21&lt;=MOD(NOW(),1),"Chu kỳ hiện tại","Dự kiến"))))</f>
        <v>Đã ghi nhận</v>
      </c>
      <c r="N21" s="6" t="s">
        <v>292</v>
      </c>
      <c r="O21" s="44"/>
      <c r="P21" s="44" t="str">
        <f t="shared" ca="1" si="4"/>
        <v/>
      </c>
      <c r="Q21" t="str">
        <f t="shared" ca="1" si="5"/>
        <v/>
      </c>
    </row>
    <row r="22" spans="1:17">
      <c r="A22" s="5" t="str">
        <f t="shared" si="0"/>
        <v>21 [10:00-10:30]</v>
      </c>
      <c r="B22" s="32">
        <v>0.41666666666666669</v>
      </c>
      <c r="C22" s="32">
        <v>0.4375</v>
      </c>
      <c r="D22" s="35">
        <f ca="1">DIEN_TICH!DV22</f>
        <v>0</v>
      </c>
      <c r="E22" s="35">
        <f ca="1">IF(D22="","",D22/2*CAI_DAT!$B$8)</f>
        <v>0</v>
      </c>
      <c r="F22" s="35" t="str">
        <f>IFERROR(INDEX(CSV_6001!$C$1:$AX$50,MATCH("KwhGiao",CSV_6001!$B$1:$B$50,0),ROW()-1)/1000,"")</f>
        <v/>
      </c>
      <c r="G22" s="35" t="str">
        <f t="shared" si="1"/>
        <v/>
      </c>
      <c r="H22" s="35">
        <f ca="1">IF(D22="","",D22*(1-CAI_DAT!$B$9))</f>
        <v>0</v>
      </c>
      <c r="I22" s="35">
        <f ca="1">IF(D22="","",D22*(1+CAI_DAT!$B$9))</f>
        <v>0</v>
      </c>
      <c r="J22" s="35" t="str">
        <f>IFERROR(INDEX(CSV_6303!$C$1:$AX$50,MATCH("KwhGiao",CSV_6303!$B$1:$B$50,0),ROW()-1)/1000,"")</f>
        <v/>
      </c>
      <c r="K22" s="35" t="str">
        <f t="shared" ca="1" si="2"/>
        <v/>
      </c>
      <c r="L22" s="13" t="str">
        <f t="shared" ca="1" si="3"/>
        <v/>
      </c>
      <c r="M22" s="13" t="str">
        <f ca="1">IF(CAI_DAT!$B$4&lt;TODAY(),"Đã ghi nhận",IF(CAI_DAT!$B$4&gt;TODAY(),"Dự kiến",IF(C22&lt;=MOD(NOW(),1),"Đã ghi nhận",IF(B22&lt;=MOD(NOW(),1),"Chu kỳ hiện tại","Dự kiến"))))</f>
        <v>Đã ghi nhận</v>
      </c>
      <c r="N22" s="6" t="s">
        <v>292</v>
      </c>
      <c r="O22" s="44"/>
      <c r="P22" s="44" t="str">
        <f t="shared" ca="1" si="4"/>
        <v/>
      </c>
      <c r="Q22" t="str">
        <f t="shared" ca="1" si="5"/>
        <v/>
      </c>
    </row>
    <row r="23" spans="1:17">
      <c r="A23" s="5" t="str">
        <f t="shared" si="0"/>
        <v>22 [10:30-11:00]</v>
      </c>
      <c r="B23" s="32">
        <v>0.4375</v>
      </c>
      <c r="C23" s="32">
        <v>0.45833333333333331</v>
      </c>
      <c r="D23" s="35">
        <f ca="1">DIEN_TICH!DV23</f>
        <v>0</v>
      </c>
      <c r="E23" s="35">
        <f ca="1">IF(D23="","",D23/2*CAI_DAT!$B$8)</f>
        <v>0</v>
      </c>
      <c r="F23" s="35" t="str">
        <f>IFERROR(INDEX(CSV_6001!$C$1:$AX$50,MATCH("KwhGiao",CSV_6001!$B$1:$B$50,0),ROW()-1)/1000,"")</f>
        <v/>
      </c>
      <c r="G23" s="35" t="str">
        <f t="shared" si="1"/>
        <v/>
      </c>
      <c r="H23" s="35">
        <f ca="1">IF(D23="","",D23*(1-CAI_DAT!$B$9))</f>
        <v>0</v>
      </c>
      <c r="I23" s="35">
        <f ca="1">IF(D23="","",D23*(1+CAI_DAT!$B$9))</f>
        <v>0</v>
      </c>
      <c r="J23" s="35" t="str">
        <f>IFERROR(INDEX(CSV_6303!$C$1:$AX$50,MATCH("KwhGiao",CSV_6303!$B$1:$B$50,0),ROW()-1)/1000,"")</f>
        <v/>
      </c>
      <c r="K23" s="35" t="str">
        <f t="shared" ca="1" si="2"/>
        <v/>
      </c>
      <c r="L23" s="13" t="str">
        <f t="shared" ca="1" si="3"/>
        <v/>
      </c>
      <c r="M23" s="13" t="str">
        <f ca="1">IF(CAI_DAT!$B$4&lt;TODAY(),"Đã ghi nhận",IF(CAI_DAT!$B$4&gt;TODAY(),"Dự kiến",IF(C23&lt;=MOD(NOW(),1),"Đã ghi nhận",IF(B23&lt;=MOD(NOW(),1),"Chu kỳ hiện tại","Dự kiến"))))</f>
        <v>Đã ghi nhận</v>
      </c>
      <c r="N23" s="6" t="s">
        <v>292</v>
      </c>
      <c r="O23" s="44"/>
      <c r="P23" s="44" t="str">
        <f t="shared" ca="1" si="4"/>
        <v/>
      </c>
      <c r="Q23" t="str">
        <f t="shared" ca="1" si="5"/>
        <v/>
      </c>
    </row>
    <row r="24" spans="1:17">
      <c r="A24" s="5" t="str">
        <f t="shared" si="0"/>
        <v>23 [11:00-11:30]</v>
      </c>
      <c r="B24" s="32">
        <v>0.45833333333333331</v>
      </c>
      <c r="C24" s="32">
        <v>0.47916666666666669</v>
      </c>
      <c r="D24" s="35">
        <f ca="1">DIEN_TICH!DV24</f>
        <v>0</v>
      </c>
      <c r="E24" s="35">
        <f ca="1">IF(D24="","",D24/2*CAI_DAT!$B$8)</f>
        <v>0</v>
      </c>
      <c r="F24" s="35" t="str">
        <f>IFERROR(INDEX(CSV_6001!$C$1:$AX$50,MATCH("KwhGiao",CSV_6001!$B$1:$B$50,0),ROW()-1)/1000,"")</f>
        <v/>
      </c>
      <c r="G24" s="35" t="str">
        <f t="shared" si="1"/>
        <v/>
      </c>
      <c r="H24" s="35">
        <f ca="1">IF(D24="","",D24*(1-CAI_DAT!$B$9))</f>
        <v>0</v>
      </c>
      <c r="I24" s="35">
        <f ca="1">IF(D24="","",D24*(1+CAI_DAT!$B$9))</f>
        <v>0</v>
      </c>
      <c r="J24" s="35" t="str">
        <f>IFERROR(INDEX(CSV_6303!$C$1:$AX$50,MATCH("KwhGiao",CSV_6303!$B$1:$B$50,0),ROW()-1)/1000,"")</f>
        <v/>
      </c>
      <c r="K24" s="35" t="str">
        <f t="shared" ca="1" si="2"/>
        <v/>
      </c>
      <c r="L24" s="13" t="str">
        <f t="shared" ca="1" si="3"/>
        <v/>
      </c>
      <c r="M24" s="13" t="str">
        <f ca="1">IF(CAI_DAT!$B$4&lt;TODAY(),"Đã ghi nhận",IF(CAI_DAT!$B$4&gt;TODAY(),"Dự kiến",IF(C24&lt;=MOD(NOW(),1),"Đã ghi nhận",IF(B24&lt;=MOD(NOW(),1),"Chu kỳ hiện tại","Dự kiến"))))</f>
        <v>Đã ghi nhận</v>
      </c>
      <c r="N24" s="6" t="s">
        <v>292</v>
      </c>
      <c r="O24" s="44"/>
      <c r="P24" s="44" t="str">
        <f t="shared" ca="1" si="4"/>
        <v/>
      </c>
      <c r="Q24" t="str">
        <f t="shared" ca="1" si="5"/>
        <v/>
      </c>
    </row>
    <row r="25" spans="1:17">
      <c r="A25" s="5" t="str">
        <f t="shared" si="0"/>
        <v>24 [11:30-12:00]</v>
      </c>
      <c r="B25" s="32">
        <v>0.47916666666666669</v>
      </c>
      <c r="C25" s="32">
        <v>0.5</v>
      </c>
      <c r="D25" s="35">
        <f ca="1">DIEN_TICH!DV25</f>
        <v>0</v>
      </c>
      <c r="E25" s="35">
        <f ca="1">IF(D25="","",D25/2*CAI_DAT!$B$8)</f>
        <v>0</v>
      </c>
      <c r="F25" s="35" t="str">
        <f>IFERROR(INDEX(CSV_6001!$C$1:$AX$50,MATCH("KwhGiao",CSV_6001!$B$1:$B$50,0),ROW()-1)/1000,"")</f>
        <v/>
      </c>
      <c r="G25" s="35" t="str">
        <f t="shared" si="1"/>
        <v/>
      </c>
      <c r="H25" s="35">
        <f ca="1">IF(D25="","",D25*(1-CAI_DAT!$B$9))</f>
        <v>0</v>
      </c>
      <c r="I25" s="35">
        <f ca="1">IF(D25="","",D25*(1+CAI_DAT!$B$9))</f>
        <v>0</v>
      </c>
      <c r="J25" s="35" t="str">
        <f>IFERROR(INDEX(CSV_6303!$C$1:$AX$50,MATCH("KwhGiao",CSV_6303!$B$1:$B$50,0),ROW()-1)/1000,"")</f>
        <v/>
      </c>
      <c r="K25" s="35" t="str">
        <f t="shared" ca="1" si="2"/>
        <v/>
      </c>
      <c r="L25" s="13" t="str">
        <f t="shared" ca="1" si="3"/>
        <v/>
      </c>
      <c r="M25" s="13" t="str">
        <f ca="1">IF(CAI_DAT!$B$4&lt;TODAY(),"Đã ghi nhận",IF(CAI_DAT!$B$4&gt;TODAY(),"Dự kiến",IF(C25&lt;=MOD(NOW(),1),"Đã ghi nhận",IF(B25&lt;=MOD(NOW(),1),"Chu kỳ hiện tại","Dự kiến"))))</f>
        <v>Đã ghi nhận</v>
      </c>
      <c r="N25" s="6" t="s">
        <v>292</v>
      </c>
      <c r="O25" s="44"/>
      <c r="P25" s="44" t="str">
        <f t="shared" ca="1" si="4"/>
        <v/>
      </c>
      <c r="Q25" t="str">
        <f t="shared" ca="1" si="5"/>
        <v/>
      </c>
    </row>
    <row r="26" spans="1:17">
      <c r="A26" s="5" t="str">
        <f t="shared" si="0"/>
        <v>25 [12:00-12:30]</v>
      </c>
      <c r="B26" s="32">
        <v>0.5</v>
      </c>
      <c r="C26" s="32">
        <v>0.52083333333333337</v>
      </c>
      <c r="D26" s="35">
        <f ca="1">DIEN_TICH!DV26</f>
        <v>0</v>
      </c>
      <c r="E26" s="35">
        <f ca="1">IF(D26="","",D26/2*CAI_DAT!$B$8)</f>
        <v>0</v>
      </c>
      <c r="F26" s="35" t="str">
        <f>IFERROR(INDEX(CSV_6001!$C$1:$AX$50,MATCH("KwhGiao",CSV_6001!$B$1:$B$50,0),ROW()-1)/1000,"")</f>
        <v/>
      </c>
      <c r="G26" s="35" t="str">
        <f t="shared" si="1"/>
        <v/>
      </c>
      <c r="H26" s="35">
        <f ca="1">IF(D26="","",D26*(1-CAI_DAT!$B$9))</f>
        <v>0</v>
      </c>
      <c r="I26" s="35">
        <f ca="1">IF(D26="","",D26*(1+CAI_DAT!$B$9))</f>
        <v>0</v>
      </c>
      <c r="J26" s="35" t="str">
        <f>IFERROR(INDEX(CSV_6303!$C$1:$AX$50,MATCH("KwhGiao",CSV_6303!$B$1:$B$50,0),ROW()-1)/1000,"")</f>
        <v/>
      </c>
      <c r="K26" s="35" t="str">
        <f t="shared" ca="1" si="2"/>
        <v/>
      </c>
      <c r="L26" s="13" t="str">
        <f t="shared" ca="1" si="3"/>
        <v/>
      </c>
      <c r="M26" s="13" t="str">
        <f ca="1">IF(CAI_DAT!$B$4&lt;TODAY(),"Đã ghi nhận",IF(CAI_DAT!$B$4&gt;TODAY(),"Dự kiến",IF(C26&lt;=MOD(NOW(),1),"Đã ghi nhận",IF(B26&lt;=MOD(NOW(),1),"Chu kỳ hiện tại","Dự kiến"))))</f>
        <v>Đã ghi nhận</v>
      </c>
      <c r="N26" s="6" t="s">
        <v>292</v>
      </c>
      <c r="O26" s="44"/>
      <c r="P26" s="44" t="str">
        <f t="shared" ca="1" si="4"/>
        <v/>
      </c>
      <c r="Q26" t="str">
        <f t="shared" ca="1" si="5"/>
        <v/>
      </c>
    </row>
    <row r="27" spans="1:17">
      <c r="A27" s="5" t="str">
        <f t="shared" si="0"/>
        <v>26 [12:30-13:00]</v>
      </c>
      <c r="B27" s="32">
        <v>0.52083333333333337</v>
      </c>
      <c r="C27" s="32">
        <v>0.54166666666666663</v>
      </c>
      <c r="D27" s="35">
        <f ca="1">DIEN_TICH!DV27</f>
        <v>0</v>
      </c>
      <c r="E27" s="35">
        <f ca="1">IF(D27="","",D27/2*CAI_DAT!$B$8)</f>
        <v>0</v>
      </c>
      <c r="F27" s="35" t="str">
        <f>IFERROR(INDEX(CSV_6001!$C$1:$AX$50,MATCH("KwhGiao",CSV_6001!$B$1:$B$50,0),ROW()-1)/1000,"")</f>
        <v/>
      </c>
      <c r="G27" s="35" t="str">
        <f t="shared" si="1"/>
        <v/>
      </c>
      <c r="H27" s="35">
        <f ca="1">IF(D27="","",D27*(1-CAI_DAT!$B$9))</f>
        <v>0</v>
      </c>
      <c r="I27" s="35">
        <f ca="1">IF(D27="","",D27*(1+CAI_DAT!$B$9))</f>
        <v>0</v>
      </c>
      <c r="J27" s="35" t="str">
        <f>IFERROR(INDEX(CSV_6303!$C$1:$AX$50,MATCH("KwhGiao",CSV_6303!$B$1:$B$50,0),ROW()-1)/1000,"")</f>
        <v/>
      </c>
      <c r="K27" s="35" t="str">
        <f t="shared" ca="1" si="2"/>
        <v/>
      </c>
      <c r="L27" s="13" t="str">
        <f t="shared" ca="1" si="3"/>
        <v/>
      </c>
      <c r="M27" s="13" t="str">
        <f ca="1">IF(CAI_DAT!$B$4&lt;TODAY(),"Đã ghi nhận",IF(CAI_DAT!$B$4&gt;TODAY(),"Dự kiến",IF(C27&lt;=MOD(NOW(),1),"Đã ghi nhận",IF(B27&lt;=MOD(NOW(),1),"Chu kỳ hiện tại","Dự kiến"))))</f>
        <v>Đã ghi nhận</v>
      </c>
      <c r="N27" s="6" t="s">
        <v>292</v>
      </c>
      <c r="O27" s="44"/>
      <c r="P27" s="44" t="str">
        <f t="shared" ca="1" si="4"/>
        <v/>
      </c>
      <c r="Q27" t="str">
        <f t="shared" ca="1" si="5"/>
        <v/>
      </c>
    </row>
    <row r="28" spans="1:17">
      <c r="A28" s="5" t="str">
        <f t="shared" si="0"/>
        <v>27 [13:00-13:30]</v>
      </c>
      <c r="B28" s="32">
        <v>0.54166666666666663</v>
      </c>
      <c r="C28" s="32">
        <v>0.5625</v>
      </c>
      <c r="D28" s="35">
        <f ca="1">DIEN_TICH!DV28</f>
        <v>0</v>
      </c>
      <c r="E28" s="35">
        <f ca="1">IF(D28="","",D28/2*CAI_DAT!$B$8)</f>
        <v>0</v>
      </c>
      <c r="F28" s="35" t="str">
        <f>IFERROR(INDEX(CSV_6001!$C$1:$AX$50,MATCH("KwhGiao",CSV_6001!$B$1:$B$50,0),ROW()-1)/1000,"")</f>
        <v/>
      </c>
      <c r="G28" s="35" t="str">
        <f t="shared" si="1"/>
        <v/>
      </c>
      <c r="H28" s="35">
        <f ca="1">IF(D28="","",D28*(1-CAI_DAT!$B$9))</f>
        <v>0</v>
      </c>
      <c r="I28" s="35">
        <f ca="1">IF(D28="","",D28*(1+CAI_DAT!$B$9))</f>
        <v>0</v>
      </c>
      <c r="J28" s="35" t="str">
        <f>IFERROR(INDEX(CSV_6303!$C$1:$AX$50,MATCH("KwhGiao",CSV_6303!$B$1:$B$50,0),ROW()-1)/1000,"")</f>
        <v/>
      </c>
      <c r="K28" s="35" t="str">
        <f t="shared" ca="1" si="2"/>
        <v/>
      </c>
      <c r="L28" s="13" t="str">
        <f t="shared" ca="1" si="3"/>
        <v/>
      </c>
      <c r="M28" s="13" t="str">
        <f ca="1">IF(CAI_DAT!$B$4&lt;TODAY(),"Đã ghi nhận",IF(CAI_DAT!$B$4&gt;TODAY(),"Dự kiến",IF(C28&lt;=MOD(NOW(),1),"Đã ghi nhận",IF(B28&lt;=MOD(NOW(),1),"Chu kỳ hiện tại","Dự kiến"))))</f>
        <v>Đã ghi nhận</v>
      </c>
      <c r="N28" s="6" t="s">
        <v>292</v>
      </c>
      <c r="O28" s="44"/>
      <c r="P28" s="44" t="str">
        <f t="shared" ca="1" si="4"/>
        <v/>
      </c>
      <c r="Q28" t="str">
        <f t="shared" ca="1" si="5"/>
        <v/>
      </c>
    </row>
    <row r="29" spans="1:17">
      <c r="A29" s="5" t="str">
        <f t="shared" si="0"/>
        <v>28 [13:30-14:00]</v>
      </c>
      <c r="B29" s="32">
        <v>0.5625</v>
      </c>
      <c r="C29" s="32">
        <v>0.58333333333333337</v>
      </c>
      <c r="D29" s="35">
        <f ca="1">DIEN_TICH!DV29</f>
        <v>0</v>
      </c>
      <c r="E29" s="35">
        <f ca="1">IF(D29="","",D29/2*CAI_DAT!$B$8)</f>
        <v>0</v>
      </c>
      <c r="F29" s="35" t="str">
        <f>IFERROR(INDEX(CSV_6001!$C$1:$AX$50,MATCH("KwhGiao",CSV_6001!$B$1:$B$50,0),ROW()-1)/1000,"")</f>
        <v/>
      </c>
      <c r="G29" s="35" t="str">
        <f t="shared" si="1"/>
        <v/>
      </c>
      <c r="H29" s="35">
        <f ca="1">IF(D29="","",D29*(1-CAI_DAT!$B$9))</f>
        <v>0</v>
      </c>
      <c r="I29" s="35">
        <f ca="1">IF(D29="","",D29*(1+CAI_DAT!$B$9))</f>
        <v>0</v>
      </c>
      <c r="J29" s="35" t="str">
        <f>IFERROR(INDEX(CSV_6303!$C$1:$AX$50,MATCH("KwhGiao",CSV_6303!$B$1:$B$50,0),ROW()-1)/1000,"")</f>
        <v/>
      </c>
      <c r="K29" s="35" t="str">
        <f t="shared" ca="1" si="2"/>
        <v/>
      </c>
      <c r="L29" s="13" t="str">
        <f t="shared" ca="1" si="3"/>
        <v/>
      </c>
      <c r="M29" s="13" t="str">
        <f ca="1">IF(CAI_DAT!$B$4&lt;TODAY(),"Đã ghi nhận",IF(CAI_DAT!$B$4&gt;TODAY(),"Dự kiến",IF(C29&lt;=MOD(NOW(),1),"Đã ghi nhận",IF(B29&lt;=MOD(NOW(),1),"Chu kỳ hiện tại","Dự kiến"))))</f>
        <v>Đã ghi nhận</v>
      </c>
      <c r="N29" s="6" t="s">
        <v>292</v>
      </c>
      <c r="O29" s="44"/>
      <c r="P29" s="44" t="str">
        <f t="shared" ca="1" si="4"/>
        <v/>
      </c>
      <c r="Q29" t="str">
        <f t="shared" ca="1" si="5"/>
        <v/>
      </c>
    </row>
    <row r="30" spans="1:17">
      <c r="A30" s="5" t="str">
        <f t="shared" si="0"/>
        <v>29 [14:00-14:30]</v>
      </c>
      <c r="B30" s="32">
        <v>0.58333333333333337</v>
      </c>
      <c r="C30" s="32">
        <v>0.60416666666666663</v>
      </c>
      <c r="D30" s="35">
        <f ca="1">DIEN_TICH!DV30</f>
        <v>0</v>
      </c>
      <c r="E30" s="35">
        <f ca="1">IF(D30="","",D30/2*CAI_DAT!$B$8)</f>
        <v>0</v>
      </c>
      <c r="F30" s="35" t="str">
        <f>IFERROR(INDEX(CSV_6001!$C$1:$AX$50,MATCH("KwhGiao",CSV_6001!$B$1:$B$50,0),ROW()-1)/1000,"")</f>
        <v/>
      </c>
      <c r="G30" s="35" t="str">
        <f t="shared" si="1"/>
        <v/>
      </c>
      <c r="H30" s="35">
        <f ca="1">IF(D30="","",D30*(1-CAI_DAT!$B$9))</f>
        <v>0</v>
      </c>
      <c r="I30" s="35">
        <f ca="1">IF(D30="","",D30*(1+CAI_DAT!$B$9))</f>
        <v>0</v>
      </c>
      <c r="J30" s="35" t="str">
        <f>IFERROR(INDEX(CSV_6303!$C$1:$AX$50,MATCH("KwhGiao",CSV_6303!$B$1:$B$50,0),ROW()-1)/1000,"")</f>
        <v/>
      </c>
      <c r="K30" s="35" t="str">
        <f t="shared" ca="1" si="2"/>
        <v/>
      </c>
      <c r="L30" s="13" t="str">
        <f t="shared" ca="1" si="3"/>
        <v/>
      </c>
      <c r="M30" s="13" t="str">
        <f ca="1">IF(CAI_DAT!$B$4&lt;TODAY(),"Đã ghi nhận",IF(CAI_DAT!$B$4&gt;TODAY(),"Dự kiến",IF(C30&lt;=MOD(NOW(),1),"Đã ghi nhận",IF(B30&lt;=MOD(NOW(),1),"Chu kỳ hiện tại","Dự kiến"))))</f>
        <v>Đã ghi nhận</v>
      </c>
      <c r="N30" s="6" t="s">
        <v>292</v>
      </c>
      <c r="O30" s="44"/>
      <c r="P30" s="44" t="str">
        <f t="shared" ca="1" si="4"/>
        <v/>
      </c>
      <c r="Q30" t="str">
        <f t="shared" ca="1" si="5"/>
        <v/>
      </c>
    </row>
    <row r="31" spans="1:17">
      <c r="A31" s="5" t="str">
        <f t="shared" si="0"/>
        <v>30 [14:30-15:00]</v>
      </c>
      <c r="B31" s="32">
        <v>0.60416666666666663</v>
      </c>
      <c r="C31" s="32">
        <v>0.625</v>
      </c>
      <c r="D31" s="35">
        <f ca="1">DIEN_TICH!DV31</f>
        <v>0</v>
      </c>
      <c r="E31" s="35">
        <f ca="1">IF(D31="","",D31/2*CAI_DAT!$B$8)</f>
        <v>0</v>
      </c>
      <c r="F31" s="35" t="str">
        <f>IFERROR(INDEX(CSV_6001!$C$1:$AX$50,MATCH("KwhGiao",CSV_6001!$B$1:$B$50,0),ROW()-1)/1000,"")</f>
        <v/>
      </c>
      <c r="G31" s="35" t="str">
        <f t="shared" si="1"/>
        <v/>
      </c>
      <c r="H31" s="35">
        <f ca="1">IF(D31="","",D31*(1-CAI_DAT!$B$9))</f>
        <v>0</v>
      </c>
      <c r="I31" s="35">
        <f ca="1">IF(D31="","",D31*(1+CAI_DAT!$B$9))</f>
        <v>0</v>
      </c>
      <c r="J31" s="35" t="str">
        <f>IFERROR(INDEX(CSV_6303!$C$1:$AX$50,MATCH("KwhGiao",CSV_6303!$B$1:$B$50,0),ROW()-1)/1000,"")</f>
        <v/>
      </c>
      <c r="K31" s="35" t="str">
        <f t="shared" ca="1" si="2"/>
        <v/>
      </c>
      <c r="L31" s="13" t="str">
        <f t="shared" ca="1" si="3"/>
        <v/>
      </c>
      <c r="M31" s="13" t="str">
        <f ca="1">IF(CAI_DAT!$B$4&lt;TODAY(),"Đã ghi nhận",IF(CAI_DAT!$B$4&gt;TODAY(),"Dự kiến",IF(C31&lt;=MOD(NOW(),1),"Đã ghi nhận",IF(B31&lt;=MOD(NOW(),1),"Chu kỳ hiện tại","Dự kiến"))))</f>
        <v>Đã ghi nhận</v>
      </c>
      <c r="N31" s="6" t="s">
        <v>292</v>
      </c>
      <c r="O31" s="44"/>
      <c r="P31" s="44" t="str">
        <f t="shared" ca="1" si="4"/>
        <v/>
      </c>
      <c r="Q31" t="str">
        <f t="shared" ca="1" si="5"/>
        <v/>
      </c>
    </row>
    <row r="32" spans="1:17">
      <c r="A32" s="5" t="str">
        <f t="shared" si="0"/>
        <v>31 [15:00-15:30]</v>
      </c>
      <c r="B32" s="32">
        <v>0.625</v>
      </c>
      <c r="C32" s="32">
        <v>0.64583333333333337</v>
      </c>
      <c r="D32" s="35">
        <f ca="1">DIEN_TICH!DV32</f>
        <v>0</v>
      </c>
      <c r="E32" s="35">
        <f ca="1">IF(D32="","",D32/2*CAI_DAT!$B$8)</f>
        <v>0</v>
      </c>
      <c r="F32" s="35" t="str">
        <f>IFERROR(INDEX(CSV_6001!$C$1:$AX$50,MATCH("KwhGiao",CSV_6001!$B$1:$B$50,0),ROW()-1)/1000,"")</f>
        <v/>
      </c>
      <c r="G32" s="35" t="str">
        <f t="shared" si="1"/>
        <v/>
      </c>
      <c r="H32" s="35">
        <f ca="1">IF(D32="","",D32*(1-CAI_DAT!$B$9))</f>
        <v>0</v>
      </c>
      <c r="I32" s="35">
        <f ca="1">IF(D32="","",D32*(1+CAI_DAT!$B$9))</f>
        <v>0</v>
      </c>
      <c r="J32" s="35" t="str">
        <f>IFERROR(INDEX(CSV_6303!$C$1:$AX$50,MATCH("KwhGiao",CSV_6303!$B$1:$B$50,0),ROW()-1)/1000,"")</f>
        <v/>
      </c>
      <c r="K32" s="35" t="str">
        <f t="shared" ca="1" si="2"/>
        <v/>
      </c>
      <c r="L32" s="13" t="str">
        <f t="shared" ca="1" si="3"/>
        <v/>
      </c>
      <c r="M32" s="13" t="str">
        <f ca="1">IF(CAI_DAT!$B$4&lt;TODAY(),"Đã ghi nhận",IF(CAI_DAT!$B$4&gt;TODAY(),"Dự kiến",IF(C32&lt;=MOD(NOW(),1),"Đã ghi nhận",IF(B32&lt;=MOD(NOW(),1),"Chu kỳ hiện tại","Dự kiến"))))</f>
        <v>Đã ghi nhận</v>
      </c>
      <c r="N32" s="6" t="s">
        <v>292</v>
      </c>
      <c r="O32" s="44"/>
      <c r="P32" s="44" t="str">
        <f t="shared" ca="1" si="4"/>
        <v/>
      </c>
      <c r="Q32" t="str">
        <f t="shared" ca="1" si="5"/>
        <v/>
      </c>
    </row>
    <row r="33" spans="1:18">
      <c r="A33" s="5" t="str">
        <f t="shared" si="0"/>
        <v>32 [15:30-16:00]</v>
      </c>
      <c r="B33" s="32">
        <v>0.64583333333333337</v>
      </c>
      <c r="C33" s="32">
        <v>0.66666666666666663</v>
      </c>
      <c r="D33" s="35">
        <f ca="1">DIEN_TICH!DV33</f>
        <v>0</v>
      </c>
      <c r="E33" s="35">
        <f ca="1">IF(D33="","",D33/2*CAI_DAT!$B$8)</f>
        <v>0</v>
      </c>
      <c r="F33" s="35" t="str">
        <f>IFERROR(INDEX(CSV_6001!$C$1:$AX$50,MATCH("KwhGiao",CSV_6001!$B$1:$B$50,0),ROW()-1)/1000,"")</f>
        <v/>
      </c>
      <c r="G33" s="35" t="str">
        <f t="shared" si="1"/>
        <v/>
      </c>
      <c r="H33" s="35">
        <f ca="1">IF(D33="","",D33*(1-CAI_DAT!$B$9))</f>
        <v>0</v>
      </c>
      <c r="I33" s="35">
        <f ca="1">IF(D33="","",D33*(1+CAI_DAT!$B$9))</f>
        <v>0</v>
      </c>
      <c r="J33" s="35" t="str">
        <f>IFERROR(INDEX(CSV_6303!$C$1:$AX$50,MATCH("KwhGiao",CSV_6303!$B$1:$B$50,0),ROW()-1)/1000,"")</f>
        <v/>
      </c>
      <c r="K33" s="35" t="str">
        <f t="shared" ca="1" si="2"/>
        <v/>
      </c>
      <c r="L33" s="13" t="str">
        <f t="shared" ca="1" si="3"/>
        <v/>
      </c>
      <c r="M33" s="13" t="str">
        <f ca="1">IF(CAI_DAT!$B$4&lt;TODAY(),"Đã ghi nhận",IF(CAI_DAT!$B$4&gt;TODAY(),"Dự kiến",IF(C33&lt;=MOD(NOW(),1),"Đã ghi nhận",IF(B33&lt;=MOD(NOW(),1),"Chu kỳ hiện tại","Dự kiến"))))</f>
        <v>Đã ghi nhận</v>
      </c>
      <c r="N33" s="6" t="s">
        <v>292</v>
      </c>
      <c r="O33" s="44"/>
      <c r="P33" s="44" t="str">
        <f t="shared" ca="1" si="4"/>
        <v/>
      </c>
      <c r="Q33" t="str">
        <f t="shared" ca="1" si="5"/>
        <v/>
      </c>
    </row>
    <row r="34" spans="1:18">
      <c r="A34" s="5" t="str">
        <f t="shared" si="0"/>
        <v>33 [16:00-16:30]</v>
      </c>
      <c r="B34" s="32">
        <v>0.66666666666666663</v>
      </c>
      <c r="C34" s="32">
        <v>0.6875</v>
      </c>
      <c r="D34" s="35">
        <f ca="1">DIEN_TICH!DV34</f>
        <v>0</v>
      </c>
      <c r="E34" s="35">
        <f ca="1">IF(D34="","",D34/2*CAI_DAT!$B$8)</f>
        <v>0</v>
      </c>
      <c r="F34" s="35" t="str">
        <f>IFERROR(INDEX(CSV_6001!$C$1:$AX$50,MATCH("KwhGiao",CSV_6001!$B$1:$B$50,0),ROW()-1)/1000,"")</f>
        <v/>
      </c>
      <c r="G34" s="35" t="str">
        <f t="shared" si="1"/>
        <v/>
      </c>
      <c r="H34" s="35">
        <f ca="1">IF(D34="","",D34*(1-CAI_DAT!$B$9))</f>
        <v>0</v>
      </c>
      <c r="I34" s="35">
        <f ca="1">IF(D34="","",D34*(1+CAI_DAT!$B$9))</f>
        <v>0</v>
      </c>
      <c r="J34" s="35" t="str">
        <f>IFERROR(INDEX(CSV_6303!$C$1:$AX$50,MATCH("KwhGiao",CSV_6303!$B$1:$B$50,0),ROW()-1)/1000,"")</f>
        <v/>
      </c>
      <c r="K34" s="35" t="str">
        <f t="shared" ca="1" si="2"/>
        <v/>
      </c>
      <c r="L34" s="13" t="str">
        <f t="shared" ca="1" si="3"/>
        <v/>
      </c>
      <c r="M34" s="13" t="str">
        <f ca="1">IF(CAI_DAT!$B$4&lt;TODAY(),"Đã ghi nhận",IF(CAI_DAT!$B$4&gt;TODAY(),"Dự kiến",IF(C34&lt;=MOD(NOW(),1),"Đã ghi nhận",IF(B34&lt;=MOD(NOW(),1),"Chu kỳ hiện tại","Dự kiến"))))</f>
        <v>Đã ghi nhận</v>
      </c>
      <c r="N34" s="6" t="s">
        <v>292</v>
      </c>
      <c r="O34" s="44"/>
      <c r="P34" s="44" t="str">
        <f t="shared" ca="1" si="4"/>
        <v/>
      </c>
      <c r="Q34" t="str">
        <f t="shared" ca="1" si="5"/>
        <v/>
      </c>
    </row>
    <row r="35" spans="1:18">
      <c r="A35" s="5" t="str">
        <f t="shared" si="0"/>
        <v>34 [16:30-17:00]</v>
      </c>
      <c r="B35" s="32">
        <v>0.6875</v>
      </c>
      <c r="C35" s="32">
        <v>0.70833333333333337</v>
      </c>
      <c r="D35" s="35">
        <f ca="1">DIEN_TICH!DV35</f>
        <v>0</v>
      </c>
      <c r="E35" s="35">
        <f ca="1">IF(D35="","",D35/2*CAI_DAT!$B$8)</f>
        <v>0</v>
      </c>
      <c r="F35" s="35" t="str">
        <f>IFERROR(INDEX(CSV_6001!$C$1:$AX$50,MATCH("KwhGiao",CSV_6001!$B$1:$B$50,0),ROW()-1)/1000,"")</f>
        <v/>
      </c>
      <c r="G35" s="35" t="str">
        <f t="shared" si="1"/>
        <v/>
      </c>
      <c r="H35" s="35">
        <f ca="1">IF(D35="","",D35*(1-CAI_DAT!$B$9))</f>
        <v>0</v>
      </c>
      <c r="I35" s="35">
        <f ca="1">IF(D35="","",D35*(1+CAI_DAT!$B$9))</f>
        <v>0</v>
      </c>
      <c r="J35" s="35" t="str">
        <f>IFERROR(INDEX(CSV_6303!$C$1:$AX$50,MATCH("KwhGiao",CSV_6303!$B$1:$B$50,0),ROW()-1)/1000,"")</f>
        <v/>
      </c>
      <c r="K35" s="35" t="str">
        <f t="shared" ca="1" si="2"/>
        <v/>
      </c>
      <c r="L35" s="13" t="str">
        <f t="shared" ca="1" si="3"/>
        <v/>
      </c>
      <c r="M35" s="13" t="str">
        <f ca="1">IF(CAI_DAT!$B$4&lt;TODAY(),"Đã ghi nhận",IF(CAI_DAT!$B$4&gt;TODAY(),"Dự kiến",IF(C35&lt;=MOD(NOW(),1),"Đã ghi nhận",IF(B35&lt;=MOD(NOW(),1),"Chu kỳ hiện tại","Dự kiến"))))</f>
        <v>Đã ghi nhận</v>
      </c>
      <c r="N35" s="6" t="s">
        <v>292</v>
      </c>
      <c r="O35" s="44"/>
      <c r="P35" s="44" t="str">
        <f t="shared" ca="1" si="4"/>
        <v/>
      </c>
      <c r="Q35" t="str">
        <f t="shared" ca="1" si="5"/>
        <v/>
      </c>
    </row>
    <row r="36" spans="1:18">
      <c r="A36" s="5" t="str">
        <f t="shared" si="0"/>
        <v>35 [17:00-17:30]</v>
      </c>
      <c r="B36" s="32">
        <v>0.70833333333333337</v>
      </c>
      <c r="C36" s="32">
        <v>0.72916666666666663</v>
      </c>
      <c r="D36" s="35">
        <f ca="1">DIEN_TICH!DV36</f>
        <v>0</v>
      </c>
      <c r="E36" s="35">
        <f ca="1">IF(D36="","",D36/2*CAI_DAT!$B$8)</f>
        <v>0</v>
      </c>
      <c r="F36" s="35" t="str">
        <f>IFERROR(INDEX(CSV_6001!$C$1:$AX$50,MATCH("KwhGiao",CSV_6001!$B$1:$B$50,0),ROW()-1)/1000,"")</f>
        <v/>
      </c>
      <c r="G36" s="35" t="str">
        <f t="shared" si="1"/>
        <v/>
      </c>
      <c r="H36" s="35">
        <f ca="1">IF(D36="","",D36*(1-CAI_DAT!$B$9))</f>
        <v>0</v>
      </c>
      <c r="I36" s="35">
        <f ca="1">IF(D36="","",D36*(1+CAI_DAT!$B$9))</f>
        <v>0</v>
      </c>
      <c r="J36" s="35" t="str">
        <f>IFERROR(INDEX(CSV_6303!$C$1:$AX$50,MATCH("KwhGiao",CSV_6303!$B$1:$B$50,0),ROW()-1)/1000,"")</f>
        <v/>
      </c>
      <c r="K36" s="35" t="str">
        <f t="shared" ca="1" si="2"/>
        <v/>
      </c>
      <c r="L36" s="13" t="str">
        <f t="shared" ca="1" si="3"/>
        <v/>
      </c>
      <c r="M36" s="13" t="str">
        <f ca="1">IF(CAI_DAT!$B$4&lt;TODAY(),"Đã ghi nhận",IF(CAI_DAT!$B$4&gt;TODAY(),"Dự kiến",IF(C36&lt;=MOD(NOW(),1),"Đã ghi nhận",IF(B36&lt;=MOD(NOW(),1),"Chu kỳ hiện tại","Dự kiến"))))</f>
        <v>Đã ghi nhận</v>
      </c>
      <c r="N36" s="6" t="s">
        <v>292</v>
      </c>
      <c r="O36" s="44"/>
      <c r="P36" s="44" t="str">
        <f t="shared" ca="1" si="4"/>
        <v/>
      </c>
      <c r="Q36" t="str">
        <f t="shared" ca="1" si="5"/>
        <v/>
      </c>
    </row>
    <row r="37" spans="1:18">
      <c r="A37" s="5" t="str">
        <f t="shared" si="0"/>
        <v>36 [17:30-18:00]</v>
      </c>
      <c r="B37" s="32">
        <v>0.72916666666666663</v>
      </c>
      <c r="C37" s="32">
        <v>0.75</v>
      </c>
      <c r="D37" s="35">
        <f ca="1">DIEN_TICH!DV37</f>
        <v>0</v>
      </c>
      <c r="E37" s="35">
        <f ca="1">IF(D37="","",D37/2*CAI_DAT!$B$8)</f>
        <v>0</v>
      </c>
      <c r="F37" s="35" t="str">
        <f>IFERROR(INDEX(CSV_6001!$C$1:$AX$50,MATCH("KwhGiao",CSV_6001!$B$1:$B$50,0),ROW()-1)/1000,"")</f>
        <v/>
      </c>
      <c r="G37" s="35" t="str">
        <f t="shared" si="1"/>
        <v/>
      </c>
      <c r="H37" s="35">
        <f ca="1">IF(D37="","",D37*(1-CAI_DAT!$B$9))</f>
        <v>0</v>
      </c>
      <c r="I37" s="35">
        <f ca="1">IF(D37="","",D37*(1+CAI_DAT!$B$9))</f>
        <v>0</v>
      </c>
      <c r="J37" s="35" t="str">
        <f>IFERROR(INDEX(CSV_6303!$C$1:$AX$50,MATCH("KwhGiao",CSV_6303!$B$1:$B$50,0),ROW()-1)/1000,"")</f>
        <v/>
      </c>
      <c r="K37" s="35" t="str">
        <f t="shared" ca="1" si="2"/>
        <v/>
      </c>
      <c r="L37" s="13" t="str">
        <f t="shared" ca="1" si="3"/>
        <v/>
      </c>
      <c r="M37" s="13" t="str">
        <f ca="1">IF(CAI_DAT!$B$4&lt;TODAY(),"Đã ghi nhận",IF(CAI_DAT!$B$4&gt;TODAY(),"Dự kiến",IF(C37&lt;=MOD(NOW(),1),"Đã ghi nhận",IF(B37&lt;=MOD(NOW(),1),"Chu kỳ hiện tại","Dự kiến"))))</f>
        <v>Đã ghi nhận</v>
      </c>
      <c r="N37" s="6" t="s">
        <v>292</v>
      </c>
      <c r="O37" s="44"/>
      <c r="P37" s="44" t="str">
        <f t="shared" ca="1" si="4"/>
        <v/>
      </c>
      <c r="Q37" t="str">
        <f t="shared" ca="1" si="5"/>
        <v/>
      </c>
    </row>
    <row r="38" spans="1:18">
      <c r="A38" s="5" t="str">
        <f t="shared" si="0"/>
        <v>37 [18:00-18:30]</v>
      </c>
      <c r="B38" s="32">
        <v>0.75</v>
      </c>
      <c r="C38" s="32">
        <v>0.77083333333333337</v>
      </c>
      <c r="D38" s="35">
        <f ca="1">DIEN_TICH!DV38</f>
        <v>0</v>
      </c>
      <c r="E38" s="35">
        <f ca="1">IF(D38="","",D38/2*CAI_DAT!$B$8)</f>
        <v>0</v>
      </c>
      <c r="F38" s="35" t="str">
        <f>IFERROR(INDEX(CSV_6001!$C$1:$AX$50,MATCH("KwhGiao",CSV_6001!$B$1:$B$50,0),ROW()-1)/1000,"")</f>
        <v/>
      </c>
      <c r="G38" s="35" t="str">
        <f t="shared" si="1"/>
        <v/>
      </c>
      <c r="H38" s="35">
        <f ca="1">IF(D38="","",D38*(1-CAI_DAT!$B$9))</f>
        <v>0</v>
      </c>
      <c r="I38" s="35">
        <f ca="1">IF(D38="","",D38*(1+CAI_DAT!$B$9))</f>
        <v>0</v>
      </c>
      <c r="J38" s="35" t="str">
        <f>IFERROR(INDEX(CSV_6303!$C$1:$AX$50,MATCH("KwhGiao",CSV_6303!$B$1:$B$50,0),ROW()-1)/1000,"")</f>
        <v/>
      </c>
      <c r="K38" s="35" t="str">
        <f t="shared" ca="1" si="2"/>
        <v/>
      </c>
      <c r="L38" s="13" t="str">
        <f t="shared" ca="1" si="3"/>
        <v/>
      </c>
      <c r="M38" s="13" t="str">
        <f ca="1">IF(CAI_DAT!$B$4&lt;TODAY(),"Đã ghi nhận",IF(CAI_DAT!$B$4&gt;TODAY(),"Dự kiến",IF(C38&lt;=MOD(NOW(),1),"Đã ghi nhận",IF(B38&lt;=MOD(NOW(),1),"Chu kỳ hiện tại","Dự kiến"))))</f>
        <v>Đã ghi nhận</v>
      </c>
      <c r="N38" s="6" t="s">
        <v>292</v>
      </c>
      <c r="O38" s="44"/>
      <c r="P38" s="44" t="str">
        <f t="shared" ca="1" si="4"/>
        <v/>
      </c>
      <c r="Q38" t="str">
        <f t="shared" ca="1" si="5"/>
        <v/>
      </c>
    </row>
    <row r="39" spans="1:18">
      <c r="A39" s="5" t="str">
        <f t="shared" si="0"/>
        <v>38 [18:30-19:00]</v>
      </c>
      <c r="B39" s="32">
        <v>0.77083333333333337</v>
      </c>
      <c r="C39" s="32">
        <v>0.79166666666666663</v>
      </c>
      <c r="D39" s="35">
        <f ca="1">DIEN_TICH!DV39</f>
        <v>0</v>
      </c>
      <c r="E39" s="35">
        <f ca="1">IF(D39="","",D39/2*CAI_DAT!$B$8)</f>
        <v>0</v>
      </c>
      <c r="F39" s="35" t="str">
        <f>IFERROR(INDEX(CSV_6001!$C$1:$AX$50,MATCH("KwhGiao",CSV_6001!$B$1:$B$50,0),ROW()-1)/1000,"")</f>
        <v/>
      </c>
      <c r="G39" s="35" t="str">
        <f t="shared" si="1"/>
        <v/>
      </c>
      <c r="H39" s="35">
        <f ca="1">IF(D39="","",D39*(1-CAI_DAT!$B$9))</f>
        <v>0</v>
      </c>
      <c r="I39" s="35">
        <f ca="1">IF(D39="","",D39*(1+CAI_DAT!$B$9))</f>
        <v>0</v>
      </c>
      <c r="J39" s="35" t="str">
        <f>IFERROR(INDEX(CSV_6303!$C$1:$AX$50,MATCH("KwhGiao",CSV_6303!$B$1:$B$50,0),ROW()-1)/1000,"")</f>
        <v/>
      </c>
      <c r="K39" s="35" t="str">
        <f t="shared" ca="1" si="2"/>
        <v/>
      </c>
      <c r="L39" s="13" t="str">
        <f t="shared" ca="1" si="3"/>
        <v/>
      </c>
      <c r="M39" s="13" t="str">
        <f ca="1">IF(CAI_DAT!$B$4&lt;TODAY(),"Đã ghi nhận",IF(CAI_DAT!$B$4&gt;TODAY(),"Dự kiến",IF(C39&lt;=MOD(NOW(),1),"Đã ghi nhận",IF(B39&lt;=MOD(NOW(),1),"Chu kỳ hiện tại","Dự kiến"))))</f>
        <v>Đã ghi nhận</v>
      </c>
      <c r="N39" s="6" t="s">
        <v>292</v>
      </c>
      <c r="O39" s="44"/>
      <c r="P39" s="44" t="str">
        <f t="shared" ca="1" si="4"/>
        <v/>
      </c>
      <c r="Q39" t="str">
        <f t="shared" ca="1" si="5"/>
        <v/>
      </c>
    </row>
    <row r="40" spans="1:18">
      <c r="A40" s="5" t="str">
        <f t="shared" si="0"/>
        <v>39 [19:00-19:30]</v>
      </c>
      <c r="B40" s="32">
        <v>0.79166666666666663</v>
      </c>
      <c r="C40" s="32">
        <v>0.8125</v>
      </c>
      <c r="D40" s="35">
        <f ca="1">DIEN_TICH!DV40</f>
        <v>0</v>
      </c>
      <c r="E40" s="35">
        <f ca="1">IF(D40="","",D40/2*CAI_DAT!$B$8)</f>
        <v>0</v>
      </c>
      <c r="F40" s="35" t="str">
        <f>IFERROR(INDEX(CSV_6001!$C$1:$AX$50,MATCH("KwhGiao",CSV_6001!$B$1:$B$50,0),ROW()-1)/1000,"")</f>
        <v/>
      </c>
      <c r="G40" s="35" t="str">
        <f t="shared" si="1"/>
        <v/>
      </c>
      <c r="H40" s="35">
        <f ca="1">IF(D40="","",D40*(1-CAI_DAT!$B$9))</f>
        <v>0</v>
      </c>
      <c r="I40" s="35">
        <f ca="1">IF(D40="","",D40*(1+CAI_DAT!$B$9))</f>
        <v>0</v>
      </c>
      <c r="J40" s="35" t="str">
        <f>IFERROR(INDEX(CSV_6303!$C$1:$AX$50,MATCH("KwhGiao",CSV_6303!$B$1:$B$50,0),ROW()-1)/1000,"")</f>
        <v/>
      </c>
      <c r="K40" s="35" t="str">
        <f t="shared" ca="1" si="2"/>
        <v/>
      </c>
      <c r="L40" s="13" t="str">
        <f t="shared" ca="1" si="3"/>
        <v/>
      </c>
      <c r="M40" s="13" t="str">
        <f ca="1">IF(CAI_DAT!$B$4&lt;TODAY(),"Đã ghi nhận",IF(CAI_DAT!$B$4&gt;TODAY(),"Dự kiến",IF(C40&lt;=MOD(NOW(),1),"Đã ghi nhận",IF(B40&lt;=MOD(NOW(),1),"Chu kỳ hiện tại","Dự kiến"))))</f>
        <v>Đã ghi nhận</v>
      </c>
      <c r="N40" s="6" t="s">
        <v>292</v>
      </c>
      <c r="O40" s="44"/>
      <c r="P40" s="44" t="str">
        <f t="shared" ca="1" si="4"/>
        <v/>
      </c>
      <c r="Q40" t="str">
        <f t="shared" ca="1" si="5"/>
        <v/>
      </c>
    </row>
    <row r="41" spans="1:18">
      <c r="A41" s="5" t="str">
        <f t="shared" si="0"/>
        <v>40 [19:30-20:00]</v>
      </c>
      <c r="B41" s="32">
        <v>0.8125</v>
      </c>
      <c r="C41" s="32">
        <v>0.83333333333333337</v>
      </c>
      <c r="D41" s="35">
        <f ca="1">DIEN_TICH!DV41</f>
        <v>0</v>
      </c>
      <c r="E41" s="35">
        <f ca="1">IF(D41="","",D41/2*CAI_DAT!$B$8)</f>
        <v>0</v>
      </c>
      <c r="F41" s="35" t="str">
        <f>IFERROR(INDEX(CSV_6001!$C$1:$AX$50,MATCH("KwhGiao",CSV_6001!$B$1:$B$50,0),ROW()-1)/1000,"")</f>
        <v/>
      </c>
      <c r="G41" s="35" t="str">
        <f t="shared" si="1"/>
        <v/>
      </c>
      <c r="H41" s="35">
        <f ca="1">IF(D41="","",D41*(1-CAI_DAT!$B$9))</f>
        <v>0</v>
      </c>
      <c r="I41" s="35">
        <f ca="1">IF(D41="","",D41*(1+CAI_DAT!$B$9))</f>
        <v>0</v>
      </c>
      <c r="J41" s="35" t="str">
        <f>IFERROR(INDEX(CSV_6303!$C$1:$AX$50,MATCH("KwhGiao",CSV_6303!$B$1:$B$50,0),ROW()-1)/1000,"")</f>
        <v/>
      </c>
      <c r="K41" s="35" t="str">
        <f t="shared" ca="1" si="2"/>
        <v/>
      </c>
      <c r="L41" s="13" t="str">
        <f t="shared" ca="1" si="3"/>
        <v/>
      </c>
      <c r="M41" s="13" t="str">
        <f ca="1">IF(CAI_DAT!$B$4&lt;TODAY(),"Đã ghi nhận",IF(CAI_DAT!$B$4&gt;TODAY(),"Dự kiến",IF(C41&lt;=MOD(NOW(),1),"Đã ghi nhận",IF(B41&lt;=MOD(NOW(),1),"Chu kỳ hiện tại","Dự kiến"))))</f>
        <v>Đã ghi nhận</v>
      </c>
      <c r="N41" s="6" t="s">
        <v>292</v>
      </c>
      <c r="O41" s="44"/>
      <c r="P41" s="44" t="str">
        <f t="shared" ca="1" si="4"/>
        <v/>
      </c>
      <c r="Q41" t="str">
        <f t="shared" ca="1" si="5"/>
        <v/>
      </c>
    </row>
    <row r="42" spans="1:18">
      <c r="A42" s="5" t="str">
        <f t="shared" si="0"/>
        <v>41 [20:00-20:30]</v>
      </c>
      <c r="B42" s="32">
        <v>0.83333333333333337</v>
      </c>
      <c r="C42" s="32">
        <v>0.85416666666666663</v>
      </c>
      <c r="D42" s="35">
        <f ca="1">DIEN_TICH!DV42</f>
        <v>0</v>
      </c>
      <c r="E42" s="35">
        <f ca="1">IF(D42="","",D42/2*CAI_DAT!$B$8)</f>
        <v>0</v>
      </c>
      <c r="F42" s="35" t="str">
        <f>IFERROR(INDEX(CSV_6001!$C$1:$AX$50,MATCH("KwhGiao",CSV_6001!$B$1:$B$50,0),ROW()-1)/1000,"")</f>
        <v/>
      </c>
      <c r="G42" s="35" t="str">
        <f t="shared" si="1"/>
        <v/>
      </c>
      <c r="H42" s="35">
        <f ca="1">IF(D42="","",D42*(1-CAI_DAT!$B$9))</f>
        <v>0</v>
      </c>
      <c r="I42" s="35">
        <f ca="1">IF(D42="","",D42*(1+CAI_DAT!$B$9))</f>
        <v>0</v>
      </c>
      <c r="J42" s="35" t="str">
        <f>IFERROR(INDEX(CSV_6303!$C$1:$AX$50,MATCH("KwhGiao",CSV_6303!$B$1:$B$50,0),ROW()-1)/1000,"")</f>
        <v/>
      </c>
      <c r="K42" s="35" t="str">
        <f t="shared" ca="1" si="2"/>
        <v/>
      </c>
      <c r="L42" s="13" t="str">
        <f t="shared" ca="1" si="3"/>
        <v/>
      </c>
      <c r="M42" s="13" t="str">
        <f ca="1">IF(CAI_DAT!$B$4&lt;TODAY(),"Đã ghi nhận",IF(CAI_DAT!$B$4&gt;TODAY(),"Dự kiến",IF(C42&lt;=MOD(NOW(),1),"Đã ghi nhận",IF(B42&lt;=MOD(NOW(),1),"Chu kỳ hiện tại","Dự kiến"))))</f>
        <v>Đã ghi nhận</v>
      </c>
      <c r="N42" s="6" t="s">
        <v>292</v>
      </c>
      <c r="O42" s="44"/>
      <c r="P42" s="44" t="str">
        <f t="shared" ca="1" si="4"/>
        <v/>
      </c>
      <c r="Q42" t="str">
        <f t="shared" ca="1" si="5"/>
        <v/>
      </c>
    </row>
    <row r="43" spans="1:18">
      <c r="A43" s="5" t="str">
        <f t="shared" si="0"/>
        <v>42 [20:30-21:00]</v>
      </c>
      <c r="B43" s="32">
        <v>0.85416666666666663</v>
      </c>
      <c r="C43" s="32">
        <v>0.875</v>
      </c>
      <c r="D43" s="35">
        <f ca="1">DIEN_TICH!DV43</f>
        <v>0</v>
      </c>
      <c r="E43" s="35">
        <f ca="1">IF(D43="","",D43/2*CAI_DAT!$B$8)</f>
        <v>0</v>
      </c>
      <c r="F43" s="35" t="str">
        <f>IFERROR(INDEX(CSV_6001!$C$1:$AX$50,MATCH("KwhGiao",CSV_6001!$B$1:$B$50,0),ROW()-1)/1000,"")</f>
        <v/>
      </c>
      <c r="G43" s="35" t="str">
        <f t="shared" si="1"/>
        <v/>
      </c>
      <c r="H43" s="35">
        <f ca="1">IF(D43="","",D43*(1-CAI_DAT!$B$9))</f>
        <v>0</v>
      </c>
      <c r="I43" s="35">
        <f ca="1">IF(D43="","",D43*(1+CAI_DAT!$B$9))</f>
        <v>0</v>
      </c>
      <c r="J43" s="35" t="str">
        <f>IFERROR(INDEX(CSV_6303!$C$1:$AX$50,MATCH("KwhGiao",CSV_6303!$B$1:$B$50,0),ROW()-1)/1000,"")</f>
        <v/>
      </c>
      <c r="K43" s="35" t="str">
        <f t="shared" ca="1" si="2"/>
        <v/>
      </c>
      <c r="L43" s="13" t="str">
        <f t="shared" ca="1" si="3"/>
        <v/>
      </c>
      <c r="M43" s="13" t="str">
        <f ca="1">IF(CAI_DAT!$B$4&lt;TODAY(),"Đã ghi nhận",IF(CAI_DAT!$B$4&gt;TODAY(),"Dự kiến",IF(C43&lt;=MOD(NOW(),1),"Đã ghi nhận",IF(B43&lt;=MOD(NOW(),1),"Chu kỳ hiện tại","Dự kiến"))))</f>
        <v>Đã ghi nhận</v>
      </c>
      <c r="N43" s="6" t="s">
        <v>292</v>
      </c>
      <c r="O43" s="44"/>
      <c r="P43" s="44" t="str">
        <f t="shared" ca="1" si="4"/>
        <v/>
      </c>
      <c r="Q43" t="str">
        <f t="shared" ca="1" si="5"/>
        <v/>
      </c>
      <c r="R43" t="s">
        <v>293</v>
      </c>
    </row>
    <row r="44" spans="1:18">
      <c r="A44" s="5" t="str">
        <f t="shared" si="0"/>
        <v>43 [21:00-21:30]</v>
      </c>
      <c r="B44" s="32">
        <v>0.875</v>
      </c>
      <c r="C44" s="32">
        <v>0.89583333333333337</v>
      </c>
      <c r="D44" s="35">
        <f ca="1">DIEN_TICH!DV44</f>
        <v>0</v>
      </c>
      <c r="E44" s="35">
        <f ca="1">IF(D44="","",D44/2*CAI_DAT!$B$8)</f>
        <v>0</v>
      </c>
      <c r="F44" s="35" t="str">
        <f>IFERROR(INDEX(CSV_6001!$C$1:$AX$50,MATCH("KwhGiao",CSV_6001!$B$1:$B$50,0),ROW()-1)/1000,"")</f>
        <v/>
      </c>
      <c r="G44" s="35" t="str">
        <f t="shared" si="1"/>
        <v/>
      </c>
      <c r="H44" s="35">
        <f ca="1">IF(D44="","",D44*(1-CAI_DAT!$B$9))</f>
        <v>0</v>
      </c>
      <c r="I44" s="35">
        <f ca="1">IF(D44="","",D44*(1+CAI_DAT!$B$9))</f>
        <v>0</v>
      </c>
      <c r="J44" s="35" t="str">
        <f>IFERROR(INDEX(CSV_6303!$C$1:$AX$50,MATCH("KwhGiao",CSV_6303!$B$1:$B$50,0),ROW()-1)/1000,"")</f>
        <v/>
      </c>
      <c r="K44" s="35" t="str">
        <f t="shared" ca="1" si="2"/>
        <v/>
      </c>
      <c r="L44" s="13" t="str">
        <f t="shared" ca="1" si="3"/>
        <v/>
      </c>
      <c r="M44" s="13" t="str">
        <f ca="1">IF(CAI_DAT!$B$4&lt;TODAY(),"Đã ghi nhận",IF(CAI_DAT!$B$4&gt;TODAY(),"Dự kiến",IF(C44&lt;=MOD(NOW(),1),"Đã ghi nhận",IF(B44&lt;=MOD(NOW(),1),"Chu kỳ hiện tại","Dự kiến"))))</f>
        <v>Đã ghi nhận</v>
      </c>
      <c r="N44" s="6" t="s">
        <v>292</v>
      </c>
      <c r="O44" s="44"/>
      <c r="P44" s="44" t="str">
        <f t="shared" ca="1" si="4"/>
        <v/>
      </c>
      <c r="Q44" t="str">
        <f t="shared" ca="1" si="5"/>
        <v/>
      </c>
    </row>
    <row r="45" spans="1:18">
      <c r="A45" s="5" t="str">
        <f t="shared" si="0"/>
        <v>44 [21:30-22:00]</v>
      </c>
      <c r="B45" s="32">
        <v>0.89583333333333337</v>
      </c>
      <c r="C45" s="32">
        <v>0.91666666666666663</v>
      </c>
      <c r="D45" s="35">
        <f ca="1">DIEN_TICH!DV45</f>
        <v>0</v>
      </c>
      <c r="E45" s="35">
        <f ca="1">IF(D45="","",D45/2*CAI_DAT!$B$8)</f>
        <v>0</v>
      </c>
      <c r="F45" s="35" t="str">
        <f>IFERROR(INDEX(CSV_6001!$C$1:$AX$50,MATCH("KwhGiao",CSV_6001!$B$1:$B$50,0),ROW()-1)/1000,"")</f>
        <v/>
      </c>
      <c r="G45" s="35" t="str">
        <f t="shared" si="1"/>
        <v/>
      </c>
      <c r="H45" s="35">
        <f ca="1">IF(D45="","",D45*(1-CAI_DAT!$B$9))</f>
        <v>0</v>
      </c>
      <c r="I45" s="35">
        <f ca="1">IF(D45="","",D45*(1+CAI_DAT!$B$9))</f>
        <v>0</v>
      </c>
      <c r="J45" s="35" t="str">
        <f>IFERROR(INDEX(CSV_6303!$C$1:$AX$50,MATCH("KwhGiao",CSV_6303!$B$1:$B$50,0),ROW()-1)/1000,"")</f>
        <v/>
      </c>
      <c r="K45" s="35" t="str">
        <f t="shared" ca="1" si="2"/>
        <v/>
      </c>
      <c r="L45" s="13" t="str">
        <f t="shared" ca="1" si="3"/>
        <v/>
      </c>
      <c r="M45" s="13" t="str">
        <f ca="1">IF(CAI_DAT!$B$4&lt;TODAY(),"Đã ghi nhận",IF(CAI_DAT!$B$4&gt;TODAY(),"Dự kiến",IF(C45&lt;=MOD(NOW(),1),"Đã ghi nhận",IF(B45&lt;=MOD(NOW(),1),"Chu kỳ hiện tại","Dự kiến"))))</f>
        <v>Đã ghi nhận</v>
      </c>
      <c r="N45" s="6" t="s">
        <v>292</v>
      </c>
      <c r="O45" s="44"/>
      <c r="P45" s="44" t="str">
        <f t="shared" ca="1" si="4"/>
        <v/>
      </c>
      <c r="Q45" t="str">
        <f t="shared" ca="1" si="5"/>
        <v/>
      </c>
    </row>
    <row r="46" spans="1:18">
      <c r="A46" s="5" t="str">
        <f t="shared" si="0"/>
        <v>45 [22:00-22:30]</v>
      </c>
      <c r="B46" s="32">
        <v>0.91666666666666663</v>
      </c>
      <c r="C46" s="32">
        <v>0.9375</v>
      </c>
      <c r="D46" s="35">
        <f ca="1">DIEN_TICH!DV46</f>
        <v>0</v>
      </c>
      <c r="E46" s="35">
        <f ca="1">IF(D46="","",D46/2*CAI_DAT!$B$8)</f>
        <v>0</v>
      </c>
      <c r="F46" s="35" t="str">
        <f>IFERROR(INDEX(CSV_6001!$C$1:$AX$50,MATCH("KwhGiao",CSV_6001!$B$1:$B$50,0),ROW()-1)/1000,"")</f>
        <v/>
      </c>
      <c r="G46" s="35" t="str">
        <f t="shared" si="1"/>
        <v/>
      </c>
      <c r="H46" s="35">
        <f ca="1">IF(D46="","",D46*(1-CAI_DAT!$B$9))</f>
        <v>0</v>
      </c>
      <c r="I46" s="35">
        <f ca="1">IF(D46="","",D46*(1+CAI_DAT!$B$9))</f>
        <v>0</v>
      </c>
      <c r="J46" s="35" t="str">
        <f>IFERROR(INDEX(CSV_6303!$C$1:$AX$50,MATCH("KwhGiao",CSV_6303!$B$1:$B$50,0),ROW()-1)/1000,"")</f>
        <v/>
      </c>
      <c r="K46" s="35" t="str">
        <f t="shared" ca="1" si="2"/>
        <v/>
      </c>
      <c r="L46" s="13" t="str">
        <f t="shared" ca="1" si="3"/>
        <v/>
      </c>
      <c r="M46" s="13" t="str">
        <f ca="1">IF(CAI_DAT!$B$4&lt;TODAY(),"Đã ghi nhận",IF(CAI_DAT!$B$4&gt;TODAY(),"Dự kiến",IF(C46&lt;=MOD(NOW(),1),"Đã ghi nhận",IF(B46&lt;=MOD(NOW(),1),"Chu kỳ hiện tại","Dự kiến"))))</f>
        <v>Đã ghi nhận</v>
      </c>
      <c r="N46" s="6" t="s">
        <v>292</v>
      </c>
      <c r="O46" s="44"/>
      <c r="P46" s="44" t="str">
        <f t="shared" ca="1" si="4"/>
        <v/>
      </c>
      <c r="Q46" t="str">
        <f t="shared" ca="1" si="5"/>
        <v/>
      </c>
    </row>
    <row r="47" spans="1:18">
      <c r="A47" s="5" t="str">
        <f t="shared" si="0"/>
        <v>46 [22:30-23:00]</v>
      </c>
      <c r="B47" s="32">
        <v>0.9375</v>
      </c>
      <c r="C47" s="32">
        <v>0.95833333333333337</v>
      </c>
      <c r="D47" s="35">
        <f ca="1">DIEN_TICH!DV47</f>
        <v>0</v>
      </c>
      <c r="E47" s="35">
        <f ca="1">IF(D47="","",D47/2*CAI_DAT!$B$8)</f>
        <v>0</v>
      </c>
      <c r="F47" s="35" t="str">
        <f>IFERROR(INDEX(CSV_6001!$C$1:$AX$50,MATCH("KwhGiao",CSV_6001!$B$1:$B$50,0),ROW()-1)/1000,"")</f>
        <v/>
      </c>
      <c r="G47" s="35" t="str">
        <f t="shared" si="1"/>
        <v/>
      </c>
      <c r="H47" s="35">
        <f ca="1">IF(D47="","",D47*(1-CAI_DAT!$B$9))</f>
        <v>0</v>
      </c>
      <c r="I47" s="35">
        <f ca="1">IF(D47="","",D47*(1+CAI_DAT!$B$9))</f>
        <v>0</v>
      </c>
      <c r="J47" s="35" t="str">
        <f>IFERROR(INDEX(CSV_6303!$C$1:$AX$50,MATCH("KwhGiao",CSV_6303!$B$1:$B$50,0),ROW()-1)/1000,"")</f>
        <v/>
      </c>
      <c r="K47" s="35" t="str">
        <f t="shared" ca="1" si="2"/>
        <v/>
      </c>
      <c r="L47" s="13" t="str">
        <f t="shared" ca="1" si="3"/>
        <v/>
      </c>
      <c r="M47" s="13" t="str">
        <f ca="1">IF(CAI_DAT!$B$4&lt;TODAY(),"Đã ghi nhận",IF(CAI_DAT!$B$4&gt;TODAY(),"Dự kiến",IF(C47&lt;=MOD(NOW(),1),"Đã ghi nhận",IF(B47&lt;=MOD(NOW(),1),"Chu kỳ hiện tại","Dự kiến"))))</f>
        <v>Đã ghi nhận</v>
      </c>
      <c r="N47" s="6" t="s">
        <v>292</v>
      </c>
      <c r="O47" s="44"/>
      <c r="P47" s="44" t="str">
        <f t="shared" ca="1" si="4"/>
        <v/>
      </c>
      <c r="Q47" t="str">
        <f t="shared" ca="1" si="5"/>
        <v/>
      </c>
    </row>
    <row r="48" spans="1:18">
      <c r="A48" s="5" t="str">
        <f t="shared" si="0"/>
        <v>47 [23:00-23:30]</v>
      </c>
      <c r="B48" s="32">
        <v>0.95833333333333337</v>
      </c>
      <c r="C48" s="32">
        <v>0.97916666666666663</v>
      </c>
      <c r="D48" s="35">
        <f ca="1">DIEN_TICH!DV48</f>
        <v>0</v>
      </c>
      <c r="E48" s="35">
        <f ca="1">IF(D48="","",D48/2*CAI_DAT!$B$8)</f>
        <v>0</v>
      </c>
      <c r="F48" s="35" t="str">
        <f>IFERROR(INDEX(CSV_6001!$C$1:$AX$50,MATCH("KwhGiao",CSV_6001!$B$1:$B$50,0),ROW()-1)/1000,"")</f>
        <v/>
      </c>
      <c r="G48" s="35" t="str">
        <f t="shared" si="1"/>
        <v/>
      </c>
      <c r="H48" s="35">
        <f ca="1">IF(D48="","",D48*(1-CAI_DAT!$B$9))</f>
        <v>0</v>
      </c>
      <c r="I48" s="35">
        <f ca="1">IF(D48="","",D48*(1+CAI_DAT!$B$9))</f>
        <v>0</v>
      </c>
      <c r="J48" s="35" t="str">
        <f>IFERROR(INDEX(CSV_6303!$C$1:$AX$50,MATCH("KwhGiao",CSV_6303!$B$1:$B$50,0),ROW()-1)/1000,"")</f>
        <v/>
      </c>
      <c r="K48" s="35" t="str">
        <f t="shared" ca="1" si="2"/>
        <v/>
      </c>
      <c r="L48" s="13" t="str">
        <f t="shared" ca="1" si="3"/>
        <v/>
      </c>
      <c r="M48" s="13" t="str">
        <f ca="1">IF(CAI_DAT!$B$4&lt;TODAY(),"Đã ghi nhận",IF(CAI_DAT!$B$4&gt;TODAY(),"Dự kiến",IF(C48&lt;=MOD(NOW(),1),"Đã ghi nhận",IF(B48&lt;=MOD(NOW(),1),"Chu kỳ hiện tại","Dự kiến"))))</f>
        <v>Đã ghi nhận</v>
      </c>
      <c r="N48" s="6" t="s">
        <v>292</v>
      </c>
      <c r="O48" s="44"/>
      <c r="P48" s="44" t="str">
        <f t="shared" ca="1" si="4"/>
        <v/>
      </c>
      <c r="Q48" t="str">
        <f t="shared" ca="1" si="5"/>
        <v/>
      </c>
    </row>
    <row r="49" spans="1:17">
      <c r="A49" s="7" t="str">
        <f t="shared" si="0"/>
        <v>48 [23:30-00:00]</v>
      </c>
      <c r="B49" s="33">
        <v>0.97916666666666663</v>
      </c>
      <c r="C49" s="33">
        <v>1</v>
      </c>
      <c r="D49" s="36">
        <f ca="1">DIEN_TICH!DV49</f>
        <v>0</v>
      </c>
      <c r="E49" s="36">
        <f ca="1">IF(D49="","",D49/2*CAI_DAT!$B$8)</f>
        <v>0</v>
      </c>
      <c r="F49" s="36" t="str">
        <f>IFERROR(INDEX(CSV_6001!$C$1:$AX$50,MATCH("KwhGiao",CSV_6001!$B$1:$B$50,0),ROW()-1)/1000,"")</f>
        <v/>
      </c>
      <c r="G49" s="36" t="str">
        <f t="shared" si="1"/>
        <v/>
      </c>
      <c r="H49" s="36">
        <f ca="1">IF(D49="","",D49*(1-CAI_DAT!$B$9))</f>
        <v>0</v>
      </c>
      <c r="I49" s="36">
        <f ca="1">IF(D49="","",D49*(1+CAI_DAT!$B$9))</f>
        <v>0</v>
      </c>
      <c r="J49" s="36" t="str">
        <f>IFERROR(INDEX(CSV_6303!$C$1:$AX$50,MATCH("KwhGiao",CSV_6303!$B$1:$B$50,0),ROW()-1)/1000,"")</f>
        <v/>
      </c>
      <c r="K49" s="36" t="str">
        <f t="shared" ca="1" si="2"/>
        <v/>
      </c>
      <c r="L49" s="14" t="str">
        <f t="shared" ca="1" si="3"/>
        <v/>
      </c>
      <c r="M49" s="14" t="str">
        <f ca="1">IF(CAI_DAT!$B$4&lt;TODAY(),"Đã ghi nhận",IF(CAI_DAT!$B$4&gt;TODAY(),"Dự kiến",IF(C49&lt;=MOD(NOW(),1),"Đã ghi nhận",IF(B49&lt;=MOD(NOW(),1),"Chu kỳ hiện tại","Dự kiến"))))</f>
        <v>Đã ghi nhận</v>
      </c>
      <c r="N49" s="8" t="s">
        <v>292</v>
      </c>
      <c r="O49" s="44"/>
      <c r="P49" s="44" t="str">
        <f t="shared" ca="1" si="4"/>
        <v/>
      </c>
      <c r="Q49" t="str">
        <f t="shared" ca="1" si="5"/>
        <v/>
      </c>
    </row>
  </sheetData>
  <conditionalFormatting sqref="L2:L49">
    <cfRule type="expression" dxfId="8" priority="1">
      <formula>L2="âm"</formula>
    </cfRule>
    <cfRule type="expression" dxfId="7" priority="2">
      <formula>L2="dương"</formula>
    </cfRule>
    <cfRule type="expression" dxfId="6" priority="3">
      <formula>L2="trong ±3%"</formula>
    </cfRule>
  </conditionalFormatting>
  <conditionalFormatting sqref="Q2:Q49">
    <cfRule type="expression" dxfId="5" priority="4">
      <formula>Q2="Khớp"</formula>
    </cfRule>
    <cfRule type="expression" dxfId="4" priority="5">
      <formula>Q2="Kiểm tra"</formula>
    </cfRule>
    <cfRule type="expression" dxfId="3" priority="6">
      <formula>Q2="Lệch lớn"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K52"/>
  <sheetViews>
    <sheetView workbookViewId="0"/>
  </sheetViews>
  <sheetFormatPr baseColWidth="10" defaultColWidth="8.83203125" defaultRowHeight="14"/>
  <cols>
    <col min="1" max="1" width="22" customWidth="1"/>
    <col min="2" max="2" width="13" customWidth="1"/>
    <col min="3" max="3" width="15" customWidth="1"/>
    <col min="4" max="6" width="13" customWidth="1"/>
    <col min="7" max="7" width="18" customWidth="1"/>
    <col min="8" max="8" width="13" customWidth="1"/>
    <col min="9" max="10" width="14" customWidth="1"/>
    <col min="11" max="11" width="18" customWidth="1"/>
  </cols>
  <sheetData>
    <row r="1" spans="1:11" ht="19">
      <c r="A1" s="119" t="s">
        <v>294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</row>
    <row r="2" spans="1:11">
      <c r="A2" s="120" t="str">
        <f>"Ngày: "&amp;TEXT(CAI_DAT!$B$4,"dd/mm/yyyy")&amp;"   |   Tổ máy: "&amp;CAI_DAT!$B$5</f>
        <v>Ngày: 00/01/1900   |   Tổ máy: S1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</row>
    <row r="3" spans="1:11" ht="15">
      <c r="A3" s="1" t="s">
        <v>151</v>
      </c>
      <c r="B3" s="11" t="s">
        <v>34</v>
      </c>
      <c r="C3" s="11" t="s">
        <v>36</v>
      </c>
      <c r="D3" s="11" t="s">
        <v>295</v>
      </c>
      <c r="E3" s="11" t="s">
        <v>296</v>
      </c>
      <c r="F3" s="11" t="s">
        <v>297</v>
      </c>
      <c r="G3" s="11" t="s">
        <v>298</v>
      </c>
      <c r="H3" s="11" t="s">
        <v>299</v>
      </c>
      <c r="I3" s="11" t="s">
        <v>283</v>
      </c>
      <c r="J3" s="11" t="s">
        <v>284</v>
      </c>
      <c r="K3" s="2" t="s">
        <v>146</v>
      </c>
    </row>
    <row r="4" spans="1:11">
      <c r="A4" s="3" t="str">
        <f>TINH_TOAN!A2</f>
        <v>01 [00:00-00:30]</v>
      </c>
      <c r="B4" s="34">
        <f ca="1">TINH_TOAN!D2</f>
        <v>0</v>
      </c>
      <c r="C4" s="34">
        <f ca="1">TINH_TOAN!E2</f>
        <v>0</v>
      </c>
      <c r="D4" s="34" t="str">
        <f>TINH_TOAN!F2</f>
        <v/>
      </c>
      <c r="E4" s="34" t="str">
        <f>TINH_TOAN!J2</f>
        <v/>
      </c>
      <c r="F4" s="34" t="str">
        <f ca="1">TINH_TOAN!K2</f>
        <v/>
      </c>
      <c r="G4" s="34" t="str">
        <f ca="1">TINH_TOAN!L2</f>
        <v/>
      </c>
      <c r="H4" s="34" t="str">
        <f>TINH_TOAN!G2</f>
        <v/>
      </c>
      <c r="I4" s="34">
        <f ca="1">TINH_TOAN!H2</f>
        <v>0</v>
      </c>
      <c r="J4" s="34">
        <f ca="1">TINH_TOAN!I2</f>
        <v>0</v>
      </c>
      <c r="K4" s="4" t="str">
        <f ca="1">IF(TINH_TOAN!M2="Dự kiến","Dự kiến","")</f>
        <v/>
      </c>
    </row>
    <row r="5" spans="1:11">
      <c r="A5" s="5" t="str">
        <f>TINH_TOAN!A3</f>
        <v>02 [00:30-01:00]</v>
      </c>
      <c r="B5" s="35">
        <f ca="1">TINH_TOAN!D3</f>
        <v>0</v>
      </c>
      <c r="C5" s="35">
        <f ca="1">TINH_TOAN!E3</f>
        <v>0</v>
      </c>
      <c r="D5" s="35" t="str">
        <f>TINH_TOAN!F3</f>
        <v/>
      </c>
      <c r="E5" s="35" t="str">
        <f>TINH_TOAN!J3</f>
        <v/>
      </c>
      <c r="F5" s="35" t="str">
        <f ca="1">TINH_TOAN!K3</f>
        <v/>
      </c>
      <c r="G5" s="35" t="str">
        <f ca="1">TINH_TOAN!L3</f>
        <v/>
      </c>
      <c r="H5" s="35" t="str">
        <f>TINH_TOAN!G3</f>
        <v/>
      </c>
      <c r="I5" s="35">
        <f ca="1">TINH_TOAN!H3</f>
        <v>0</v>
      </c>
      <c r="J5" s="35">
        <f ca="1">TINH_TOAN!I3</f>
        <v>0</v>
      </c>
      <c r="K5" s="6" t="str">
        <f ca="1">IF(TINH_TOAN!M3="Dự kiến","Dự kiến","")</f>
        <v/>
      </c>
    </row>
    <row r="6" spans="1:11">
      <c r="A6" s="5" t="str">
        <f>TINH_TOAN!A4</f>
        <v>03 [01:00-01:30]</v>
      </c>
      <c r="B6" s="35">
        <f ca="1">TINH_TOAN!D4</f>
        <v>0</v>
      </c>
      <c r="C6" s="35">
        <f ca="1">TINH_TOAN!E4</f>
        <v>0</v>
      </c>
      <c r="D6" s="35" t="str">
        <f>TINH_TOAN!F4</f>
        <v/>
      </c>
      <c r="E6" s="35" t="str">
        <f>TINH_TOAN!J4</f>
        <v/>
      </c>
      <c r="F6" s="35" t="str">
        <f ca="1">TINH_TOAN!K4</f>
        <v/>
      </c>
      <c r="G6" s="35" t="str">
        <f ca="1">TINH_TOAN!L4</f>
        <v/>
      </c>
      <c r="H6" s="35" t="str">
        <f>TINH_TOAN!G4</f>
        <v/>
      </c>
      <c r="I6" s="35">
        <f ca="1">TINH_TOAN!H4</f>
        <v>0</v>
      </c>
      <c r="J6" s="35">
        <f ca="1">TINH_TOAN!I4</f>
        <v>0</v>
      </c>
      <c r="K6" s="6" t="str">
        <f ca="1">IF(TINH_TOAN!M4="Dự kiến","Dự kiến","")</f>
        <v/>
      </c>
    </row>
    <row r="7" spans="1:11">
      <c r="A7" s="5" t="str">
        <f>TINH_TOAN!A5</f>
        <v>04 [01:30-02:00]</v>
      </c>
      <c r="B7" s="35">
        <f ca="1">TINH_TOAN!D5</f>
        <v>0</v>
      </c>
      <c r="C7" s="35">
        <f ca="1">TINH_TOAN!E5</f>
        <v>0</v>
      </c>
      <c r="D7" s="35" t="str">
        <f>TINH_TOAN!F5</f>
        <v/>
      </c>
      <c r="E7" s="35" t="str">
        <f>TINH_TOAN!J5</f>
        <v/>
      </c>
      <c r="F7" s="35" t="str">
        <f ca="1">TINH_TOAN!K5</f>
        <v/>
      </c>
      <c r="G7" s="35" t="str">
        <f ca="1">TINH_TOAN!L5</f>
        <v/>
      </c>
      <c r="H7" s="35" t="str">
        <f>TINH_TOAN!G5</f>
        <v/>
      </c>
      <c r="I7" s="35">
        <f ca="1">TINH_TOAN!H5</f>
        <v>0</v>
      </c>
      <c r="J7" s="35">
        <f ca="1">TINH_TOAN!I5</f>
        <v>0</v>
      </c>
      <c r="K7" s="6" t="str">
        <f ca="1">IF(TINH_TOAN!M5="Dự kiến","Dự kiến","")</f>
        <v/>
      </c>
    </row>
    <row r="8" spans="1:11">
      <c r="A8" s="5" t="str">
        <f>TINH_TOAN!A6</f>
        <v>05 [02:00-02:30]</v>
      </c>
      <c r="B8" s="35">
        <f ca="1">TINH_TOAN!D6</f>
        <v>0</v>
      </c>
      <c r="C8" s="35">
        <f ca="1">TINH_TOAN!E6</f>
        <v>0</v>
      </c>
      <c r="D8" s="35" t="str">
        <f>TINH_TOAN!F6</f>
        <v/>
      </c>
      <c r="E8" s="35" t="str">
        <f>TINH_TOAN!J6</f>
        <v/>
      </c>
      <c r="F8" s="35" t="str">
        <f ca="1">TINH_TOAN!K6</f>
        <v/>
      </c>
      <c r="G8" s="35" t="str">
        <f ca="1">TINH_TOAN!L6</f>
        <v/>
      </c>
      <c r="H8" s="35" t="str">
        <f>TINH_TOAN!G6</f>
        <v/>
      </c>
      <c r="I8" s="35">
        <f ca="1">TINH_TOAN!H6</f>
        <v>0</v>
      </c>
      <c r="J8" s="35">
        <f ca="1">TINH_TOAN!I6</f>
        <v>0</v>
      </c>
      <c r="K8" s="6" t="str">
        <f ca="1">IF(TINH_TOAN!M6="Dự kiến","Dự kiến","")</f>
        <v/>
      </c>
    </row>
    <row r="9" spans="1:11">
      <c r="A9" s="5" t="str">
        <f>TINH_TOAN!A7</f>
        <v>06 [02:30-03:00]</v>
      </c>
      <c r="B9" s="35">
        <f ca="1">TINH_TOAN!D7</f>
        <v>0</v>
      </c>
      <c r="C9" s="35">
        <f ca="1">TINH_TOAN!E7</f>
        <v>0</v>
      </c>
      <c r="D9" s="35" t="str">
        <f>TINH_TOAN!F7</f>
        <v/>
      </c>
      <c r="E9" s="35" t="str">
        <f>TINH_TOAN!J7</f>
        <v/>
      </c>
      <c r="F9" s="35" t="str">
        <f ca="1">TINH_TOAN!K7</f>
        <v/>
      </c>
      <c r="G9" s="35" t="str">
        <f ca="1">TINH_TOAN!L7</f>
        <v/>
      </c>
      <c r="H9" s="35" t="str">
        <f>TINH_TOAN!G7</f>
        <v/>
      </c>
      <c r="I9" s="35">
        <f ca="1">TINH_TOAN!H7</f>
        <v>0</v>
      </c>
      <c r="J9" s="35">
        <f ca="1">TINH_TOAN!I7</f>
        <v>0</v>
      </c>
      <c r="K9" s="6" t="str">
        <f ca="1">IF(TINH_TOAN!M7="Dự kiến","Dự kiến","")</f>
        <v/>
      </c>
    </row>
    <row r="10" spans="1:11">
      <c r="A10" s="5" t="str">
        <f>TINH_TOAN!A8</f>
        <v>07 [03:00-03:30]</v>
      </c>
      <c r="B10" s="35">
        <f ca="1">TINH_TOAN!D8</f>
        <v>0</v>
      </c>
      <c r="C10" s="35">
        <f ca="1">TINH_TOAN!E8</f>
        <v>0</v>
      </c>
      <c r="D10" s="35" t="str">
        <f>TINH_TOAN!F8</f>
        <v/>
      </c>
      <c r="E10" s="35" t="str">
        <f>TINH_TOAN!J8</f>
        <v/>
      </c>
      <c r="F10" s="35" t="str">
        <f ca="1">TINH_TOAN!K8</f>
        <v/>
      </c>
      <c r="G10" s="35" t="str">
        <f ca="1">TINH_TOAN!L8</f>
        <v/>
      </c>
      <c r="H10" s="35" t="str">
        <f>TINH_TOAN!G8</f>
        <v/>
      </c>
      <c r="I10" s="35">
        <f ca="1">TINH_TOAN!H8</f>
        <v>0</v>
      </c>
      <c r="J10" s="35">
        <f ca="1">TINH_TOAN!I8</f>
        <v>0</v>
      </c>
      <c r="K10" s="6" t="str">
        <f ca="1">IF(TINH_TOAN!M8="Dự kiến","Dự kiến","")</f>
        <v/>
      </c>
    </row>
    <row r="11" spans="1:11">
      <c r="A11" s="5" t="str">
        <f>TINH_TOAN!A9</f>
        <v>08 [03:30-04:00]</v>
      </c>
      <c r="B11" s="35">
        <f ca="1">TINH_TOAN!D9</f>
        <v>0</v>
      </c>
      <c r="C11" s="35">
        <f ca="1">TINH_TOAN!E9</f>
        <v>0</v>
      </c>
      <c r="D11" s="35" t="str">
        <f>TINH_TOAN!F9</f>
        <v/>
      </c>
      <c r="E11" s="35" t="str">
        <f>TINH_TOAN!J9</f>
        <v/>
      </c>
      <c r="F11" s="35" t="str">
        <f ca="1">TINH_TOAN!K9</f>
        <v/>
      </c>
      <c r="G11" s="35" t="str">
        <f ca="1">TINH_TOAN!L9</f>
        <v/>
      </c>
      <c r="H11" s="35" t="str">
        <f>TINH_TOAN!G9</f>
        <v/>
      </c>
      <c r="I11" s="35">
        <f ca="1">TINH_TOAN!H9</f>
        <v>0</v>
      </c>
      <c r="J11" s="35">
        <f ca="1">TINH_TOAN!I9</f>
        <v>0</v>
      </c>
      <c r="K11" s="6" t="str">
        <f ca="1">IF(TINH_TOAN!M9="Dự kiến","Dự kiến","")</f>
        <v/>
      </c>
    </row>
    <row r="12" spans="1:11">
      <c r="A12" s="5" t="str">
        <f>TINH_TOAN!A10</f>
        <v>09 [04:00-04:30]</v>
      </c>
      <c r="B12" s="35">
        <f ca="1">TINH_TOAN!D10</f>
        <v>0</v>
      </c>
      <c r="C12" s="35">
        <f ca="1">TINH_TOAN!E10</f>
        <v>0</v>
      </c>
      <c r="D12" s="35" t="str">
        <f>TINH_TOAN!F10</f>
        <v/>
      </c>
      <c r="E12" s="35" t="str">
        <f>TINH_TOAN!J10</f>
        <v/>
      </c>
      <c r="F12" s="35" t="str">
        <f ca="1">TINH_TOAN!K10</f>
        <v/>
      </c>
      <c r="G12" s="35" t="str">
        <f ca="1">TINH_TOAN!L10</f>
        <v/>
      </c>
      <c r="H12" s="35" t="str">
        <f>TINH_TOAN!G10</f>
        <v/>
      </c>
      <c r="I12" s="35">
        <f ca="1">TINH_TOAN!H10</f>
        <v>0</v>
      </c>
      <c r="J12" s="35">
        <f ca="1">TINH_TOAN!I10</f>
        <v>0</v>
      </c>
      <c r="K12" s="6" t="str">
        <f ca="1">IF(TINH_TOAN!M10="Dự kiến","Dự kiến","")</f>
        <v/>
      </c>
    </row>
    <row r="13" spans="1:11">
      <c r="A13" s="5" t="str">
        <f>TINH_TOAN!A11</f>
        <v>10 [04:30-05:00]</v>
      </c>
      <c r="B13" s="35">
        <f ca="1">TINH_TOAN!D11</f>
        <v>0</v>
      </c>
      <c r="C13" s="35">
        <f ca="1">TINH_TOAN!E11</f>
        <v>0</v>
      </c>
      <c r="D13" s="35" t="str">
        <f>TINH_TOAN!F11</f>
        <v/>
      </c>
      <c r="E13" s="35" t="str">
        <f>TINH_TOAN!J11</f>
        <v/>
      </c>
      <c r="F13" s="35" t="str">
        <f ca="1">TINH_TOAN!K11</f>
        <v/>
      </c>
      <c r="G13" s="35" t="str">
        <f ca="1">TINH_TOAN!L11</f>
        <v/>
      </c>
      <c r="H13" s="35" t="str">
        <f>TINH_TOAN!G11</f>
        <v/>
      </c>
      <c r="I13" s="35">
        <f ca="1">TINH_TOAN!H11</f>
        <v>0</v>
      </c>
      <c r="J13" s="35">
        <f ca="1">TINH_TOAN!I11</f>
        <v>0</v>
      </c>
      <c r="K13" s="6" t="str">
        <f ca="1">IF(TINH_TOAN!M11="Dự kiến","Dự kiến","")</f>
        <v/>
      </c>
    </row>
    <row r="14" spans="1:11">
      <c r="A14" s="5" t="str">
        <f>TINH_TOAN!A12</f>
        <v>11 [05:00-05:30]</v>
      </c>
      <c r="B14" s="35">
        <f ca="1">TINH_TOAN!D12</f>
        <v>0</v>
      </c>
      <c r="C14" s="35">
        <f ca="1">TINH_TOAN!E12</f>
        <v>0</v>
      </c>
      <c r="D14" s="35" t="str">
        <f>TINH_TOAN!F12</f>
        <v/>
      </c>
      <c r="E14" s="35" t="str">
        <f>TINH_TOAN!J12</f>
        <v/>
      </c>
      <c r="F14" s="35" t="str">
        <f ca="1">TINH_TOAN!K12</f>
        <v/>
      </c>
      <c r="G14" s="35" t="str">
        <f ca="1">TINH_TOAN!L12</f>
        <v/>
      </c>
      <c r="H14" s="35" t="str">
        <f>TINH_TOAN!G12</f>
        <v/>
      </c>
      <c r="I14" s="35">
        <f ca="1">TINH_TOAN!H12</f>
        <v>0</v>
      </c>
      <c r="J14" s="35">
        <f ca="1">TINH_TOAN!I12</f>
        <v>0</v>
      </c>
      <c r="K14" s="6" t="str">
        <f ca="1">IF(TINH_TOAN!M12="Dự kiến","Dự kiến","")</f>
        <v/>
      </c>
    </row>
    <row r="15" spans="1:11">
      <c r="A15" s="5" t="str">
        <f>TINH_TOAN!A13</f>
        <v>12 [05:30-06:00]</v>
      </c>
      <c r="B15" s="35">
        <f ca="1">TINH_TOAN!D13</f>
        <v>0</v>
      </c>
      <c r="C15" s="35">
        <f ca="1">TINH_TOAN!E13</f>
        <v>0</v>
      </c>
      <c r="D15" s="35" t="str">
        <f>TINH_TOAN!F13</f>
        <v/>
      </c>
      <c r="E15" s="35" t="str">
        <f>TINH_TOAN!J13</f>
        <v/>
      </c>
      <c r="F15" s="35" t="str">
        <f ca="1">TINH_TOAN!K13</f>
        <v/>
      </c>
      <c r="G15" s="35" t="str">
        <f ca="1">TINH_TOAN!L13</f>
        <v/>
      </c>
      <c r="H15" s="35" t="str">
        <f>TINH_TOAN!G13</f>
        <v/>
      </c>
      <c r="I15" s="35">
        <f ca="1">TINH_TOAN!H13</f>
        <v>0</v>
      </c>
      <c r="J15" s="35">
        <f ca="1">TINH_TOAN!I13</f>
        <v>0</v>
      </c>
      <c r="K15" s="6" t="str">
        <f ca="1">IF(TINH_TOAN!M13="Dự kiến","Dự kiến","")</f>
        <v/>
      </c>
    </row>
    <row r="16" spans="1:11">
      <c r="A16" s="5" t="str">
        <f>TINH_TOAN!A14</f>
        <v>13 [06:00-06:30]</v>
      </c>
      <c r="B16" s="35">
        <f ca="1">TINH_TOAN!D14</f>
        <v>0</v>
      </c>
      <c r="C16" s="35">
        <f ca="1">TINH_TOAN!E14</f>
        <v>0</v>
      </c>
      <c r="D16" s="35" t="str">
        <f>TINH_TOAN!F14</f>
        <v/>
      </c>
      <c r="E16" s="35" t="str">
        <f>TINH_TOAN!J14</f>
        <v/>
      </c>
      <c r="F16" s="35" t="str">
        <f ca="1">TINH_TOAN!K14</f>
        <v/>
      </c>
      <c r="G16" s="35" t="str">
        <f ca="1">TINH_TOAN!L14</f>
        <v/>
      </c>
      <c r="H16" s="35" t="str">
        <f>TINH_TOAN!G14</f>
        <v/>
      </c>
      <c r="I16" s="35">
        <f ca="1">TINH_TOAN!H14</f>
        <v>0</v>
      </c>
      <c r="J16" s="35">
        <f ca="1">TINH_TOAN!I14</f>
        <v>0</v>
      </c>
      <c r="K16" s="6" t="str">
        <f ca="1">IF(TINH_TOAN!M14="Dự kiến","Dự kiến","")</f>
        <v/>
      </c>
    </row>
    <row r="17" spans="1:11">
      <c r="A17" s="5" t="str">
        <f>TINH_TOAN!A15</f>
        <v>14 [06:30-07:00]</v>
      </c>
      <c r="B17" s="35">
        <f ca="1">TINH_TOAN!D15</f>
        <v>0</v>
      </c>
      <c r="C17" s="35">
        <f ca="1">TINH_TOAN!E15</f>
        <v>0</v>
      </c>
      <c r="D17" s="35" t="str">
        <f>TINH_TOAN!F15</f>
        <v/>
      </c>
      <c r="E17" s="35" t="str">
        <f>TINH_TOAN!J15</f>
        <v/>
      </c>
      <c r="F17" s="35" t="str">
        <f ca="1">TINH_TOAN!K15</f>
        <v/>
      </c>
      <c r="G17" s="35" t="str">
        <f ca="1">TINH_TOAN!L15</f>
        <v/>
      </c>
      <c r="H17" s="35" t="str">
        <f>TINH_TOAN!G15</f>
        <v/>
      </c>
      <c r="I17" s="35">
        <f ca="1">TINH_TOAN!H15</f>
        <v>0</v>
      </c>
      <c r="J17" s="35">
        <f ca="1">TINH_TOAN!I15</f>
        <v>0</v>
      </c>
      <c r="K17" s="6" t="str">
        <f ca="1">IF(TINH_TOAN!M15="Dự kiến","Dự kiến","")</f>
        <v/>
      </c>
    </row>
    <row r="18" spans="1:11">
      <c r="A18" s="5" t="str">
        <f>TINH_TOAN!A16</f>
        <v>15 [07:00-07:30]</v>
      </c>
      <c r="B18" s="35">
        <f ca="1">TINH_TOAN!D16</f>
        <v>0</v>
      </c>
      <c r="C18" s="35">
        <f ca="1">TINH_TOAN!E16</f>
        <v>0</v>
      </c>
      <c r="D18" s="35" t="str">
        <f>TINH_TOAN!F16</f>
        <v/>
      </c>
      <c r="E18" s="35" t="str">
        <f>TINH_TOAN!J16</f>
        <v/>
      </c>
      <c r="F18" s="35" t="str">
        <f ca="1">TINH_TOAN!K16</f>
        <v/>
      </c>
      <c r="G18" s="35" t="str">
        <f ca="1">TINH_TOAN!L16</f>
        <v/>
      </c>
      <c r="H18" s="35" t="str">
        <f>TINH_TOAN!G16</f>
        <v/>
      </c>
      <c r="I18" s="35">
        <f ca="1">TINH_TOAN!H16</f>
        <v>0</v>
      </c>
      <c r="J18" s="35">
        <f ca="1">TINH_TOAN!I16</f>
        <v>0</v>
      </c>
      <c r="K18" s="6" t="str">
        <f ca="1">IF(TINH_TOAN!M16="Dự kiến","Dự kiến","")</f>
        <v/>
      </c>
    </row>
    <row r="19" spans="1:11">
      <c r="A19" s="5" t="str">
        <f>TINH_TOAN!A17</f>
        <v>16 [07:30-08:00]</v>
      </c>
      <c r="B19" s="35">
        <f ca="1">TINH_TOAN!D17</f>
        <v>0</v>
      </c>
      <c r="C19" s="35">
        <f ca="1">TINH_TOAN!E17</f>
        <v>0</v>
      </c>
      <c r="D19" s="35" t="str">
        <f>TINH_TOAN!F17</f>
        <v/>
      </c>
      <c r="E19" s="35" t="str">
        <f>TINH_TOAN!J17</f>
        <v/>
      </c>
      <c r="F19" s="35" t="str">
        <f ca="1">TINH_TOAN!K17</f>
        <v/>
      </c>
      <c r="G19" s="35" t="str">
        <f ca="1">TINH_TOAN!L17</f>
        <v/>
      </c>
      <c r="H19" s="35" t="str">
        <f>TINH_TOAN!G17</f>
        <v/>
      </c>
      <c r="I19" s="35">
        <f ca="1">TINH_TOAN!H17</f>
        <v>0</v>
      </c>
      <c r="J19" s="35">
        <f ca="1">TINH_TOAN!I17</f>
        <v>0</v>
      </c>
      <c r="K19" s="6" t="str">
        <f ca="1">IF(TINH_TOAN!M17="Dự kiến","Dự kiến","")</f>
        <v/>
      </c>
    </row>
    <row r="20" spans="1:11">
      <c r="A20" s="5" t="str">
        <f>TINH_TOAN!A18</f>
        <v>17 [08:00-08:30]</v>
      </c>
      <c r="B20" s="35">
        <f ca="1">TINH_TOAN!D18</f>
        <v>0</v>
      </c>
      <c r="C20" s="35">
        <f ca="1">TINH_TOAN!E18</f>
        <v>0</v>
      </c>
      <c r="D20" s="35" t="str">
        <f>TINH_TOAN!F18</f>
        <v/>
      </c>
      <c r="E20" s="35" t="str">
        <f>TINH_TOAN!J18</f>
        <v/>
      </c>
      <c r="F20" s="35" t="str">
        <f ca="1">TINH_TOAN!K18</f>
        <v/>
      </c>
      <c r="G20" s="35" t="str">
        <f ca="1">TINH_TOAN!L18</f>
        <v/>
      </c>
      <c r="H20" s="35" t="str">
        <f>TINH_TOAN!G18</f>
        <v/>
      </c>
      <c r="I20" s="35">
        <f ca="1">TINH_TOAN!H18</f>
        <v>0</v>
      </c>
      <c r="J20" s="35">
        <f ca="1">TINH_TOAN!I18</f>
        <v>0</v>
      </c>
      <c r="K20" s="6" t="str">
        <f ca="1">IF(TINH_TOAN!M18="Dự kiến","Dự kiến","")</f>
        <v/>
      </c>
    </row>
    <row r="21" spans="1:11">
      <c r="A21" s="5" t="str">
        <f>TINH_TOAN!A19</f>
        <v>18 [08:30-09:00]</v>
      </c>
      <c r="B21" s="35">
        <f ca="1">TINH_TOAN!D19</f>
        <v>0</v>
      </c>
      <c r="C21" s="35">
        <f ca="1">TINH_TOAN!E19</f>
        <v>0</v>
      </c>
      <c r="D21" s="35" t="str">
        <f>TINH_TOAN!F19</f>
        <v/>
      </c>
      <c r="E21" s="35" t="str">
        <f>TINH_TOAN!J19</f>
        <v/>
      </c>
      <c r="F21" s="35" t="str">
        <f ca="1">TINH_TOAN!K19</f>
        <v/>
      </c>
      <c r="G21" s="35" t="str">
        <f ca="1">TINH_TOAN!L19</f>
        <v/>
      </c>
      <c r="H21" s="35" t="str">
        <f>TINH_TOAN!G19</f>
        <v/>
      </c>
      <c r="I21" s="35">
        <f ca="1">TINH_TOAN!H19</f>
        <v>0</v>
      </c>
      <c r="J21" s="35">
        <f ca="1">TINH_TOAN!I19</f>
        <v>0</v>
      </c>
      <c r="K21" s="6" t="str">
        <f ca="1">IF(TINH_TOAN!M19="Dự kiến","Dự kiến","")</f>
        <v/>
      </c>
    </row>
    <row r="22" spans="1:11">
      <c r="A22" s="5" t="str">
        <f>TINH_TOAN!A20</f>
        <v>19 [09:00-09:30]</v>
      </c>
      <c r="B22" s="35">
        <f ca="1">TINH_TOAN!D20</f>
        <v>0</v>
      </c>
      <c r="C22" s="35">
        <f ca="1">TINH_TOAN!E20</f>
        <v>0</v>
      </c>
      <c r="D22" s="35" t="str">
        <f>TINH_TOAN!F20</f>
        <v/>
      </c>
      <c r="E22" s="35" t="str">
        <f>TINH_TOAN!J20</f>
        <v/>
      </c>
      <c r="F22" s="35" t="str">
        <f ca="1">TINH_TOAN!K20</f>
        <v/>
      </c>
      <c r="G22" s="35" t="str">
        <f ca="1">TINH_TOAN!L20</f>
        <v/>
      </c>
      <c r="H22" s="35" t="str">
        <f>TINH_TOAN!G20</f>
        <v/>
      </c>
      <c r="I22" s="35">
        <f ca="1">TINH_TOAN!H20</f>
        <v>0</v>
      </c>
      <c r="J22" s="35">
        <f ca="1">TINH_TOAN!I20</f>
        <v>0</v>
      </c>
      <c r="K22" s="6" t="str">
        <f ca="1">IF(TINH_TOAN!M20="Dự kiến","Dự kiến","")</f>
        <v/>
      </c>
    </row>
    <row r="23" spans="1:11">
      <c r="A23" s="5" t="str">
        <f>TINH_TOAN!A21</f>
        <v>20 [09:30-10:00]</v>
      </c>
      <c r="B23" s="35">
        <f ca="1">TINH_TOAN!D21</f>
        <v>0</v>
      </c>
      <c r="C23" s="35">
        <f ca="1">TINH_TOAN!E21</f>
        <v>0</v>
      </c>
      <c r="D23" s="35" t="str">
        <f>TINH_TOAN!F21</f>
        <v/>
      </c>
      <c r="E23" s="35" t="str">
        <f>TINH_TOAN!J21</f>
        <v/>
      </c>
      <c r="F23" s="35" t="str">
        <f ca="1">TINH_TOAN!K21</f>
        <v/>
      </c>
      <c r="G23" s="35" t="str">
        <f ca="1">TINH_TOAN!L21</f>
        <v/>
      </c>
      <c r="H23" s="35" t="str">
        <f>TINH_TOAN!G21</f>
        <v/>
      </c>
      <c r="I23" s="35">
        <f ca="1">TINH_TOAN!H21</f>
        <v>0</v>
      </c>
      <c r="J23" s="35">
        <f ca="1">TINH_TOAN!I21</f>
        <v>0</v>
      </c>
      <c r="K23" s="6" t="str">
        <f ca="1">IF(TINH_TOAN!M21="Dự kiến","Dự kiến","")</f>
        <v/>
      </c>
    </row>
    <row r="24" spans="1:11">
      <c r="A24" s="5" t="str">
        <f>TINH_TOAN!A22</f>
        <v>21 [10:00-10:30]</v>
      </c>
      <c r="B24" s="35">
        <f ca="1">TINH_TOAN!D22</f>
        <v>0</v>
      </c>
      <c r="C24" s="35">
        <f ca="1">TINH_TOAN!E22</f>
        <v>0</v>
      </c>
      <c r="D24" s="35" t="str">
        <f>TINH_TOAN!F22</f>
        <v/>
      </c>
      <c r="E24" s="35" t="str">
        <f>TINH_TOAN!J22</f>
        <v/>
      </c>
      <c r="F24" s="35" t="str">
        <f ca="1">TINH_TOAN!K22</f>
        <v/>
      </c>
      <c r="G24" s="35" t="str">
        <f ca="1">TINH_TOAN!L22</f>
        <v/>
      </c>
      <c r="H24" s="35" t="str">
        <f>TINH_TOAN!G22</f>
        <v/>
      </c>
      <c r="I24" s="35">
        <f ca="1">TINH_TOAN!H22</f>
        <v>0</v>
      </c>
      <c r="J24" s="35">
        <f ca="1">TINH_TOAN!I22</f>
        <v>0</v>
      </c>
      <c r="K24" s="6" t="str">
        <f ca="1">IF(TINH_TOAN!M22="Dự kiến","Dự kiến","")</f>
        <v/>
      </c>
    </row>
    <row r="25" spans="1:11">
      <c r="A25" s="5" t="str">
        <f>TINH_TOAN!A23</f>
        <v>22 [10:30-11:00]</v>
      </c>
      <c r="B25" s="35">
        <f ca="1">TINH_TOAN!D23</f>
        <v>0</v>
      </c>
      <c r="C25" s="35">
        <f ca="1">TINH_TOAN!E23</f>
        <v>0</v>
      </c>
      <c r="D25" s="35" t="str">
        <f>TINH_TOAN!F23</f>
        <v/>
      </c>
      <c r="E25" s="35" t="str">
        <f>TINH_TOAN!J23</f>
        <v/>
      </c>
      <c r="F25" s="35" t="str">
        <f ca="1">TINH_TOAN!K23</f>
        <v/>
      </c>
      <c r="G25" s="35" t="str">
        <f ca="1">TINH_TOAN!L23</f>
        <v/>
      </c>
      <c r="H25" s="35" t="str">
        <f>TINH_TOAN!G23</f>
        <v/>
      </c>
      <c r="I25" s="35">
        <f ca="1">TINH_TOAN!H23</f>
        <v>0</v>
      </c>
      <c r="J25" s="35">
        <f ca="1">TINH_TOAN!I23</f>
        <v>0</v>
      </c>
      <c r="K25" s="6" t="str">
        <f ca="1">IF(TINH_TOAN!M23="Dự kiến","Dự kiến","")</f>
        <v/>
      </c>
    </row>
    <row r="26" spans="1:11">
      <c r="A26" s="5" t="str">
        <f>TINH_TOAN!A24</f>
        <v>23 [11:00-11:30]</v>
      </c>
      <c r="B26" s="35">
        <f ca="1">TINH_TOAN!D24</f>
        <v>0</v>
      </c>
      <c r="C26" s="35">
        <f ca="1">TINH_TOAN!E24</f>
        <v>0</v>
      </c>
      <c r="D26" s="35" t="str">
        <f>TINH_TOAN!F24</f>
        <v/>
      </c>
      <c r="E26" s="35" t="str">
        <f>TINH_TOAN!J24</f>
        <v/>
      </c>
      <c r="F26" s="35" t="str">
        <f ca="1">TINH_TOAN!K24</f>
        <v/>
      </c>
      <c r="G26" s="35" t="str">
        <f ca="1">TINH_TOAN!L24</f>
        <v/>
      </c>
      <c r="H26" s="35" t="str">
        <f>TINH_TOAN!G24</f>
        <v/>
      </c>
      <c r="I26" s="35">
        <f ca="1">TINH_TOAN!H24</f>
        <v>0</v>
      </c>
      <c r="J26" s="35">
        <f ca="1">TINH_TOAN!I24</f>
        <v>0</v>
      </c>
      <c r="K26" s="6" t="str">
        <f ca="1">IF(TINH_TOAN!M24="Dự kiến","Dự kiến","")</f>
        <v/>
      </c>
    </row>
    <row r="27" spans="1:11">
      <c r="A27" s="5" t="str">
        <f>TINH_TOAN!A25</f>
        <v>24 [11:30-12:00]</v>
      </c>
      <c r="B27" s="35">
        <f ca="1">TINH_TOAN!D25</f>
        <v>0</v>
      </c>
      <c r="C27" s="35">
        <f ca="1">TINH_TOAN!E25</f>
        <v>0</v>
      </c>
      <c r="D27" s="35" t="str">
        <f>TINH_TOAN!F25</f>
        <v/>
      </c>
      <c r="E27" s="35" t="str">
        <f>TINH_TOAN!J25</f>
        <v/>
      </c>
      <c r="F27" s="35" t="str">
        <f ca="1">TINH_TOAN!K25</f>
        <v/>
      </c>
      <c r="G27" s="35" t="str">
        <f ca="1">TINH_TOAN!L25</f>
        <v/>
      </c>
      <c r="H27" s="35" t="str">
        <f>TINH_TOAN!G25</f>
        <v/>
      </c>
      <c r="I27" s="35">
        <f ca="1">TINH_TOAN!H25</f>
        <v>0</v>
      </c>
      <c r="J27" s="35">
        <f ca="1">TINH_TOAN!I25</f>
        <v>0</v>
      </c>
      <c r="K27" s="6" t="str">
        <f ca="1">IF(TINH_TOAN!M25="Dự kiến","Dự kiến","")</f>
        <v/>
      </c>
    </row>
    <row r="28" spans="1:11">
      <c r="A28" s="5" t="str">
        <f>TINH_TOAN!A26</f>
        <v>25 [12:00-12:30]</v>
      </c>
      <c r="B28" s="35">
        <f ca="1">TINH_TOAN!D26</f>
        <v>0</v>
      </c>
      <c r="C28" s="35">
        <f ca="1">TINH_TOAN!E26</f>
        <v>0</v>
      </c>
      <c r="D28" s="35" t="str">
        <f>TINH_TOAN!F26</f>
        <v/>
      </c>
      <c r="E28" s="35" t="str">
        <f>TINH_TOAN!J26</f>
        <v/>
      </c>
      <c r="F28" s="35" t="str">
        <f ca="1">TINH_TOAN!K26</f>
        <v/>
      </c>
      <c r="G28" s="35" t="str">
        <f ca="1">TINH_TOAN!L26</f>
        <v/>
      </c>
      <c r="H28" s="35" t="str">
        <f>TINH_TOAN!G26</f>
        <v/>
      </c>
      <c r="I28" s="35">
        <f ca="1">TINH_TOAN!H26</f>
        <v>0</v>
      </c>
      <c r="J28" s="35">
        <f ca="1">TINH_TOAN!I26</f>
        <v>0</v>
      </c>
      <c r="K28" s="6" t="str">
        <f ca="1">IF(TINH_TOAN!M26="Dự kiến","Dự kiến","")</f>
        <v/>
      </c>
    </row>
    <row r="29" spans="1:11">
      <c r="A29" s="5" t="str">
        <f>TINH_TOAN!A27</f>
        <v>26 [12:30-13:00]</v>
      </c>
      <c r="B29" s="35">
        <f ca="1">TINH_TOAN!D27</f>
        <v>0</v>
      </c>
      <c r="C29" s="35">
        <f ca="1">TINH_TOAN!E27</f>
        <v>0</v>
      </c>
      <c r="D29" s="35" t="str">
        <f>TINH_TOAN!F27</f>
        <v/>
      </c>
      <c r="E29" s="35" t="str">
        <f>TINH_TOAN!J27</f>
        <v/>
      </c>
      <c r="F29" s="35" t="str">
        <f ca="1">TINH_TOAN!K27</f>
        <v/>
      </c>
      <c r="G29" s="35" t="str">
        <f ca="1">TINH_TOAN!L27</f>
        <v/>
      </c>
      <c r="H29" s="35" t="str">
        <f>TINH_TOAN!G27</f>
        <v/>
      </c>
      <c r="I29" s="35">
        <f ca="1">TINH_TOAN!H27</f>
        <v>0</v>
      </c>
      <c r="J29" s="35">
        <f ca="1">TINH_TOAN!I27</f>
        <v>0</v>
      </c>
      <c r="K29" s="6" t="str">
        <f ca="1">IF(TINH_TOAN!M27="Dự kiến","Dự kiến","")</f>
        <v/>
      </c>
    </row>
    <row r="30" spans="1:11">
      <c r="A30" s="5" t="str">
        <f>TINH_TOAN!A28</f>
        <v>27 [13:00-13:30]</v>
      </c>
      <c r="B30" s="35">
        <f ca="1">TINH_TOAN!D28</f>
        <v>0</v>
      </c>
      <c r="C30" s="35">
        <f ca="1">TINH_TOAN!E28</f>
        <v>0</v>
      </c>
      <c r="D30" s="35" t="str">
        <f>TINH_TOAN!F28</f>
        <v/>
      </c>
      <c r="E30" s="35" t="str">
        <f>TINH_TOAN!J28</f>
        <v/>
      </c>
      <c r="F30" s="35" t="str">
        <f ca="1">TINH_TOAN!K28</f>
        <v/>
      </c>
      <c r="G30" s="35" t="str">
        <f ca="1">TINH_TOAN!L28</f>
        <v/>
      </c>
      <c r="H30" s="35" t="str">
        <f>TINH_TOAN!G28</f>
        <v/>
      </c>
      <c r="I30" s="35">
        <f ca="1">TINH_TOAN!H28</f>
        <v>0</v>
      </c>
      <c r="J30" s="35">
        <f ca="1">TINH_TOAN!I28</f>
        <v>0</v>
      </c>
      <c r="K30" s="6" t="str">
        <f ca="1">IF(TINH_TOAN!M28="Dự kiến","Dự kiến","")</f>
        <v/>
      </c>
    </row>
    <row r="31" spans="1:11">
      <c r="A31" s="5" t="str">
        <f>TINH_TOAN!A29</f>
        <v>28 [13:30-14:00]</v>
      </c>
      <c r="B31" s="35">
        <f ca="1">TINH_TOAN!D29</f>
        <v>0</v>
      </c>
      <c r="C31" s="35">
        <f ca="1">TINH_TOAN!E29</f>
        <v>0</v>
      </c>
      <c r="D31" s="35" t="str">
        <f>TINH_TOAN!F29</f>
        <v/>
      </c>
      <c r="E31" s="35" t="str">
        <f>TINH_TOAN!J29</f>
        <v/>
      </c>
      <c r="F31" s="35" t="str">
        <f ca="1">TINH_TOAN!K29</f>
        <v/>
      </c>
      <c r="G31" s="35" t="str">
        <f ca="1">TINH_TOAN!L29</f>
        <v/>
      </c>
      <c r="H31" s="35" t="str">
        <f>TINH_TOAN!G29</f>
        <v/>
      </c>
      <c r="I31" s="35">
        <f ca="1">TINH_TOAN!H29</f>
        <v>0</v>
      </c>
      <c r="J31" s="35">
        <f ca="1">TINH_TOAN!I29</f>
        <v>0</v>
      </c>
      <c r="K31" s="6" t="str">
        <f ca="1">IF(TINH_TOAN!M29="Dự kiến","Dự kiến","")</f>
        <v/>
      </c>
    </row>
    <row r="32" spans="1:11">
      <c r="A32" s="5" t="str">
        <f>TINH_TOAN!A30</f>
        <v>29 [14:00-14:30]</v>
      </c>
      <c r="B32" s="35">
        <f ca="1">TINH_TOAN!D30</f>
        <v>0</v>
      </c>
      <c r="C32" s="35">
        <f ca="1">TINH_TOAN!E30</f>
        <v>0</v>
      </c>
      <c r="D32" s="35" t="str">
        <f>TINH_TOAN!F30</f>
        <v/>
      </c>
      <c r="E32" s="35" t="str">
        <f>TINH_TOAN!J30</f>
        <v/>
      </c>
      <c r="F32" s="35" t="str">
        <f ca="1">TINH_TOAN!K30</f>
        <v/>
      </c>
      <c r="G32" s="35" t="str">
        <f ca="1">TINH_TOAN!L30</f>
        <v/>
      </c>
      <c r="H32" s="35" t="str">
        <f>TINH_TOAN!G30</f>
        <v/>
      </c>
      <c r="I32" s="35">
        <f ca="1">TINH_TOAN!H30</f>
        <v>0</v>
      </c>
      <c r="J32" s="35">
        <f ca="1">TINH_TOAN!I30</f>
        <v>0</v>
      </c>
      <c r="K32" s="6" t="str">
        <f ca="1">IF(TINH_TOAN!M30="Dự kiến","Dự kiến","")</f>
        <v/>
      </c>
    </row>
    <row r="33" spans="1:11">
      <c r="A33" s="5" t="str">
        <f>TINH_TOAN!A31</f>
        <v>30 [14:30-15:00]</v>
      </c>
      <c r="B33" s="35">
        <f ca="1">TINH_TOAN!D31</f>
        <v>0</v>
      </c>
      <c r="C33" s="35">
        <f ca="1">TINH_TOAN!E31</f>
        <v>0</v>
      </c>
      <c r="D33" s="35" t="str">
        <f>TINH_TOAN!F31</f>
        <v/>
      </c>
      <c r="E33" s="35" t="str">
        <f>TINH_TOAN!J31</f>
        <v/>
      </c>
      <c r="F33" s="35" t="str">
        <f ca="1">TINH_TOAN!K31</f>
        <v/>
      </c>
      <c r="G33" s="35" t="str">
        <f ca="1">TINH_TOAN!L31</f>
        <v/>
      </c>
      <c r="H33" s="35" t="str">
        <f>TINH_TOAN!G31</f>
        <v/>
      </c>
      <c r="I33" s="35">
        <f ca="1">TINH_TOAN!H31</f>
        <v>0</v>
      </c>
      <c r="J33" s="35">
        <f ca="1">TINH_TOAN!I31</f>
        <v>0</v>
      </c>
      <c r="K33" s="6" t="str">
        <f ca="1">IF(TINH_TOAN!M31="Dự kiến","Dự kiến","")</f>
        <v/>
      </c>
    </row>
    <row r="34" spans="1:11">
      <c r="A34" s="5" t="str">
        <f>TINH_TOAN!A32</f>
        <v>31 [15:00-15:30]</v>
      </c>
      <c r="B34" s="35">
        <f ca="1">TINH_TOAN!D32</f>
        <v>0</v>
      </c>
      <c r="C34" s="35">
        <f ca="1">TINH_TOAN!E32</f>
        <v>0</v>
      </c>
      <c r="D34" s="35" t="str">
        <f>TINH_TOAN!F32</f>
        <v/>
      </c>
      <c r="E34" s="35" t="str">
        <f>TINH_TOAN!J32</f>
        <v/>
      </c>
      <c r="F34" s="35" t="str">
        <f ca="1">TINH_TOAN!K32</f>
        <v/>
      </c>
      <c r="G34" s="35" t="str">
        <f ca="1">TINH_TOAN!L32</f>
        <v/>
      </c>
      <c r="H34" s="35" t="str">
        <f>TINH_TOAN!G32</f>
        <v/>
      </c>
      <c r="I34" s="35">
        <f ca="1">TINH_TOAN!H32</f>
        <v>0</v>
      </c>
      <c r="J34" s="35">
        <f ca="1">TINH_TOAN!I32</f>
        <v>0</v>
      </c>
      <c r="K34" s="6" t="str">
        <f ca="1">IF(TINH_TOAN!M32="Dự kiến","Dự kiến","")</f>
        <v/>
      </c>
    </row>
    <row r="35" spans="1:11">
      <c r="A35" s="5" t="str">
        <f>TINH_TOAN!A33</f>
        <v>32 [15:30-16:00]</v>
      </c>
      <c r="B35" s="35">
        <f ca="1">TINH_TOAN!D33</f>
        <v>0</v>
      </c>
      <c r="C35" s="35">
        <f ca="1">TINH_TOAN!E33</f>
        <v>0</v>
      </c>
      <c r="D35" s="35" t="str">
        <f>TINH_TOAN!F33</f>
        <v/>
      </c>
      <c r="E35" s="35" t="str">
        <f>TINH_TOAN!J33</f>
        <v/>
      </c>
      <c r="F35" s="35" t="str">
        <f ca="1">TINH_TOAN!K33</f>
        <v/>
      </c>
      <c r="G35" s="35" t="str">
        <f ca="1">TINH_TOAN!L33</f>
        <v/>
      </c>
      <c r="H35" s="35" t="str">
        <f>TINH_TOAN!G33</f>
        <v/>
      </c>
      <c r="I35" s="35">
        <f ca="1">TINH_TOAN!H33</f>
        <v>0</v>
      </c>
      <c r="J35" s="35">
        <f ca="1">TINH_TOAN!I33</f>
        <v>0</v>
      </c>
      <c r="K35" s="6" t="str">
        <f ca="1">IF(TINH_TOAN!M33="Dự kiến","Dự kiến","")</f>
        <v/>
      </c>
    </row>
    <row r="36" spans="1:11">
      <c r="A36" s="5" t="str">
        <f>TINH_TOAN!A34</f>
        <v>33 [16:00-16:30]</v>
      </c>
      <c r="B36" s="35">
        <f ca="1">TINH_TOAN!D34</f>
        <v>0</v>
      </c>
      <c r="C36" s="35">
        <f ca="1">TINH_TOAN!E34</f>
        <v>0</v>
      </c>
      <c r="D36" s="35" t="str">
        <f>TINH_TOAN!F34</f>
        <v/>
      </c>
      <c r="E36" s="35" t="str">
        <f>TINH_TOAN!J34</f>
        <v/>
      </c>
      <c r="F36" s="35" t="str">
        <f ca="1">TINH_TOAN!K34</f>
        <v/>
      </c>
      <c r="G36" s="35" t="str">
        <f ca="1">TINH_TOAN!L34</f>
        <v/>
      </c>
      <c r="H36" s="35" t="str">
        <f>TINH_TOAN!G34</f>
        <v/>
      </c>
      <c r="I36" s="35">
        <f ca="1">TINH_TOAN!H34</f>
        <v>0</v>
      </c>
      <c r="J36" s="35">
        <f ca="1">TINH_TOAN!I34</f>
        <v>0</v>
      </c>
      <c r="K36" s="6" t="str">
        <f ca="1">IF(TINH_TOAN!M34="Dự kiến","Dự kiến","")</f>
        <v/>
      </c>
    </row>
    <row r="37" spans="1:11">
      <c r="A37" s="5" t="str">
        <f>TINH_TOAN!A35</f>
        <v>34 [16:30-17:00]</v>
      </c>
      <c r="B37" s="35">
        <f ca="1">TINH_TOAN!D35</f>
        <v>0</v>
      </c>
      <c r="C37" s="35">
        <f ca="1">TINH_TOAN!E35</f>
        <v>0</v>
      </c>
      <c r="D37" s="35" t="str">
        <f>TINH_TOAN!F35</f>
        <v/>
      </c>
      <c r="E37" s="35" t="str">
        <f>TINH_TOAN!J35</f>
        <v/>
      </c>
      <c r="F37" s="35" t="str">
        <f ca="1">TINH_TOAN!K35</f>
        <v/>
      </c>
      <c r="G37" s="35" t="str">
        <f ca="1">TINH_TOAN!L35</f>
        <v/>
      </c>
      <c r="H37" s="35" t="str">
        <f>TINH_TOAN!G35</f>
        <v/>
      </c>
      <c r="I37" s="35">
        <f ca="1">TINH_TOAN!H35</f>
        <v>0</v>
      </c>
      <c r="J37" s="35">
        <f ca="1">TINH_TOAN!I35</f>
        <v>0</v>
      </c>
      <c r="K37" s="6" t="str">
        <f ca="1">IF(TINH_TOAN!M35="Dự kiến","Dự kiến","")</f>
        <v/>
      </c>
    </row>
    <row r="38" spans="1:11">
      <c r="A38" s="5" t="str">
        <f>TINH_TOAN!A36</f>
        <v>35 [17:00-17:30]</v>
      </c>
      <c r="B38" s="35">
        <f ca="1">TINH_TOAN!D36</f>
        <v>0</v>
      </c>
      <c r="C38" s="35">
        <f ca="1">TINH_TOAN!E36</f>
        <v>0</v>
      </c>
      <c r="D38" s="35" t="str">
        <f>TINH_TOAN!F36</f>
        <v/>
      </c>
      <c r="E38" s="35" t="str">
        <f>TINH_TOAN!J36</f>
        <v/>
      </c>
      <c r="F38" s="35" t="str">
        <f ca="1">TINH_TOAN!K36</f>
        <v/>
      </c>
      <c r="G38" s="35" t="str">
        <f ca="1">TINH_TOAN!L36</f>
        <v/>
      </c>
      <c r="H38" s="35" t="str">
        <f>TINH_TOAN!G36</f>
        <v/>
      </c>
      <c r="I38" s="35">
        <f ca="1">TINH_TOAN!H36</f>
        <v>0</v>
      </c>
      <c r="J38" s="35">
        <f ca="1">TINH_TOAN!I36</f>
        <v>0</v>
      </c>
      <c r="K38" s="6" t="str">
        <f ca="1">IF(TINH_TOAN!M36="Dự kiến","Dự kiến","")</f>
        <v/>
      </c>
    </row>
    <row r="39" spans="1:11">
      <c r="A39" s="5" t="str">
        <f>TINH_TOAN!A37</f>
        <v>36 [17:30-18:00]</v>
      </c>
      <c r="B39" s="35">
        <f ca="1">TINH_TOAN!D37</f>
        <v>0</v>
      </c>
      <c r="C39" s="35">
        <f ca="1">TINH_TOAN!E37</f>
        <v>0</v>
      </c>
      <c r="D39" s="35" t="str">
        <f>TINH_TOAN!F37</f>
        <v/>
      </c>
      <c r="E39" s="35" t="str">
        <f>TINH_TOAN!J37</f>
        <v/>
      </c>
      <c r="F39" s="35" t="str">
        <f ca="1">TINH_TOAN!K37</f>
        <v/>
      </c>
      <c r="G39" s="35" t="str">
        <f ca="1">TINH_TOAN!L37</f>
        <v/>
      </c>
      <c r="H39" s="35" t="str">
        <f>TINH_TOAN!G37</f>
        <v/>
      </c>
      <c r="I39" s="35">
        <f ca="1">TINH_TOAN!H37</f>
        <v>0</v>
      </c>
      <c r="J39" s="35">
        <f ca="1">TINH_TOAN!I37</f>
        <v>0</v>
      </c>
      <c r="K39" s="6" t="str">
        <f ca="1">IF(TINH_TOAN!M37="Dự kiến","Dự kiến","")</f>
        <v/>
      </c>
    </row>
    <row r="40" spans="1:11">
      <c r="A40" s="5" t="str">
        <f>TINH_TOAN!A38</f>
        <v>37 [18:00-18:30]</v>
      </c>
      <c r="B40" s="35">
        <f ca="1">TINH_TOAN!D38</f>
        <v>0</v>
      </c>
      <c r="C40" s="35">
        <f ca="1">TINH_TOAN!E38</f>
        <v>0</v>
      </c>
      <c r="D40" s="35" t="str">
        <f>TINH_TOAN!F38</f>
        <v/>
      </c>
      <c r="E40" s="35" t="str">
        <f>TINH_TOAN!J38</f>
        <v/>
      </c>
      <c r="F40" s="35" t="str">
        <f ca="1">TINH_TOAN!K38</f>
        <v/>
      </c>
      <c r="G40" s="35" t="str">
        <f ca="1">TINH_TOAN!L38</f>
        <v/>
      </c>
      <c r="H40" s="35" t="str">
        <f>TINH_TOAN!G38</f>
        <v/>
      </c>
      <c r="I40" s="35">
        <f ca="1">TINH_TOAN!H38</f>
        <v>0</v>
      </c>
      <c r="J40" s="35">
        <f ca="1">TINH_TOAN!I38</f>
        <v>0</v>
      </c>
      <c r="K40" s="6" t="str">
        <f ca="1">IF(TINH_TOAN!M38="Dự kiến","Dự kiến","")</f>
        <v/>
      </c>
    </row>
    <row r="41" spans="1:11">
      <c r="A41" s="5" t="str">
        <f>TINH_TOAN!A39</f>
        <v>38 [18:30-19:00]</v>
      </c>
      <c r="B41" s="35">
        <f ca="1">TINH_TOAN!D39</f>
        <v>0</v>
      </c>
      <c r="C41" s="35">
        <f ca="1">TINH_TOAN!E39</f>
        <v>0</v>
      </c>
      <c r="D41" s="35" t="str">
        <f>TINH_TOAN!F39</f>
        <v/>
      </c>
      <c r="E41" s="35" t="str">
        <f>TINH_TOAN!J39</f>
        <v/>
      </c>
      <c r="F41" s="35" t="str">
        <f ca="1">TINH_TOAN!K39</f>
        <v/>
      </c>
      <c r="G41" s="35" t="str">
        <f ca="1">TINH_TOAN!L39</f>
        <v/>
      </c>
      <c r="H41" s="35" t="str">
        <f>TINH_TOAN!G39</f>
        <v/>
      </c>
      <c r="I41" s="35">
        <f ca="1">TINH_TOAN!H39</f>
        <v>0</v>
      </c>
      <c r="J41" s="35">
        <f ca="1">TINH_TOAN!I39</f>
        <v>0</v>
      </c>
      <c r="K41" s="6" t="str">
        <f ca="1">IF(TINH_TOAN!M39="Dự kiến","Dự kiến","")</f>
        <v/>
      </c>
    </row>
    <row r="42" spans="1:11">
      <c r="A42" s="5" t="str">
        <f>TINH_TOAN!A40</f>
        <v>39 [19:00-19:30]</v>
      </c>
      <c r="B42" s="35">
        <f ca="1">TINH_TOAN!D40</f>
        <v>0</v>
      </c>
      <c r="C42" s="35">
        <f ca="1">TINH_TOAN!E40</f>
        <v>0</v>
      </c>
      <c r="D42" s="35" t="str">
        <f>TINH_TOAN!F40</f>
        <v/>
      </c>
      <c r="E42" s="35" t="str">
        <f>TINH_TOAN!J40</f>
        <v/>
      </c>
      <c r="F42" s="35" t="str">
        <f ca="1">TINH_TOAN!K40</f>
        <v/>
      </c>
      <c r="G42" s="35" t="str">
        <f ca="1">TINH_TOAN!L40</f>
        <v/>
      </c>
      <c r="H42" s="35" t="str">
        <f>TINH_TOAN!G40</f>
        <v/>
      </c>
      <c r="I42" s="35">
        <f ca="1">TINH_TOAN!H40</f>
        <v>0</v>
      </c>
      <c r="J42" s="35">
        <f ca="1">TINH_TOAN!I40</f>
        <v>0</v>
      </c>
      <c r="K42" s="6" t="str">
        <f ca="1">IF(TINH_TOAN!M40="Dự kiến","Dự kiến","")</f>
        <v/>
      </c>
    </row>
    <row r="43" spans="1:11">
      <c r="A43" s="5" t="str">
        <f>TINH_TOAN!A41</f>
        <v>40 [19:30-20:00]</v>
      </c>
      <c r="B43" s="35">
        <f ca="1">TINH_TOAN!D41</f>
        <v>0</v>
      </c>
      <c r="C43" s="35">
        <f ca="1">TINH_TOAN!E41</f>
        <v>0</v>
      </c>
      <c r="D43" s="35" t="str">
        <f>TINH_TOAN!F41</f>
        <v/>
      </c>
      <c r="E43" s="35" t="str">
        <f>TINH_TOAN!J41</f>
        <v/>
      </c>
      <c r="F43" s="35" t="str">
        <f ca="1">TINH_TOAN!K41</f>
        <v/>
      </c>
      <c r="G43" s="35" t="str">
        <f ca="1">TINH_TOAN!L41</f>
        <v/>
      </c>
      <c r="H43" s="35" t="str">
        <f>TINH_TOAN!G41</f>
        <v/>
      </c>
      <c r="I43" s="35">
        <f ca="1">TINH_TOAN!H41</f>
        <v>0</v>
      </c>
      <c r="J43" s="35">
        <f ca="1">TINH_TOAN!I41</f>
        <v>0</v>
      </c>
      <c r="K43" s="6" t="str">
        <f ca="1">IF(TINH_TOAN!M41="Dự kiến","Dự kiến","")</f>
        <v/>
      </c>
    </row>
    <row r="44" spans="1:11">
      <c r="A44" s="5" t="str">
        <f>TINH_TOAN!A42</f>
        <v>41 [20:00-20:30]</v>
      </c>
      <c r="B44" s="35">
        <f ca="1">TINH_TOAN!D42</f>
        <v>0</v>
      </c>
      <c r="C44" s="35">
        <f ca="1">TINH_TOAN!E42</f>
        <v>0</v>
      </c>
      <c r="D44" s="35" t="str">
        <f>TINH_TOAN!F42</f>
        <v/>
      </c>
      <c r="E44" s="35" t="str">
        <f>TINH_TOAN!J42</f>
        <v/>
      </c>
      <c r="F44" s="35" t="str">
        <f ca="1">TINH_TOAN!K42</f>
        <v/>
      </c>
      <c r="G44" s="35" t="str">
        <f ca="1">TINH_TOAN!L42</f>
        <v/>
      </c>
      <c r="H44" s="35" t="str">
        <f>TINH_TOAN!G42</f>
        <v/>
      </c>
      <c r="I44" s="35">
        <f ca="1">TINH_TOAN!H42</f>
        <v>0</v>
      </c>
      <c r="J44" s="35">
        <f ca="1">TINH_TOAN!I42</f>
        <v>0</v>
      </c>
      <c r="K44" s="6" t="str">
        <f ca="1">IF(TINH_TOAN!M42="Dự kiến","Dự kiến","")</f>
        <v/>
      </c>
    </row>
    <row r="45" spans="1:11">
      <c r="A45" s="5" t="str">
        <f>TINH_TOAN!A43</f>
        <v>42 [20:30-21:00]</v>
      </c>
      <c r="B45" s="35">
        <f ca="1">TINH_TOAN!D43</f>
        <v>0</v>
      </c>
      <c r="C45" s="35">
        <f ca="1">TINH_TOAN!E43</f>
        <v>0</v>
      </c>
      <c r="D45" s="35" t="str">
        <f>TINH_TOAN!F43</f>
        <v/>
      </c>
      <c r="E45" s="35" t="str">
        <f>TINH_TOAN!J43</f>
        <v/>
      </c>
      <c r="F45" s="35" t="str">
        <f ca="1">TINH_TOAN!K43</f>
        <v/>
      </c>
      <c r="G45" s="35" t="str">
        <f ca="1">TINH_TOAN!L43</f>
        <v/>
      </c>
      <c r="H45" s="35" t="str">
        <f>TINH_TOAN!G43</f>
        <v/>
      </c>
      <c r="I45" s="35">
        <f ca="1">TINH_TOAN!H43</f>
        <v>0</v>
      </c>
      <c r="J45" s="35">
        <f ca="1">TINH_TOAN!I43</f>
        <v>0</v>
      </c>
      <c r="K45" s="6" t="str">
        <f ca="1">IF(TINH_TOAN!M43="Dự kiến","Dự kiến","")</f>
        <v/>
      </c>
    </row>
    <row r="46" spans="1:11">
      <c r="A46" s="5" t="str">
        <f>TINH_TOAN!A44</f>
        <v>43 [21:00-21:30]</v>
      </c>
      <c r="B46" s="35">
        <f ca="1">TINH_TOAN!D44</f>
        <v>0</v>
      </c>
      <c r="C46" s="35">
        <f ca="1">TINH_TOAN!E44</f>
        <v>0</v>
      </c>
      <c r="D46" s="35" t="str">
        <f>TINH_TOAN!F44</f>
        <v/>
      </c>
      <c r="E46" s="35" t="str">
        <f>TINH_TOAN!J44</f>
        <v/>
      </c>
      <c r="F46" s="35" t="str">
        <f ca="1">TINH_TOAN!K44</f>
        <v/>
      </c>
      <c r="G46" s="35" t="str">
        <f ca="1">TINH_TOAN!L44</f>
        <v/>
      </c>
      <c r="H46" s="35" t="str">
        <f>TINH_TOAN!G44</f>
        <v/>
      </c>
      <c r="I46" s="35">
        <f ca="1">TINH_TOAN!H44</f>
        <v>0</v>
      </c>
      <c r="J46" s="35">
        <f ca="1">TINH_TOAN!I44</f>
        <v>0</v>
      </c>
      <c r="K46" s="6" t="str">
        <f ca="1">IF(TINH_TOAN!M44="Dự kiến","Dự kiến","")</f>
        <v/>
      </c>
    </row>
    <row r="47" spans="1:11">
      <c r="A47" s="5" t="str">
        <f>TINH_TOAN!A45</f>
        <v>44 [21:30-22:00]</v>
      </c>
      <c r="B47" s="35">
        <f ca="1">TINH_TOAN!D45</f>
        <v>0</v>
      </c>
      <c r="C47" s="35">
        <f ca="1">TINH_TOAN!E45</f>
        <v>0</v>
      </c>
      <c r="D47" s="35" t="str">
        <f>TINH_TOAN!F45</f>
        <v/>
      </c>
      <c r="E47" s="35" t="str">
        <f>TINH_TOAN!J45</f>
        <v/>
      </c>
      <c r="F47" s="35" t="str">
        <f ca="1">TINH_TOAN!K45</f>
        <v/>
      </c>
      <c r="G47" s="35" t="str">
        <f ca="1">TINH_TOAN!L45</f>
        <v/>
      </c>
      <c r="H47" s="35" t="str">
        <f>TINH_TOAN!G45</f>
        <v/>
      </c>
      <c r="I47" s="35">
        <f ca="1">TINH_TOAN!H45</f>
        <v>0</v>
      </c>
      <c r="J47" s="35">
        <f ca="1">TINH_TOAN!I45</f>
        <v>0</v>
      </c>
      <c r="K47" s="6" t="str">
        <f ca="1">IF(TINH_TOAN!M45="Dự kiến","Dự kiến","")</f>
        <v/>
      </c>
    </row>
    <row r="48" spans="1:11">
      <c r="A48" s="5" t="str">
        <f>TINH_TOAN!A46</f>
        <v>45 [22:00-22:30]</v>
      </c>
      <c r="B48" s="35">
        <f ca="1">TINH_TOAN!D46</f>
        <v>0</v>
      </c>
      <c r="C48" s="35">
        <f ca="1">TINH_TOAN!E46</f>
        <v>0</v>
      </c>
      <c r="D48" s="35" t="str">
        <f>TINH_TOAN!F46</f>
        <v/>
      </c>
      <c r="E48" s="35" t="str">
        <f>TINH_TOAN!J46</f>
        <v/>
      </c>
      <c r="F48" s="35" t="str">
        <f ca="1">TINH_TOAN!K46</f>
        <v/>
      </c>
      <c r="G48" s="35" t="str">
        <f ca="1">TINH_TOAN!L46</f>
        <v/>
      </c>
      <c r="H48" s="35" t="str">
        <f>TINH_TOAN!G46</f>
        <v/>
      </c>
      <c r="I48" s="35">
        <f ca="1">TINH_TOAN!H46</f>
        <v>0</v>
      </c>
      <c r="J48" s="35">
        <f ca="1">TINH_TOAN!I46</f>
        <v>0</v>
      </c>
      <c r="K48" s="6" t="str">
        <f ca="1">IF(TINH_TOAN!M46="Dự kiến","Dự kiến","")</f>
        <v/>
      </c>
    </row>
    <row r="49" spans="1:11">
      <c r="A49" s="5" t="str">
        <f>TINH_TOAN!A47</f>
        <v>46 [22:30-23:00]</v>
      </c>
      <c r="B49" s="35">
        <f ca="1">TINH_TOAN!D47</f>
        <v>0</v>
      </c>
      <c r="C49" s="35">
        <f ca="1">TINH_TOAN!E47</f>
        <v>0</v>
      </c>
      <c r="D49" s="35" t="str">
        <f>TINH_TOAN!F47</f>
        <v/>
      </c>
      <c r="E49" s="35" t="str">
        <f>TINH_TOAN!J47</f>
        <v/>
      </c>
      <c r="F49" s="35" t="str">
        <f ca="1">TINH_TOAN!K47</f>
        <v/>
      </c>
      <c r="G49" s="35" t="str">
        <f ca="1">TINH_TOAN!L47</f>
        <v/>
      </c>
      <c r="H49" s="35" t="str">
        <f>TINH_TOAN!G47</f>
        <v/>
      </c>
      <c r="I49" s="35">
        <f ca="1">TINH_TOAN!H47</f>
        <v>0</v>
      </c>
      <c r="J49" s="35">
        <f ca="1">TINH_TOAN!I47</f>
        <v>0</v>
      </c>
      <c r="K49" s="6" t="str">
        <f ca="1">IF(TINH_TOAN!M47="Dự kiến","Dự kiến","")</f>
        <v/>
      </c>
    </row>
    <row r="50" spans="1:11">
      <c r="A50" s="5" t="str">
        <f>TINH_TOAN!A48</f>
        <v>47 [23:00-23:30]</v>
      </c>
      <c r="B50" s="35">
        <f ca="1">TINH_TOAN!D48</f>
        <v>0</v>
      </c>
      <c r="C50" s="35">
        <f ca="1">TINH_TOAN!E48</f>
        <v>0</v>
      </c>
      <c r="D50" s="35" t="str">
        <f>TINH_TOAN!F48</f>
        <v/>
      </c>
      <c r="E50" s="35" t="str">
        <f>TINH_TOAN!J48</f>
        <v/>
      </c>
      <c r="F50" s="35" t="str">
        <f ca="1">TINH_TOAN!K48</f>
        <v/>
      </c>
      <c r="G50" s="35" t="str">
        <f ca="1">TINH_TOAN!L48</f>
        <v/>
      </c>
      <c r="H50" s="35" t="str">
        <f>TINH_TOAN!G48</f>
        <v/>
      </c>
      <c r="I50" s="35">
        <f ca="1">TINH_TOAN!H48</f>
        <v>0</v>
      </c>
      <c r="J50" s="35">
        <f ca="1">TINH_TOAN!I48</f>
        <v>0</v>
      </c>
      <c r="K50" s="6" t="str">
        <f ca="1">IF(TINH_TOAN!M48="Dự kiến","Dự kiến","")</f>
        <v/>
      </c>
    </row>
    <row r="51" spans="1:11">
      <c r="A51" s="7" t="str">
        <f>TINH_TOAN!A49</f>
        <v>48 [23:30-00:00]</v>
      </c>
      <c r="B51" s="36">
        <f ca="1">TINH_TOAN!D49</f>
        <v>0</v>
      </c>
      <c r="C51" s="36">
        <f ca="1">TINH_TOAN!E49</f>
        <v>0</v>
      </c>
      <c r="D51" s="36" t="str">
        <f>TINH_TOAN!F49</f>
        <v/>
      </c>
      <c r="E51" s="36" t="str">
        <f>TINH_TOAN!J49</f>
        <v/>
      </c>
      <c r="F51" s="36" t="str">
        <f ca="1">TINH_TOAN!K49</f>
        <v/>
      </c>
      <c r="G51" s="36" t="str">
        <f ca="1">TINH_TOAN!L49</f>
        <v/>
      </c>
      <c r="H51" s="36" t="str">
        <f>TINH_TOAN!G49</f>
        <v/>
      </c>
      <c r="I51" s="36">
        <f ca="1">TINH_TOAN!H49</f>
        <v>0</v>
      </c>
      <c r="J51" s="36">
        <f ca="1">TINH_TOAN!I49</f>
        <v>0</v>
      </c>
      <c r="K51" s="8" t="str">
        <f ca="1">IF(TINH_TOAN!M49="Dự kiến","Dự kiến","")</f>
        <v/>
      </c>
    </row>
    <row r="52" spans="1:11">
      <c r="A52" s="37" t="s">
        <v>300</v>
      </c>
      <c r="B52" s="39"/>
      <c r="C52" s="39"/>
      <c r="D52" s="39">
        <f>SUM(D4:D51)</f>
        <v>0</v>
      </c>
      <c r="E52" s="39">
        <f>SUM(E4:E51)</f>
        <v>0</v>
      </c>
      <c r="F52" s="39">
        <f ca="1">SUM(F4:F51)</f>
        <v>0</v>
      </c>
      <c r="G52" s="39"/>
      <c r="H52" s="39"/>
      <c r="I52" s="39"/>
      <c r="J52" s="39"/>
      <c r="K52" s="38"/>
    </row>
  </sheetData>
  <mergeCells count="2">
    <mergeCell ref="A1:K1"/>
    <mergeCell ref="A2:K2"/>
  </mergeCells>
  <conditionalFormatting sqref="G4:G51">
    <cfRule type="expression" dxfId="2" priority="1">
      <formula>G4="âm"</formula>
    </cfRule>
    <cfRule type="expression" dxfId="1" priority="2">
      <formula>G4="dương"</formula>
    </cfRule>
    <cfRule type="expression" dxfId="0" priority="3">
      <formula>G4="trong ±3%"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43"/>
  <sheetViews>
    <sheetView workbookViewId="0"/>
  </sheetViews>
  <sheetFormatPr baseColWidth="10" defaultColWidth="8.83203125" defaultRowHeight="14"/>
  <cols>
    <col min="1" max="1" width="27" customWidth="1"/>
    <col min="2" max="2" width="58" customWidth="1"/>
    <col min="3" max="3" width="3" customWidth="1"/>
    <col min="4" max="7" width="19" customWidth="1"/>
    <col min="8" max="8" width="3" customWidth="1"/>
  </cols>
  <sheetData>
    <row r="1" spans="1:8" ht="40" customHeight="1">
      <c r="A1" s="121" t="s">
        <v>301</v>
      </c>
      <c r="B1" s="121"/>
      <c r="C1" s="121"/>
      <c r="D1" s="121"/>
      <c r="E1" s="121"/>
      <c r="F1" s="121"/>
      <c r="G1" s="121"/>
      <c r="H1" s="121"/>
    </row>
    <row r="2" spans="1:8">
      <c r="A2" s="92" t="s">
        <v>302</v>
      </c>
      <c r="B2" s="92" t="s">
        <v>86</v>
      </c>
      <c r="C2" s="92"/>
      <c r="D2" s="92" t="s">
        <v>303</v>
      </c>
      <c r="E2" s="92" t="s">
        <v>88</v>
      </c>
      <c r="F2" s="92" t="s">
        <v>304</v>
      </c>
      <c r="G2" s="92" t="s">
        <v>305</v>
      </c>
      <c r="H2" s="46"/>
    </row>
    <row r="3" spans="1:8">
      <c r="A3" s="93" t="s">
        <v>306</v>
      </c>
      <c r="B3" s="93" t="s">
        <v>67</v>
      </c>
      <c r="C3" s="46"/>
      <c r="D3" s="122" t="s">
        <v>307</v>
      </c>
      <c r="E3" s="122"/>
      <c r="F3" s="122"/>
      <c r="G3" s="122"/>
      <c r="H3" s="53"/>
    </row>
    <row r="4" spans="1:8">
      <c r="A4" s="46" t="s">
        <v>68</v>
      </c>
      <c r="B4" s="47" t="str">
        <f>IF(CAI_DAT!B4="","",CAI_DAT!B4)</f>
        <v/>
      </c>
      <c r="C4" s="46"/>
      <c r="D4" s="123" t="s">
        <v>308</v>
      </c>
      <c r="E4" s="123"/>
      <c r="F4" s="123" t="s">
        <v>309</v>
      </c>
      <c r="G4" s="123"/>
      <c r="H4" s="46"/>
    </row>
    <row r="5" spans="1:8">
      <c r="A5" s="46" t="s">
        <v>69</v>
      </c>
      <c r="B5" s="46" t="str">
        <f>IF(CAI_DAT!B5="","",CAI_DAT!B5)</f>
        <v>S1</v>
      </c>
      <c r="C5" s="46"/>
      <c r="D5" s="123"/>
      <c r="E5" s="123"/>
      <c r="F5" s="123"/>
      <c r="G5" s="123"/>
      <c r="H5" s="46"/>
    </row>
    <row r="6" spans="1:8">
      <c r="A6" s="46" t="s">
        <v>71</v>
      </c>
      <c r="B6" s="48" t="str">
        <f>IF(CAI_DAT!B6="","",CAI_DAT!B6)</f>
        <v/>
      </c>
      <c r="C6" s="46"/>
      <c r="D6" s="123" t="s">
        <v>310</v>
      </c>
      <c r="E6" s="123"/>
      <c r="F6" s="123" t="s">
        <v>311</v>
      </c>
      <c r="G6" s="123"/>
      <c r="H6" s="46"/>
    </row>
    <row r="7" spans="1:8">
      <c r="A7" s="46" t="s">
        <v>75</v>
      </c>
      <c r="B7" s="49">
        <f ca="1">IFERROR(CAI_DAT!B10,0)</f>
        <v>0</v>
      </c>
      <c r="C7" s="46"/>
      <c r="D7" s="123"/>
      <c r="E7" s="123"/>
      <c r="F7" s="123"/>
      <c r="G7" s="123"/>
      <c r="H7" s="46"/>
    </row>
    <row r="8" spans="1:8">
      <c r="A8" s="46" t="s">
        <v>312</v>
      </c>
      <c r="B8" s="46" t="str">
        <f>IF(CAI_DAT!B13="","",CAI_DAT!B13)</f>
        <v>Chưa xác định</v>
      </c>
      <c r="C8" s="46"/>
      <c r="D8" s="123" t="s">
        <v>313</v>
      </c>
      <c r="E8" s="123"/>
      <c r="F8" s="123" t="s">
        <v>314</v>
      </c>
      <c r="G8" s="123"/>
      <c r="H8" s="46"/>
    </row>
    <row r="9" spans="1:8">
      <c r="A9" s="94" t="s">
        <v>315</v>
      </c>
      <c r="B9" s="94" t="s">
        <v>67</v>
      </c>
      <c r="C9" s="46"/>
      <c r="D9" s="123"/>
      <c r="E9" s="123"/>
      <c r="F9" s="123"/>
      <c r="G9" s="123"/>
      <c r="H9" s="46"/>
    </row>
    <row r="10" spans="1:8">
      <c r="A10" s="46" t="s">
        <v>288</v>
      </c>
      <c r="B10" s="46" t="s">
        <v>316</v>
      </c>
      <c r="C10" s="46"/>
      <c r="D10" s="124" t="s">
        <v>317</v>
      </c>
      <c r="E10" s="124"/>
      <c r="F10" s="123" t="s">
        <v>318</v>
      </c>
      <c r="G10" s="123"/>
      <c r="H10" s="46"/>
    </row>
    <row r="11" spans="1:8">
      <c r="A11" s="46" t="s">
        <v>319</v>
      </c>
      <c r="B11" s="46"/>
      <c r="C11" s="46"/>
      <c r="D11" s="124"/>
      <c r="E11" s="124"/>
      <c r="F11" s="123"/>
      <c r="G11" s="123"/>
      <c r="H11" s="46"/>
    </row>
    <row r="12" spans="1:8">
      <c r="A12" s="46" t="s">
        <v>320</v>
      </c>
      <c r="B12" s="46"/>
      <c r="C12" s="46"/>
      <c r="D12" s="123" t="s">
        <v>321</v>
      </c>
      <c r="E12" s="123"/>
      <c r="F12" s="123" t="s">
        <v>322</v>
      </c>
      <c r="G12" s="123"/>
      <c r="H12" s="46"/>
    </row>
    <row r="13" spans="1:8">
      <c r="A13" s="46" t="s">
        <v>323</v>
      </c>
      <c r="B13" s="50"/>
      <c r="C13" s="46"/>
      <c r="D13" s="123"/>
      <c r="E13" s="123"/>
      <c r="F13" s="123"/>
      <c r="G13" s="123"/>
      <c r="H13" s="46"/>
    </row>
    <row r="14" spans="1:8">
      <c r="A14" s="46" t="s">
        <v>324</v>
      </c>
      <c r="B14" s="50"/>
      <c r="C14" s="46"/>
      <c r="D14" s="123" t="s">
        <v>325</v>
      </c>
      <c r="E14" s="123"/>
      <c r="F14" s="123" t="s">
        <v>326</v>
      </c>
      <c r="G14" s="123"/>
      <c r="H14" s="46"/>
    </row>
    <row r="15" spans="1:8">
      <c r="A15" s="46" t="s">
        <v>327</v>
      </c>
      <c r="B15" s="46" t="s">
        <v>328</v>
      </c>
      <c r="C15" s="46"/>
      <c r="D15" s="123"/>
      <c r="E15" s="123"/>
      <c r="F15" s="123"/>
      <c r="G15" s="123"/>
      <c r="H15" s="46"/>
    </row>
    <row r="16" spans="1:8">
      <c r="A16" s="93" t="s">
        <v>329</v>
      </c>
      <c r="B16" s="93" t="s">
        <v>330</v>
      </c>
      <c r="C16" s="46"/>
      <c r="D16" s="123" t="s">
        <v>331</v>
      </c>
      <c r="E16" s="123"/>
      <c r="F16" s="123" t="s">
        <v>332</v>
      </c>
      <c r="G16" s="123"/>
      <c r="H16" s="46"/>
    </row>
    <row r="17" spans="1:8">
      <c r="A17" s="46" t="s">
        <v>333</v>
      </c>
      <c r="B17" s="51"/>
      <c r="C17" s="46"/>
      <c r="D17" s="123"/>
      <c r="E17" s="123"/>
      <c r="F17" s="123"/>
      <c r="G17" s="123"/>
      <c r="H17" s="46"/>
    </row>
    <row r="18" spans="1:8">
      <c r="A18" s="46" t="s">
        <v>334</v>
      </c>
      <c r="B18" s="51"/>
      <c r="C18" s="46"/>
      <c r="D18" s="46"/>
      <c r="E18" s="46"/>
      <c r="F18" s="46"/>
      <c r="G18" s="46"/>
      <c r="H18" s="46"/>
    </row>
    <row r="19" spans="1:8">
      <c r="A19" s="46" t="s">
        <v>335</v>
      </c>
      <c r="B19" s="51"/>
      <c r="C19" s="46"/>
      <c r="D19" s="46"/>
      <c r="E19" s="46"/>
      <c r="F19" s="46"/>
      <c r="G19" s="46"/>
      <c r="H19" s="46"/>
    </row>
    <row r="20" spans="1:8">
      <c r="A20" s="46" t="s">
        <v>336</v>
      </c>
      <c r="B20" s="51"/>
      <c r="C20" s="46"/>
      <c r="D20" s="46"/>
      <c r="E20" s="46"/>
      <c r="F20" s="46"/>
      <c r="G20" s="46"/>
      <c r="H20" s="46"/>
    </row>
    <row r="21" spans="1:8">
      <c r="A21" s="46" t="s">
        <v>337</v>
      </c>
      <c r="B21" s="82"/>
      <c r="C21" s="46"/>
      <c r="D21" s="46"/>
      <c r="E21" s="46"/>
      <c r="F21" s="46"/>
      <c r="G21" s="46"/>
      <c r="H21" s="46"/>
    </row>
    <row r="22" spans="1:8">
      <c r="A22" s="54"/>
      <c r="B22" s="54"/>
      <c r="C22" s="54"/>
      <c r="D22" s="54"/>
      <c r="E22" s="54"/>
      <c r="F22" s="54"/>
      <c r="G22" s="54"/>
      <c r="H22" s="54"/>
    </row>
    <row r="23" spans="1:8">
      <c r="A23" s="125" t="s">
        <v>338</v>
      </c>
      <c r="B23" s="126"/>
      <c r="C23" s="125"/>
      <c r="D23" s="125"/>
      <c r="E23" s="125"/>
      <c r="F23" s="125"/>
      <c r="G23" s="125"/>
      <c r="H23" s="125"/>
    </row>
    <row r="24" spans="1:8" ht="15">
      <c r="A24" s="52" t="s">
        <v>3</v>
      </c>
      <c r="B24" s="51" t="s">
        <v>339</v>
      </c>
      <c r="C24" s="46"/>
      <c r="D24" s="46"/>
      <c r="E24" s="46"/>
      <c r="F24" s="46"/>
      <c r="G24" s="46"/>
      <c r="H24" s="46"/>
    </row>
    <row r="25" spans="1:8" ht="30">
      <c r="A25" s="52" t="s">
        <v>5</v>
      </c>
      <c r="B25" s="51" t="s">
        <v>340</v>
      </c>
      <c r="C25" s="46"/>
      <c r="D25" s="46"/>
      <c r="E25" s="46"/>
      <c r="F25" s="46"/>
      <c r="G25" s="46"/>
      <c r="H25" s="46"/>
    </row>
    <row r="26" spans="1:8" ht="15">
      <c r="A26" s="52" t="s">
        <v>7</v>
      </c>
      <c r="B26" s="51" t="s">
        <v>341</v>
      </c>
      <c r="C26" s="46"/>
      <c r="D26" s="46"/>
      <c r="E26" s="46"/>
      <c r="F26" s="46"/>
      <c r="G26" s="46"/>
      <c r="H26" s="46"/>
    </row>
    <row r="27" spans="1:8" ht="30">
      <c r="A27" s="52" t="s">
        <v>9</v>
      </c>
      <c r="B27" s="51" t="s">
        <v>342</v>
      </c>
      <c r="C27" s="46"/>
      <c r="D27" s="46"/>
      <c r="E27" s="46"/>
      <c r="F27" s="46"/>
      <c r="G27" s="46"/>
      <c r="H27" s="46"/>
    </row>
    <row r="28" spans="1:8" ht="30">
      <c r="A28" s="52" t="s">
        <v>11</v>
      </c>
      <c r="B28" s="51" t="s">
        <v>343</v>
      </c>
      <c r="C28" s="46"/>
      <c r="D28" s="46"/>
      <c r="E28" s="46"/>
      <c r="F28" s="46"/>
      <c r="G28" s="46"/>
      <c r="H28" s="46"/>
    </row>
    <row r="29" spans="1:8" ht="30">
      <c r="A29" s="53" t="s">
        <v>13</v>
      </c>
      <c r="B29" s="53" t="s">
        <v>344</v>
      </c>
      <c r="C29" s="53"/>
      <c r="D29" s="53"/>
      <c r="E29" s="53"/>
      <c r="F29" s="53"/>
      <c r="G29" s="53"/>
      <c r="H29" s="53"/>
    </row>
    <row r="30" spans="1:8" ht="15">
      <c r="A30" s="52" t="s">
        <v>15</v>
      </c>
      <c r="B30" s="51" t="s">
        <v>345</v>
      </c>
      <c r="C30" s="46"/>
      <c r="D30" s="46"/>
      <c r="E30" s="46"/>
      <c r="F30" s="46"/>
      <c r="G30" s="46"/>
      <c r="H30" s="46"/>
    </row>
    <row r="31" spans="1:8" ht="30">
      <c r="A31" s="52" t="s">
        <v>17</v>
      </c>
      <c r="B31" s="51" t="s">
        <v>346</v>
      </c>
      <c r="C31" s="46"/>
      <c r="D31" s="46"/>
      <c r="E31" s="46"/>
      <c r="F31" s="46"/>
      <c r="G31" s="46"/>
      <c r="H31" s="46"/>
    </row>
    <row r="32" spans="1:8">
      <c r="A32" s="46" t="s">
        <v>41</v>
      </c>
      <c r="B32" s="46" t="s">
        <v>347</v>
      </c>
      <c r="C32" s="46"/>
      <c r="D32" s="46"/>
      <c r="E32" s="46"/>
      <c r="F32" s="46"/>
      <c r="G32" s="46"/>
      <c r="H32" s="46"/>
    </row>
    <row r="33" spans="1:8">
      <c r="A33" s="46" t="s">
        <v>348</v>
      </c>
      <c r="B33" s="46">
        <v>121</v>
      </c>
      <c r="C33" s="46"/>
      <c r="D33" s="46"/>
      <c r="E33" s="46"/>
      <c r="F33" s="46"/>
      <c r="G33" s="46"/>
      <c r="H33" s="46"/>
    </row>
    <row r="34" spans="1:8">
      <c r="A34" s="46" t="s">
        <v>349</v>
      </c>
      <c r="B34" s="46" t="s">
        <v>350</v>
      </c>
      <c r="C34" s="46"/>
      <c r="D34" s="46"/>
      <c r="E34" s="46"/>
      <c r="F34" s="46"/>
      <c r="G34" s="46"/>
      <c r="H34" s="46"/>
    </row>
    <row r="35" spans="1:8">
      <c r="A35" s="46"/>
      <c r="B35" s="46"/>
      <c r="C35" s="46"/>
      <c r="D35" s="46"/>
      <c r="E35" s="46"/>
      <c r="F35" s="46"/>
      <c r="G35" s="46"/>
      <c r="H35" s="46"/>
    </row>
    <row r="38" spans="1:8" ht="15">
      <c r="A38" s="45" t="s">
        <v>351</v>
      </c>
      <c r="B38" s="9" t="s">
        <v>352</v>
      </c>
    </row>
    <row r="39" spans="1:8" ht="15">
      <c r="A39" s="45" t="s">
        <v>51</v>
      </c>
      <c r="B39" s="9" t="s">
        <v>353</v>
      </c>
    </row>
    <row r="40" spans="1:8" ht="15">
      <c r="A40" s="45" t="s">
        <v>354</v>
      </c>
      <c r="B40" s="9" t="s">
        <v>355</v>
      </c>
    </row>
    <row r="41" spans="1:8" ht="15">
      <c r="A41" s="45" t="s">
        <v>356</v>
      </c>
      <c r="B41" s="9" t="s">
        <v>357</v>
      </c>
    </row>
    <row r="42" spans="1:8" ht="15">
      <c r="A42" s="45" t="s">
        <v>358</v>
      </c>
      <c r="B42" s="9" t="s">
        <v>359</v>
      </c>
    </row>
    <row r="43" spans="1:8" ht="15">
      <c r="A43" s="45" t="s">
        <v>360</v>
      </c>
      <c r="B43" s="9" t="s">
        <v>361</v>
      </c>
    </row>
  </sheetData>
  <mergeCells count="17">
    <mergeCell ref="D14:E15"/>
    <mergeCell ref="F14:G15"/>
    <mergeCell ref="D16:E17"/>
    <mergeCell ref="F16:G17"/>
    <mergeCell ref="A23:H23"/>
    <mergeCell ref="D8:E9"/>
    <mergeCell ref="F8:G9"/>
    <mergeCell ref="D10:E11"/>
    <mergeCell ref="F10:G11"/>
    <mergeCell ref="D12:E13"/>
    <mergeCell ref="F12:G13"/>
    <mergeCell ref="A1:H1"/>
    <mergeCell ref="D3:G3"/>
    <mergeCell ref="D4:E5"/>
    <mergeCell ref="F4:G5"/>
    <mergeCell ref="D6:E7"/>
    <mergeCell ref="F6:G7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M1"/>
  <sheetViews>
    <sheetView workbookViewId="0"/>
  </sheetViews>
  <sheetFormatPr baseColWidth="10" defaultColWidth="8.83203125" defaultRowHeight="14"/>
  <cols>
    <col min="1" max="1" width="14" customWidth="1"/>
    <col min="2" max="2" width="10" customWidth="1"/>
    <col min="3" max="4" width="20" customWidth="1"/>
    <col min="5" max="5" width="38" customWidth="1"/>
    <col min="6" max="6" width="16" customWidth="1"/>
    <col min="7" max="7" width="22" customWidth="1"/>
    <col min="8" max="8" width="25" customWidth="1"/>
    <col min="9" max="9" width="16" customWidth="1"/>
    <col min="10" max="10" width="20" customWidth="1"/>
    <col min="11" max="11" width="16" customWidth="1"/>
    <col min="12" max="12" width="22" customWidth="1"/>
    <col min="13" max="13" width="55" customWidth="1"/>
  </cols>
  <sheetData>
    <row r="1" spans="1:13" ht="30">
      <c r="A1" s="68" t="s">
        <v>362</v>
      </c>
      <c r="B1" s="67" t="s">
        <v>69</v>
      </c>
      <c r="C1" s="69" t="s">
        <v>363</v>
      </c>
      <c r="D1" s="69" t="s">
        <v>364</v>
      </c>
      <c r="E1" s="67" t="s">
        <v>312</v>
      </c>
      <c r="F1" s="67" t="s">
        <v>75</v>
      </c>
      <c r="G1" s="70" t="s">
        <v>365</v>
      </c>
      <c r="H1" s="67" t="s">
        <v>288</v>
      </c>
      <c r="I1" s="67" t="s">
        <v>83</v>
      </c>
      <c r="J1" s="69" t="s">
        <v>366</v>
      </c>
      <c r="K1" s="67" t="s">
        <v>367</v>
      </c>
      <c r="L1" s="69" t="s">
        <v>368</v>
      </c>
      <c r="M1" s="67" t="s">
        <v>369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F20"/>
  <sheetViews>
    <sheetView workbookViewId="0"/>
  </sheetViews>
  <sheetFormatPr baseColWidth="10" defaultColWidth="8.83203125" defaultRowHeight="14"/>
  <cols>
    <col min="1" max="1" width="30" customWidth="1"/>
    <col min="2" max="2" width="78" customWidth="1"/>
  </cols>
  <sheetData>
    <row r="1" spans="1:6" ht="37.25" customHeight="1">
      <c r="A1" s="127" t="s">
        <v>370</v>
      </c>
      <c r="B1" s="127"/>
      <c r="C1" s="127"/>
      <c r="D1" s="127"/>
      <c r="E1" s="127"/>
      <c r="F1" s="127"/>
    </row>
    <row r="2" spans="1:6">
      <c r="A2" s="46"/>
      <c r="B2" s="46"/>
      <c r="C2" s="46"/>
      <c r="D2" s="46"/>
      <c r="E2" s="46"/>
      <c r="F2" s="46"/>
    </row>
    <row r="3" spans="1:6">
      <c r="A3" s="81" t="s">
        <v>371</v>
      </c>
      <c r="B3" s="81" t="s">
        <v>67</v>
      </c>
      <c r="C3" s="46"/>
      <c r="D3" s="46"/>
      <c r="E3" s="46"/>
      <c r="F3" s="46"/>
    </row>
    <row r="4" spans="1:6">
      <c r="A4" s="83" t="s">
        <v>372</v>
      </c>
      <c r="B4" s="46" t="s">
        <v>373</v>
      </c>
      <c r="C4" s="46"/>
      <c r="D4" s="46"/>
      <c r="E4" s="46"/>
      <c r="F4" s="46"/>
    </row>
    <row r="5" spans="1:6">
      <c r="A5" s="83" t="s">
        <v>302</v>
      </c>
      <c r="B5" s="46" t="s">
        <v>86</v>
      </c>
      <c r="C5" s="46"/>
      <c r="D5" s="46"/>
      <c r="E5" s="46"/>
      <c r="F5" s="46"/>
    </row>
    <row r="6" spans="1:6">
      <c r="A6" s="83" t="s">
        <v>304</v>
      </c>
      <c r="B6" s="46" t="s">
        <v>305</v>
      </c>
      <c r="C6" s="46"/>
      <c r="D6" s="46"/>
      <c r="E6" s="46"/>
      <c r="F6" s="46"/>
    </row>
    <row r="7" spans="1:6">
      <c r="A7" s="83" t="s">
        <v>288</v>
      </c>
      <c r="B7" s="46" t="s">
        <v>88</v>
      </c>
      <c r="C7" s="46"/>
      <c r="D7" s="46"/>
      <c r="E7" s="46"/>
      <c r="F7" s="46"/>
    </row>
    <row r="8" spans="1:6">
      <c r="A8" s="83" t="s">
        <v>374</v>
      </c>
      <c r="B8" s="46" t="s">
        <v>375</v>
      </c>
      <c r="C8" s="46"/>
      <c r="D8" s="46"/>
      <c r="E8" s="46"/>
      <c r="F8" s="46"/>
    </row>
    <row r="9" spans="1:6">
      <c r="A9" s="83" t="s">
        <v>376</v>
      </c>
      <c r="B9" s="46" t="s">
        <v>377</v>
      </c>
      <c r="C9" s="46"/>
      <c r="D9" s="46"/>
      <c r="E9" s="46"/>
      <c r="F9" s="46"/>
    </row>
    <row r="10" spans="1:6">
      <c r="A10" s="83" t="s">
        <v>378</v>
      </c>
      <c r="B10" s="46" t="s">
        <v>379</v>
      </c>
      <c r="C10" s="46"/>
      <c r="D10" s="46"/>
      <c r="E10" s="46"/>
      <c r="F10" s="46"/>
    </row>
    <row r="11" spans="1:6">
      <c r="A11" s="83" t="s">
        <v>380</v>
      </c>
      <c r="B11" s="46">
        <v>48</v>
      </c>
      <c r="C11" s="46"/>
      <c r="D11" s="46"/>
      <c r="E11" s="46"/>
      <c r="F11" s="46"/>
    </row>
    <row r="12" spans="1:6">
      <c r="A12" s="83" t="s">
        <v>381</v>
      </c>
      <c r="B12" s="46" t="s">
        <v>382</v>
      </c>
      <c r="C12" s="46"/>
      <c r="D12" s="46"/>
      <c r="E12" s="46"/>
      <c r="F12" s="46"/>
    </row>
    <row r="13" spans="1:6">
      <c r="A13" s="83" t="s">
        <v>89</v>
      </c>
      <c r="B13" s="46" t="s">
        <v>383</v>
      </c>
      <c r="C13" s="46"/>
      <c r="D13" s="46"/>
      <c r="E13" s="46"/>
      <c r="F13" s="46"/>
    </row>
    <row r="14" spans="1:6">
      <c r="A14" s="83" t="s">
        <v>91</v>
      </c>
      <c r="B14" s="46" t="s">
        <v>384</v>
      </c>
      <c r="C14" s="46"/>
      <c r="D14" s="46"/>
      <c r="E14" s="46"/>
      <c r="F14" s="46"/>
    </row>
    <row r="15" spans="1:6">
      <c r="A15" s="46" t="s">
        <v>385</v>
      </c>
      <c r="B15" s="46">
        <v>60</v>
      </c>
      <c r="C15" s="46"/>
      <c r="D15" s="46"/>
      <c r="E15" s="46"/>
      <c r="F15" s="46"/>
    </row>
    <row r="16" spans="1:6">
      <c r="A16" s="46" t="s">
        <v>386</v>
      </c>
      <c r="B16" s="46">
        <v>121</v>
      </c>
      <c r="C16" s="46"/>
      <c r="D16" s="46"/>
      <c r="E16" s="46"/>
      <c r="F16" s="46"/>
    </row>
    <row r="17" spans="1:6">
      <c r="A17" s="46"/>
      <c r="B17" s="46"/>
      <c r="C17" s="46"/>
      <c r="D17" s="46"/>
      <c r="E17" s="46"/>
      <c r="F17" s="46"/>
    </row>
    <row r="18" spans="1:6">
      <c r="A18" s="46"/>
      <c r="B18" s="46"/>
      <c r="C18" s="46"/>
      <c r="D18" s="46"/>
      <c r="E18" s="46"/>
      <c r="F18" s="46"/>
    </row>
    <row r="19" spans="1:6">
      <c r="A19" s="46"/>
      <c r="B19" s="46"/>
      <c r="C19" s="46"/>
      <c r="D19" s="46"/>
      <c r="E19" s="46"/>
      <c r="F19" s="46"/>
    </row>
    <row r="20" spans="1:6">
      <c r="A20" s="46"/>
      <c r="B20" s="46"/>
      <c r="C20" s="46"/>
      <c r="D20" s="46"/>
      <c r="E20" s="46"/>
      <c r="F20" s="46"/>
    </row>
  </sheetData>
  <mergeCells count="1">
    <mergeCell ref="A1:F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F20"/>
  <sheetViews>
    <sheetView workbookViewId="0"/>
  </sheetViews>
  <sheetFormatPr baseColWidth="10" defaultColWidth="8.83203125" defaultRowHeight="14"/>
  <cols>
    <col min="1" max="1" width="10" customWidth="1"/>
    <col min="2" max="2" width="18" customWidth="1"/>
    <col min="3" max="3" width="48" customWidth="1"/>
    <col min="4" max="4" width="32" customWidth="1"/>
    <col min="5" max="5" width="28" customWidth="1"/>
    <col min="6" max="6" width="26" customWidth="1"/>
  </cols>
  <sheetData>
    <row r="1" spans="1:6" ht="19">
      <c r="A1" s="127" t="s">
        <v>387</v>
      </c>
      <c r="B1" s="127"/>
      <c r="C1" s="127"/>
      <c r="D1" s="127"/>
      <c r="E1" s="127"/>
      <c r="F1" s="127"/>
    </row>
    <row r="2" spans="1:6">
      <c r="A2" s="46"/>
      <c r="B2" s="46"/>
      <c r="C2" s="46"/>
      <c r="D2" s="46"/>
      <c r="E2" s="46"/>
      <c r="F2" s="46"/>
    </row>
    <row r="3" spans="1:6">
      <c r="A3" s="81" t="s">
        <v>388</v>
      </c>
      <c r="B3" s="81" t="s">
        <v>389</v>
      </c>
      <c r="C3" s="81" t="s">
        <v>390</v>
      </c>
      <c r="D3" s="81" t="s">
        <v>391</v>
      </c>
      <c r="E3" s="81" t="s">
        <v>392</v>
      </c>
      <c r="F3" s="81" t="s">
        <v>146</v>
      </c>
    </row>
    <row r="4" spans="1:6" ht="15">
      <c r="A4" s="51" t="s">
        <v>393</v>
      </c>
      <c r="B4" s="51" t="s">
        <v>394</v>
      </c>
      <c r="C4" s="51" t="s">
        <v>395</v>
      </c>
      <c r="D4" s="51" t="s">
        <v>396</v>
      </c>
      <c r="E4" s="51" t="s">
        <v>397</v>
      </c>
      <c r="F4" s="51"/>
    </row>
    <row r="5" spans="1:6" ht="15">
      <c r="A5" s="51" t="s">
        <v>398</v>
      </c>
      <c r="B5" s="51" t="s">
        <v>399</v>
      </c>
      <c r="C5" s="51" t="s">
        <v>400</v>
      </c>
      <c r="D5" s="51" t="s">
        <v>401</v>
      </c>
      <c r="E5" s="51" t="s">
        <v>402</v>
      </c>
      <c r="F5" s="51"/>
    </row>
    <row r="6" spans="1:6" ht="15">
      <c r="A6" s="51" t="s">
        <v>403</v>
      </c>
      <c r="B6" s="51" t="s">
        <v>404</v>
      </c>
      <c r="C6" s="51" t="s">
        <v>405</v>
      </c>
      <c r="D6" s="51" t="s">
        <v>406</v>
      </c>
      <c r="E6" s="51" t="s">
        <v>397</v>
      </c>
      <c r="F6" s="51"/>
    </row>
    <row r="7" spans="1:6" ht="30">
      <c r="A7" s="51" t="s">
        <v>407</v>
      </c>
      <c r="B7" s="51" t="s">
        <v>408</v>
      </c>
      <c r="C7" s="51" t="s">
        <v>409</v>
      </c>
      <c r="D7" s="51" t="s">
        <v>410</v>
      </c>
      <c r="E7" s="51" t="s">
        <v>411</v>
      </c>
      <c r="F7" s="51" t="s">
        <v>412</v>
      </c>
    </row>
    <row r="8" spans="1:6" ht="15">
      <c r="A8" s="51" t="s">
        <v>413</v>
      </c>
      <c r="B8" s="51" t="s">
        <v>414</v>
      </c>
      <c r="C8" s="51" t="s">
        <v>415</v>
      </c>
      <c r="D8" s="51" t="s">
        <v>416</v>
      </c>
      <c r="E8" s="51" t="s">
        <v>382</v>
      </c>
      <c r="F8" s="51" t="s">
        <v>417</v>
      </c>
    </row>
    <row r="9" spans="1:6" ht="15">
      <c r="A9" s="51" t="s">
        <v>418</v>
      </c>
      <c r="B9" s="51" t="s">
        <v>30</v>
      </c>
      <c r="C9" s="51" t="s">
        <v>419</v>
      </c>
      <c r="D9" s="51" t="s">
        <v>420</v>
      </c>
      <c r="E9" s="51" t="s">
        <v>421</v>
      </c>
      <c r="F9" s="51"/>
    </row>
    <row r="10" spans="1:6" ht="15">
      <c r="A10" s="51" t="s">
        <v>422</v>
      </c>
      <c r="B10" s="51" t="s">
        <v>423</v>
      </c>
      <c r="C10" s="51" t="s">
        <v>424</v>
      </c>
      <c r="D10" s="51" t="s">
        <v>425</v>
      </c>
      <c r="E10" s="51" t="s">
        <v>426</v>
      </c>
      <c r="F10" s="51" t="s">
        <v>427</v>
      </c>
    </row>
    <row r="11" spans="1:6" ht="15">
      <c r="A11" s="51" t="s">
        <v>428</v>
      </c>
      <c r="B11" s="51" t="s">
        <v>34</v>
      </c>
      <c r="C11" s="51" t="s">
        <v>429</v>
      </c>
      <c r="D11" s="51" t="s">
        <v>430</v>
      </c>
      <c r="E11" s="51" t="s">
        <v>431</v>
      </c>
      <c r="F11" s="51"/>
    </row>
    <row r="12" spans="1:6" ht="15">
      <c r="A12" s="51" t="s">
        <v>432</v>
      </c>
      <c r="B12" s="51" t="s">
        <v>36</v>
      </c>
      <c r="C12" s="51" t="s">
        <v>433</v>
      </c>
      <c r="D12" s="51" t="s">
        <v>434</v>
      </c>
      <c r="E12" s="51" t="s">
        <v>435</v>
      </c>
      <c r="F12" s="51"/>
    </row>
    <row r="13" spans="1:6" ht="15">
      <c r="A13" s="51" t="s">
        <v>436</v>
      </c>
      <c r="B13" s="51" t="s">
        <v>295</v>
      </c>
      <c r="C13" s="51" t="s">
        <v>437</v>
      </c>
      <c r="D13" s="51" t="s">
        <v>438</v>
      </c>
      <c r="E13" s="51" t="s">
        <v>439</v>
      </c>
      <c r="F13" s="51"/>
    </row>
    <row r="14" spans="1:6" ht="15">
      <c r="A14" s="51" t="s">
        <v>440</v>
      </c>
      <c r="B14" s="51" t="s">
        <v>299</v>
      </c>
      <c r="C14" s="51" t="s">
        <v>441</v>
      </c>
      <c r="D14" s="51" t="s">
        <v>295</v>
      </c>
      <c r="E14" s="51" t="s">
        <v>442</v>
      </c>
      <c r="F14" s="51"/>
    </row>
    <row r="15" spans="1:6" ht="15">
      <c r="A15" s="51" t="s">
        <v>443</v>
      </c>
      <c r="B15" s="51" t="s">
        <v>296</v>
      </c>
      <c r="C15" s="51" t="s">
        <v>444</v>
      </c>
      <c r="D15" s="51" t="s">
        <v>438</v>
      </c>
      <c r="E15" s="51" t="s">
        <v>439</v>
      </c>
      <c r="F15" s="51"/>
    </row>
    <row r="16" spans="1:6" ht="15">
      <c r="A16" s="51" t="s">
        <v>445</v>
      </c>
      <c r="B16" s="51" t="s">
        <v>446</v>
      </c>
      <c r="C16" s="51" t="s">
        <v>447</v>
      </c>
      <c r="D16" s="51" t="s">
        <v>448</v>
      </c>
      <c r="E16" s="51" t="s">
        <v>449</v>
      </c>
      <c r="F16" s="51"/>
    </row>
    <row r="17" spans="1:6" ht="15">
      <c r="A17" s="51" t="s">
        <v>450</v>
      </c>
      <c r="B17" s="51" t="s">
        <v>297</v>
      </c>
      <c r="C17" s="51" t="s">
        <v>451</v>
      </c>
      <c r="D17" s="51" t="s">
        <v>452</v>
      </c>
      <c r="E17" s="51" t="s">
        <v>439</v>
      </c>
      <c r="F17" s="51"/>
    </row>
    <row r="18" spans="1:6">
      <c r="A18" s="46"/>
      <c r="B18" s="46"/>
      <c r="C18" s="46"/>
      <c r="D18" s="46"/>
      <c r="E18" s="46"/>
      <c r="F18" s="46"/>
    </row>
    <row r="19" spans="1:6">
      <c r="A19" s="46"/>
      <c r="B19" s="46"/>
      <c r="C19" s="46"/>
      <c r="D19" s="46"/>
      <c r="E19" s="46"/>
      <c r="F19" s="46"/>
    </row>
    <row r="20" spans="1:6">
      <c r="A20" s="46"/>
      <c r="B20" s="46"/>
      <c r="C20" s="46"/>
      <c r="D20" s="46"/>
      <c r="E20" s="46"/>
      <c r="F20" s="46"/>
    </row>
  </sheetData>
  <mergeCells count="1">
    <mergeCell ref="A1:F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G34"/>
  <sheetViews>
    <sheetView workbookViewId="0"/>
  </sheetViews>
  <sheetFormatPr baseColWidth="10" defaultColWidth="8.83203125" defaultRowHeight="14"/>
  <cols>
    <col min="1" max="1" width="11" customWidth="1"/>
    <col min="2" max="2" width="27" customWidth="1"/>
    <col min="3" max="3" width="34" customWidth="1"/>
    <col min="4" max="4" width="32" customWidth="1"/>
    <col min="5" max="5" width="40" customWidth="1"/>
    <col min="6" max="6" width="15" customWidth="1"/>
    <col min="7" max="7" width="26" customWidth="1"/>
  </cols>
  <sheetData>
    <row r="1" spans="1:7" ht="19">
      <c r="A1" s="127" t="s">
        <v>453</v>
      </c>
      <c r="B1" s="127"/>
      <c r="C1" s="127"/>
      <c r="D1" s="127"/>
      <c r="E1" s="127"/>
      <c r="F1" s="127"/>
      <c r="G1" s="127"/>
    </row>
    <row r="2" spans="1:7">
      <c r="A2" s="46"/>
      <c r="B2" s="46"/>
      <c r="C2" s="46"/>
      <c r="D2" s="46"/>
      <c r="E2" s="46"/>
      <c r="F2" s="46"/>
      <c r="G2" s="46"/>
    </row>
    <row r="3" spans="1:7">
      <c r="A3" s="81" t="s">
        <v>126</v>
      </c>
      <c r="B3" s="81" t="s">
        <v>454</v>
      </c>
      <c r="C3" s="81" t="s">
        <v>455</v>
      </c>
      <c r="D3" s="81" t="s">
        <v>2</v>
      </c>
      <c r="E3" s="81" t="s">
        <v>456</v>
      </c>
      <c r="F3" s="81" t="s">
        <v>288</v>
      </c>
      <c r="G3" s="81" t="s">
        <v>146</v>
      </c>
    </row>
    <row r="4" spans="1:7" ht="15">
      <c r="A4" s="51" t="s">
        <v>457</v>
      </c>
      <c r="B4" s="51" t="s">
        <v>458</v>
      </c>
      <c r="C4" s="51" t="s">
        <v>459</v>
      </c>
      <c r="D4" s="51" t="s">
        <v>460</v>
      </c>
      <c r="E4" s="51" t="s">
        <v>461</v>
      </c>
      <c r="F4" s="51" t="s">
        <v>316</v>
      </c>
      <c r="G4" s="51"/>
    </row>
    <row r="5" spans="1:7" ht="15">
      <c r="A5" s="51" t="s">
        <v>462</v>
      </c>
      <c r="B5" s="51" t="s">
        <v>463</v>
      </c>
      <c r="C5" s="51" t="s">
        <v>464</v>
      </c>
      <c r="D5" s="51" t="s">
        <v>465</v>
      </c>
      <c r="E5" s="51" t="s">
        <v>466</v>
      </c>
      <c r="F5" s="51" t="s">
        <v>316</v>
      </c>
      <c r="G5" s="51"/>
    </row>
    <row r="6" spans="1:7" ht="15">
      <c r="A6" s="51" t="s">
        <v>467</v>
      </c>
      <c r="B6" s="51" t="s">
        <v>468</v>
      </c>
      <c r="C6" s="51" t="s">
        <v>469</v>
      </c>
      <c r="D6" s="51" t="s">
        <v>470</v>
      </c>
      <c r="E6" s="51" t="s">
        <v>471</v>
      </c>
      <c r="F6" s="51" t="s">
        <v>316</v>
      </c>
      <c r="G6" s="51"/>
    </row>
    <row r="7" spans="1:7" ht="15">
      <c r="A7" s="51" t="s">
        <v>472</v>
      </c>
      <c r="B7" s="51" t="s">
        <v>83</v>
      </c>
      <c r="C7" s="51" t="s">
        <v>473</v>
      </c>
      <c r="D7" s="51" t="s">
        <v>474</v>
      </c>
      <c r="E7" s="51" t="s">
        <v>475</v>
      </c>
      <c r="F7" s="51" t="s">
        <v>316</v>
      </c>
      <c r="G7" s="51"/>
    </row>
    <row r="8" spans="1:7" ht="15">
      <c r="A8" s="51" t="s">
        <v>476</v>
      </c>
      <c r="B8" s="51" t="s">
        <v>477</v>
      </c>
      <c r="C8" s="51" t="s">
        <v>478</v>
      </c>
      <c r="D8" s="51" t="s">
        <v>479</v>
      </c>
      <c r="E8" s="51" t="s">
        <v>397</v>
      </c>
      <c r="F8" s="51" t="s">
        <v>316</v>
      </c>
      <c r="G8" s="51"/>
    </row>
    <row r="9" spans="1:7" ht="15">
      <c r="A9" s="51" t="s">
        <v>480</v>
      </c>
      <c r="B9" s="51" t="s">
        <v>481</v>
      </c>
      <c r="C9" s="51" t="s">
        <v>482</v>
      </c>
      <c r="D9" s="51" t="s">
        <v>479</v>
      </c>
      <c r="E9" s="51" t="s">
        <v>402</v>
      </c>
      <c r="F9" s="51" t="s">
        <v>316</v>
      </c>
      <c r="G9" s="51"/>
    </row>
    <row r="10" spans="1:7" ht="15">
      <c r="A10" s="51" t="s">
        <v>483</v>
      </c>
      <c r="B10" s="51" t="s">
        <v>26</v>
      </c>
      <c r="C10" s="51" t="s">
        <v>484</v>
      </c>
      <c r="D10" s="51" t="s">
        <v>479</v>
      </c>
      <c r="E10" s="51" t="s">
        <v>397</v>
      </c>
      <c r="F10" s="51" t="s">
        <v>316</v>
      </c>
      <c r="G10" s="51"/>
    </row>
    <row r="11" spans="1:7" ht="15">
      <c r="A11" s="51" t="s">
        <v>485</v>
      </c>
      <c r="B11" s="51" t="s">
        <v>486</v>
      </c>
      <c r="C11" s="51" t="s">
        <v>487</v>
      </c>
      <c r="D11" s="51" t="s">
        <v>479</v>
      </c>
      <c r="E11" s="51" t="s">
        <v>488</v>
      </c>
      <c r="F11" s="51" t="s">
        <v>316</v>
      </c>
      <c r="G11" s="51"/>
    </row>
    <row r="12" spans="1:7" ht="15">
      <c r="A12" s="51" t="s">
        <v>489</v>
      </c>
      <c r="B12" s="51" t="s">
        <v>490</v>
      </c>
      <c r="C12" s="51" t="s">
        <v>491</v>
      </c>
      <c r="D12" s="51" t="s">
        <v>492</v>
      </c>
      <c r="E12" s="51" t="s">
        <v>493</v>
      </c>
      <c r="F12" s="51" t="s">
        <v>316</v>
      </c>
      <c r="G12" s="51"/>
    </row>
    <row r="13" spans="1:7" ht="15">
      <c r="A13" s="51" t="s">
        <v>494</v>
      </c>
      <c r="B13" s="51" t="s">
        <v>495</v>
      </c>
      <c r="C13" s="51" t="s">
        <v>496</v>
      </c>
      <c r="D13" s="51" t="s">
        <v>492</v>
      </c>
      <c r="E13" s="51" t="s">
        <v>497</v>
      </c>
      <c r="F13" s="51" t="s">
        <v>316</v>
      </c>
      <c r="G13" s="51"/>
    </row>
    <row r="14" spans="1:7" ht="15">
      <c r="A14" s="51" t="s">
        <v>498</v>
      </c>
      <c r="B14" s="51" t="s">
        <v>499</v>
      </c>
      <c r="C14" s="51" t="s">
        <v>500</v>
      </c>
      <c r="D14" s="51" t="s">
        <v>492</v>
      </c>
      <c r="E14" s="51" t="s">
        <v>501</v>
      </c>
      <c r="F14" s="51" t="s">
        <v>316</v>
      </c>
      <c r="G14" s="51"/>
    </row>
    <row r="15" spans="1:7" ht="15">
      <c r="A15" s="51" t="s">
        <v>502</v>
      </c>
      <c r="B15" s="51" t="s">
        <v>503</v>
      </c>
      <c r="C15" s="51" t="s">
        <v>504</v>
      </c>
      <c r="D15" s="51" t="s">
        <v>505</v>
      </c>
      <c r="E15" s="51" t="s">
        <v>506</v>
      </c>
      <c r="F15" s="51" t="s">
        <v>316</v>
      </c>
      <c r="G15" s="51"/>
    </row>
    <row r="16" spans="1:7" ht="15">
      <c r="A16" s="51" t="s">
        <v>507</v>
      </c>
      <c r="B16" s="51" t="s">
        <v>508</v>
      </c>
      <c r="C16" s="51" t="s">
        <v>509</v>
      </c>
      <c r="D16" s="51" t="s">
        <v>510</v>
      </c>
      <c r="E16" s="51" t="s">
        <v>511</v>
      </c>
      <c r="F16" s="51" t="s">
        <v>316</v>
      </c>
      <c r="G16" s="51"/>
    </row>
    <row r="17" spans="1:7" ht="15">
      <c r="A17" s="51" t="s">
        <v>512</v>
      </c>
      <c r="B17" s="51" t="s">
        <v>513</v>
      </c>
      <c r="C17" s="51" t="s">
        <v>514</v>
      </c>
      <c r="D17" s="51" t="s">
        <v>510</v>
      </c>
      <c r="E17" s="51" t="s">
        <v>515</v>
      </c>
      <c r="F17" s="51" t="s">
        <v>316</v>
      </c>
      <c r="G17" s="51"/>
    </row>
    <row r="18" spans="1:7" ht="15">
      <c r="A18" s="51" t="s">
        <v>516</v>
      </c>
      <c r="B18" s="51" t="s">
        <v>517</v>
      </c>
      <c r="C18" s="51" t="s">
        <v>518</v>
      </c>
      <c r="D18" s="51" t="s">
        <v>519</v>
      </c>
      <c r="E18" s="51" t="s">
        <v>520</v>
      </c>
      <c r="F18" s="51" t="s">
        <v>316</v>
      </c>
      <c r="G18" s="51"/>
    </row>
    <row r="19" spans="1:7" ht="15">
      <c r="A19" s="51" t="s">
        <v>521</v>
      </c>
      <c r="B19" s="51" t="s">
        <v>522</v>
      </c>
      <c r="C19" s="51" t="s">
        <v>523</v>
      </c>
      <c r="D19" s="51" t="s">
        <v>524</v>
      </c>
      <c r="E19" s="51" t="s">
        <v>525</v>
      </c>
      <c r="F19" s="51" t="s">
        <v>316</v>
      </c>
      <c r="G19" s="51"/>
    </row>
    <row r="20" spans="1:7">
      <c r="A20" s="46" t="s">
        <v>526</v>
      </c>
      <c r="B20" s="46" t="s">
        <v>527</v>
      </c>
      <c r="C20" s="46" t="s">
        <v>528</v>
      </c>
      <c r="D20" s="46" t="s">
        <v>510</v>
      </c>
      <c r="E20" s="46" t="s">
        <v>529</v>
      </c>
      <c r="F20" s="46" t="s">
        <v>316</v>
      </c>
      <c r="G20" s="46"/>
    </row>
    <row r="21" spans="1:7">
      <c r="A21" s="46" t="s">
        <v>530</v>
      </c>
      <c r="B21" s="46" t="s">
        <v>531</v>
      </c>
      <c r="C21" s="46" t="s">
        <v>532</v>
      </c>
      <c r="D21" s="46" t="s">
        <v>510</v>
      </c>
      <c r="E21" s="46" t="s">
        <v>533</v>
      </c>
      <c r="F21" s="46" t="s">
        <v>316</v>
      </c>
      <c r="G21" s="46"/>
    </row>
    <row r="22" spans="1:7">
      <c r="A22" s="46" t="s">
        <v>534</v>
      </c>
      <c r="B22" s="46" t="s">
        <v>535</v>
      </c>
      <c r="C22" s="46" t="s">
        <v>536</v>
      </c>
      <c r="D22" s="46" t="s">
        <v>510</v>
      </c>
      <c r="E22" s="46" t="s">
        <v>537</v>
      </c>
      <c r="F22" s="46" t="s">
        <v>316</v>
      </c>
      <c r="G22" s="46"/>
    </row>
    <row r="27" spans="1:7" ht="15">
      <c r="A27" s="9" t="s">
        <v>538</v>
      </c>
      <c r="B27" s="9" t="s">
        <v>539</v>
      </c>
      <c r="C27" s="9" t="s">
        <v>540</v>
      </c>
      <c r="D27" s="9" t="s">
        <v>541</v>
      </c>
      <c r="E27" s="9" t="s">
        <v>542</v>
      </c>
      <c r="F27" s="9" t="s">
        <v>316</v>
      </c>
      <c r="G27" s="9"/>
    </row>
    <row r="28" spans="1:7" ht="15">
      <c r="A28" s="9" t="s">
        <v>543</v>
      </c>
      <c r="B28" s="9" t="s">
        <v>544</v>
      </c>
      <c r="C28" s="9" t="s">
        <v>545</v>
      </c>
      <c r="D28" s="9" t="s">
        <v>546</v>
      </c>
      <c r="E28" s="9" t="s">
        <v>547</v>
      </c>
      <c r="F28" s="9" t="s">
        <v>316</v>
      </c>
      <c r="G28" s="9"/>
    </row>
    <row r="29" spans="1:7" ht="15">
      <c r="A29" s="9" t="s">
        <v>548</v>
      </c>
      <c r="B29" s="9" t="s">
        <v>549</v>
      </c>
      <c r="C29" s="9" t="s">
        <v>550</v>
      </c>
      <c r="D29" s="9" t="s">
        <v>546</v>
      </c>
      <c r="E29" s="9" t="s">
        <v>551</v>
      </c>
      <c r="F29" s="9" t="s">
        <v>316</v>
      </c>
      <c r="G29" s="9"/>
    </row>
    <row r="30" spans="1:7" ht="15">
      <c r="A30" s="9" t="s">
        <v>552</v>
      </c>
      <c r="B30" s="9" t="s">
        <v>553</v>
      </c>
      <c r="C30" s="9" t="s">
        <v>554</v>
      </c>
      <c r="D30" s="9" t="s">
        <v>53</v>
      </c>
      <c r="E30" s="9" t="s">
        <v>555</v>
      </c>
      <c r="F30" s="9" t="s">
        <v>316</v>
      </c>
      <c r="G30" s="9"/>
    </row>
    <row r="31" spans="1:7" ht="15">
      <c r="A31" s="9" t="s">
        <v>556</v>
      </c>
      <c r="B31" s="9" t="s">
        <v>557</v>
      </c>
      <c r="C31" s="9" t="s">
        <v>558</v>
      </c>
      <c r="D31" s="9" t="s">
        <v>559</v>
      </c>
      <c r="E31" s="9" t="s">
        <v>560</v>
      </c>
      <c r="F31" s="9" t="s">
        <v>316</v>
      </c>
      <c r="G31" s="9"/>
    </row>
    <row r="32" spans="1:7" ht="15">
      <c r="A32" s="9" t="s">
        <v>561</v>
      </c>
      <c r="B32" s="9" t="s">
        <v>562</v>
      </c>
      <c r="C32" s="9" t="s">
        <v>563</v>
      </c>
      <c r="D32" s="9" t="s">
        <v>564</v>
      </c>
      <c r="E32" s="9" t="s">
        <v>565</v>
      </c>
      <c r="F32" s="9" t="s">
        <v>316</v>
      </c>
      <c r="G32" s="9"/>
    </row>
    <row r="33" spans="1:7" ht="15">
      <c r="A33" s="9" t="s">
        <v>566</v>
      </c>
      <c r="B33" s="9" t="s">
        <v>567</v>
      </c>
      <c r="C33" s="9" t="s">
        <v>540</v>
      </c>
      <c r="D33" s="9" t="s">
        <v>541</v>
      </c>
      <c r="E33" s="9" t="s">
        <v>568</v>
      </c>
      <c r="F33" s="9" t="s">
        <v>316</v>
      </c>
      <c r="G33" s="9"/>
    </row>
    <row r="34" spans="1:7" ht="15">
      <c r="A34" s="9" t="s">
        <v>569</v>
      </c>
      <c r="B34" s="9" t="s">
        <v>570</v>
      </c>
      <c r="C34" s="9" t="s">
        <v>540</v>
      </c>
      <c r="D34" s="9" t="s">
        <v>541</v>
      </c>
      <c r="E34" s="9" t="s">
        <v>571</v>
      </c>
      <c r="F34" s="9" t="s">
        <v>316</v>
      </c>
      <c r="G34" s="9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HUONG_DAN</vt:lpstr>
      <vt:lpstr>CAI_DAT</vt:lpstr>
      <vt:lpstr>LENH_GOC</vt:lpstr>
      <vt:lpstr>LENH_DIEU_DO</vt:lpstr>
      <vt:lpstr>CSV_6001</vt:lpstr>
      <vt:lpstr>CSV_6303</vt:lpstr>
      <vt:lpstr>XU_LY_LENH</vt:lpstr>
      <vt:lpstr>DOAN_CONG_SUAT</vt:lpstr>
      <vt:lpstr>DIEN_TICH</vt:lpstr>
      <vt:lpstr>TINH_TOAN</vt:lpstr>
      <vt:lpstr>BAO_CAO_QDU</vt:lpstr>
      <vt:lpstr>DIEU_KHIEN_VBA</vt:lpstr>
      <vt:lpstr>TRANG_THAI_CONG_SUAT</vt:lpstr>
      <vt:lpstr>THONG_TIN_HE_THONG</vt:lpstr>
      <vt:lpstr>QUY_TAC_NGHIEP_VU</vt:lpstr>
      <vt:lpstr>KIEM_THU_UAT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Lâm Minh</cp:lastModifiedBy>
  <dcterms:created xsi:type="dcterms:W3CDTF">2026-07-23T09:28:01Z</dcterms:created>
  <dcterms:modified xsi:type="dcterms:W3CDTF">2026-07-23T09:28:02Z</dcterms:modified>
</cp:coreProperties>
</file>