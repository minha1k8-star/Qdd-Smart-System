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d20568a7a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25f41681a81145db"/>
    <x:sheet xmlns:r="http://schemas.openxmlformats.org/officeDocument/2006/relationships" name="CAI_DAT" sheetId="2" r:id="Rcbc5a72146004858"/>
    <x:sheet xmlns:r="http://schemas.openxmlformats.org/officeDocument/2006/relationships" name="LENH_GOC" sheetId="3" r:id="R91f639ff886045bd"/>
    <x:sheet xmlns:r="http://schemas.openxmlformats.org/officeDocument/2006/relationships" name="LENH_DIEU_DO" sheetId="4" r:id="Rd97e16484d6c48a6"/>
    <x:sheet xmlns:r="http://schemas.openxmlformats.org/officeDocument/2006/relationships" name="CSV_6001" sheetId="5" r:id="R12720c76e1594535"/>
    <x:sheet xmlns:r="http://schemas.openxmlformats.org/officeDocument/2006/relationships" name="CSV_6303" sheetId="6" r:id="Ra759fc5a27ef48e5"/>
    <x:sheet xmlns:r="http://schemas.openxmlformats.org/officeDocument/2006/relationships" name="XU_LY_LENH" sheetId="7" r:id="R63f3132866774c6c"/>
    <x:sheet xmlns:r="http://schemas.openxmlformats.org/officeDocument/2006/relationships" name="DOAN_CONG_SUAT" sheetId="8" r:id="R5d125406f04c4a41"/>
    <x:sheet xmlns:r="http://schemas.openxmlformats.org/officeDocument/2006/relationships" name="DIEN_TICH" sheetId="9" r:id="R744e54bf04424276"/>
    <x:sheet xmlns:r="http://schemas.openxmlformats.org/officeDocument/2006/relationships" name="TINH_TOAN" sheetId="10" r:id="R334258b3e4d245c3"/>
    <x:sheet xmlns:r="http://schemas.openxmlformats.org/officeDocument/2006/relationships" name="BAO_CAO_QDU" sheetId="11" r:id="Rebce0c1c90c64dd1"/>
    <x:sheet xmlns:r="http://schemas.openxmlformats.org/officeDocument/2006/relationships" name="DIEU_KHIEN_VBA" sheetId="12" r:id="R0e0df1d160c44fcc"/>
    <x:sheet xmlns:r="http://schemas.openxmlformats.org/officeDocument/2006/relationships" name="TRANG_THAI_CONG_SUAT" sheetId="13" r:id="R04c8b3fb88e84c9b"/>
    <x:sheet xmlns:r="http://schemas.openxmlformats.org/officeDocument/2006/relationships" name="THONG_TIN_HE_THONG" sheetId="14" r:id="R194f85257c764f49"/>
    <x:sheet xmlns:r="http://schemas.openxmlformats.org/officeDocument/2006/relationships" name="QUY_TAC_NGHIEP_VU" sheetId="15" r:id="R5da9773438544f5c"/>
    <x:sheet xmlns:r="http://schemas.openxmlformats.org/officeDocument/2006/relationships" name="KIEM_THU_UAT" sheetId="16" r:id="R862f0cea1e1d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dd/mm/yyyy"/>
    <x:numFmt numFmtId="201" formatCode="0.000"/>
    <x:numFmt numFmtId="202" formatCode="0.0000"/>
    <x:numFmt numFmtId="203" formatCode="0.00%"/>
    <x:numFmt numFmtId="204" formatCode="dd/mm/yyyy hh:mm:ss"/>
    <x:numFmt numFmtId="205" formatCode="0.00"/>
    <x:numFmt numFmtId="206" formatCode="dd/mm/yyyy hh:mm:ss.000"/>
    <x:numFmt numFmtId="207" formatCode="0.000000"/>
    <x:numFmt numFmtId="208" formatCode="hh:mm:ss"/>
    <x:numFmt numFmtId="209" formatCode="0.00000"/>
    <x:numFmt numFmtId="210" formatCode="0"/>
    <x:numFmt numFmtId="211" formatCode="@"/>
    <x:numFmt numFmtId="212" formatCode="General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1F4E78"/>
      <x:name val="Arial"/>
    </x:font>
    <x:font>
      <x:b/>
      <x:sz val="11"/>
      <x:color rgb="FFFFFFFF"/>
      <x:name val="Arial"/>
    </x:font>
    <x:font>
      <x:b/>
      <x:sz val="14"/>
      <x:color rgb="FFFFFFFF"/>
      <x:name val="Arial"/>
    </x:font>
    <x:font>
      <x:b/>
      <x:sz val="11"/>
      <x:color rgb="FF1F1F1F"/>
      <x:name val="Arial"/>
    </x:font>
    <x:font>
      <x:b/>
      <x:sz val="15"/>
      <x:color rgb="FFFFFFFF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  <x:fill>
      <x:patternFill patternType="solid">
        <x:fgColor rgb="FFD9EAF7"/>
      </x:patternFill>
    </x:fill>
    <x:fill>
      <x:patternFill patternType="solid">
        <x:fgColor rgb="FFFFFDEB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47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  <x:right style="thin">
        <x:color rgb="FF9EADBA"/>
      </x:right>
    </x:border>
    <x:border>
      <x:left style="thin">
        <x:color rgb="FF9EADBA"/>
      </x:left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  <x:right style="thin">
        <x:color rgb="FF9EADBA"/>
      </x:right>
    </x:border>
    <x:border>
      <x:left style="thin">
        <x:color rgb="FF9EADBA"/>
      </x:left>
      <x:right style="thin">
        <x:color rgb="FF9EADBA"/>
      </x:right>
      <x:bottom style="thin">
        <x:color rgb="FF9EADBA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A6B3BF"/>
      </x:left>
      <x:top style="thin">
        <x:color rgb="FFA6B3BF"/>
      </x:top>
      <x:bottom style="thin">
        <x:color rgb="FFA6B3BF"/>
      </x:bottom>
    </x:border>
    <x:border>
      <x:right style="thin">
        <x:color rgb="FFA6B3BF"/>
      </x:right>
      <x:top style="thin">
        <x:color rgb="FFA6B3BF"/>
      </x:top>
      <x:bottom style="thin">
        <x:color rgb="FFA6B3BF"/>
      </x:bottom>
    </x:border>
    <x:border>
      <x:top style="thin">
        <x:color rgb="FFA6B3BF"/>
      </x:top>
      <x:bottom style="thin">
        <x:color rgb="FFA6B3BF"/>
      </x:bottom>
    </x:border>
  </x:borders>
  <x:cellStyleXfs count="1">
    <x:xf numFmtId="0" fontId="0" fillId="0" borderId="0"/>
  </x:cellStyleXfs>
  <x:cellXfs count="5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8" xfId="0" applyNumberFormat="1" applyFont="1" applyFill="1" applyBorder="1"/>
    <x:xf numFmtId="0" fontId="3" fillId="6" borderId="19" xfId="0" applyNumberFormat="1" applyFont="1" applyFill="1" applyBorder="1"/>
    <x:xf numFmtId="0" fontId="3" fillId="6" borderId="20" xfId="0" applyNumberFormat="1" applyFont="1" applyFill="1" applyBorder="1"/>
    <x:xf numFmtId="0" fontId="3" fillId="6" borderId="18" xfId="0" applyNumberFormat="1" applyFont="1" applyFill="1" applyBorder="1" applyAlignment="1">
      <x:alignment wrapText="1"/>
    </x:xf>
    <x:xf numFmtId="0" fontId="3" fillId="6" borderId="19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horizontal="center" wrapText="1"/>
    </x:xf>
    <x:xf numFmtId="0" fontId="3" fillId="6" borderId="19" xfId="0" applyNumberFormat="1" applyFont="1" applyFill="1" applyBorder="1" applyAlignment="1">
      <x:alignment horizontal="center" wrapText="1"/>
    </x:xf>
    <x:xf numFmtId="0" fontId="3" fillId="6" borderId="20" xfId="0" applyNumberFormat="1" applyFont="1" applyFill="1" applyBorder="1" applyAlignment="1">
      <x:alignment horizontal="center" wrapText="1"/>
    </x:xf>
    <x:xf numFmtId="0" fontId="3" fillId="6" borderId="18" xfId="0" applyNumberFormat="1" applyFont="1" applyFill="1" applyBorder="1" applyAlignment="1">
      <x:alignment horizontal="center" vertical="center" wrapText="1"/>
    </x:xf>
    <x:xf numFmtId="0" fontId="3" fillId="6" borderId="19" xfId="0" applyNumberFormat="1" applyFont="1" applyFill="1" applyBorder="1" applyAlignment="1">
      <x:alignment horizontal="center" vertical="center" wrapText="1"/>
    </x:xf>
    <x:xf numFmtId="0" fontId="3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21" xfId="0" applyNumberFormat="1" applyFont="1" applyFill="1" applyBorder="1"/>
    <x:xf numFmtId="0" fontId="3" fillId="6" borderId="22" xfId="0" applyNumberFormat="1" applyFont="1" applyFill="1" applyBorder="1"/>
    <x:xf numFmtId="0" fontId="3" fillId="6" borderId="23" xfId="0" applyNumberFormat="1" applyFont="1" applyFill="1" applyBorder="1"/>
    <x:xf numFmtId="0" fontId="3" fillId="6" borderId="21" xfId="0" applyNumberFormat="1" applyFont="1" applyFill="1" applyBorder="1" applyAlignment="1">
      <x:alignment wrapText="1"/>
    </x:xf>
    <x:xf numFmtId="0" fontId="3" fillId="6" borderId="22" xfId="0" applyNumberFormat="1" applyFont="1" applyFill="1" applyBorder="1" applyAlignment="1">
      <x:alignment wrapText="1"/>
    </x:xf>
    <x:xf numFmtId="0" fontId="3" fillId="6" borderId="23" xfId="0" applyNumberFormat="1" applyFont="1" applyFill="1" applyBorder="1" applyAlignment="1">
      <x:alignment wrapText="1"/>
    </x:xf>
    <x:xf numFmtId="0" fontId="3" fillId="6" borderId="21" xfId="0" applyNumberFormat="1" applyFont="1" applyFill="1" applyBorder="1" applyAlignment="1">
      <x:alignment horizontal="center" wrapText="1"/>
    </x:xf>
    <x:xf numFmtId="0" fontId="3" fillId="6" borderId="22" xfId="0" applyNumberFormat="1" applyFont="1" applyFill="1" applyBorder="1" applyAlignment="1">
      <x:alignment horizontal="center" wrapText="1"/>
    </x:xf>
    <x:xf numFmtId="0" fontId="3" fillId="6" borderId="23" xfId="0" applyNumberFormat="1" applyFont="1" applyFill="1" applyBorder="1" applyAlignment="1">
      <x:alignment horizontal="center" wrapText="1"/>
    </x:xf>
    <x:xf numFmtId="0" fontId="3" fillId="6" borderId="21" xfId="0" applyNumberFormat="1" applyFont="1" applyFill="1" applyBorder="1" applyAlignment="1">
      <x:alignment horizontal="center" vertical="center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3" fillId="6" borderId="2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4" xfId="0" applyNumberFormat="1" applyFont="1" applyFill="1" applyBorder="1" applyAlignment="1">
      <x:alignment vertical="center"/>
    </x:xf>
    <x:xf numFmtId="0" fontId="0" fillId="7" borderId="25" xfId="0" applyNumberFormat="1" applyFont="1" applyFill="1" applyBorder="1" applyAlignment="1">
      <x:alignment vertical="center"/>
    </x:xf>
    <x:xf numFmtId="0" fontId="0" fillId="7" borderId="26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29" xfId="0" applyNumberFormat="1" applyFont="1" applyFill="1" applyBorder="1"/>
    <x:xf numFmtId="0" fontId="0" fillId="7" borderId="27" xfId="0" applyNumberFormat="1" applyFont="1" applyFill="1" applyBorder="1" applyAlignment="1">
      <x:alignment vertical="center"/>
    </x:xf>
    <x:xf numFmtId="0" fontId="0" fillId="7" borderId="28" xfId="0" applyNumberFormat="1" applyFont="1" applyFill="1" applyBorder="1" applyAlignment="1">
      <x:alignment vertical="center"/>
    </x:xf>
    <x:xf numFmtId="0" fontId="0" fillId="7" borderId="29" xfId="0" applyNumberFormat="1" applyFont="1" applyFill="1" applyBorder="1" applyAlignment="1">
      <x:alignment vertical="center"/>
    </x:xf>
    <x:xf numFmtId="200" fontId="0" fillId="7" borderId="24" xfId="0" applyNumberFormat="1" applyFont="1" applyFill="1" applyBorder="1" applyAlignment="1">
      <x:alignment vertical="center"/>
    </x:xf>
    <x:xf numFmtId="200" fontId="0" fillId="7" borderId="27" xfId="0" applyNumberFormat="1" applyFont="1" applyFill="1" applyBorder="1" applyAlignment="1">
      <x:alignment vertical="center"/>
    </x:xf>
    <x:xf numFmtId="201" fontId="0" fillId="7" borderId="25" xfId="0" applyNumberFormat="1" applyFont="1" applyFill="1" applyBorder="1" applyAlignment="1">
      <x:alignment vertical="center"/>
    </x:xf>
    <x:xf numFmtId="201" fontId="0" fillId="7" borderId="28" xfId="0" applyNumberFormat="1" applyFont="1" applyFill="1" applyBorder="1" applyAlignment="1">
      <x:alignment vertical="center"/>
    </x:xf>
    <x:xf numFmtId="202" fontId="0" fillId="7" borderId="25" xfId="0" applyNumberFormat="1" applyFont="1" applyFill="1" applyBorder="1" applyAlignment="1">
      <x:alignment vertical="center"/>
    </x:xf>
    <x:xf numFmtId="202" fontId="0" fillId="7" borderId="28" xfId="0" applyNumberFormat="1" applyFont="1" applyFill="1" applyBorder="1" applyAlignment="1">
      <x:alignment vertical="center"/>
    </x:xf>
    <x:xf numFmtId="203" fontId="0" fillId="7" borderId="25" xfId="0" applyNumberFormat="1" applyFont="1" applyFill="1" applyBorder="1" applyAlignment="1">
      <x:alignment vertical="center"/>
    </x:xf>
    <x:xf numFmtId="203" fontId="0" fillId="7" borderId="2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30" xfId="0" applyNumberFormat="1" applyFont="1" applyFill="1" applyBorder="1"/>
    <x:xf numFmtId="0" fontId="2" fillId="3" borderId="30" xfId="0" applyNumberFormat="1" applyFont="1" applyFill="1" applyBorder="1" applyAlignment="1">
      <x:alignment wrapText="1"/>
    </x:xf>
    <x:xf numFmtId="0" fontId="2" fillId="3" borderId="30" xfId="0" applyNumberFormat="1" applyFont="1" applyFill="1" applyBorder="1" applyAlignment="1">
      <x:alignment horizontal="center" wrapText="1"/>
    </x:xf>
    <x:xf numFmtId="0" fontId="2" fillId="3" borderId="30" xfId="0" applyNumberFormat="1" applyFont="1" applyFill="1" applyBorder="1" applyAlignment="1">
      <x:alignment horizontal="center" vertical="center" wrapText="1"/>
    </x:xf>
    <x:xf numFmtId="0" fontId="2" fillId="3" borderId="31" xfId="0" applyNumberFormat="1" applyFont="1" applyFill="1" applyBorder="1"/>
    <x:xf numFmtId="0" fontId="2" fillId="3" borderId="31" xfId="0" applyNumberFormat="1" applyFont="1" applyFill="1" applyBorder="1" applyAlignment="1">
      <x:alignment wrapText="1"/>
    </x:xf>
    <x:xf numFmtId="0" fontId="2" fillId="3" borderId="31" xfId="0" applyNumberFormat="1" applyFont="1" applyFill="1" applyBorder="1" applyAlignment="1">
      <x:alignment horizontal="center" wrapText="1"/>
    </x:xf>
    <x:xf numFmtId="0" fontId="2" fillId="3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3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3" xfId="0" applyNumberFormat="1" applyFont="1" applyFill="1" applyBorder="1"/>
    <x:xf numFmtId="0" fontId="0" fillId="0" borderId="3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2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3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4" xfId="0" applyNumberFormat="1" applyFont="1" applyFill="1" applyBorder="1"/>
    <x:xf numFmtId="0" fontId="0" fillId="0" borderId="3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5" xfId="0" applyNumberFormat="1" applyFont="1" applyFill="1" applyBorder="1"/>
    <x:xf numFmtId="0" fontId="0" fillId="0" borderId="3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4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32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33" xfId="0" applyNumberFormat="1" applyFont="1" applyFill="1" applyBorder="1" applyAlignment="1">
      <x:alignment vertical="center"/>
    </x:xf>
    <x:xf numFmtId="204" fontId="0" fillId="0" borderId="34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4" fontId="0" fillId="0" borderId="35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1" fontId="0" fillId="0" borderId="3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33" xfId="0" applyNumberFormat="1" applyFont="1" applyFill="1" applyBorder="1" applyAlignment="1">
      <x:alignment vertical="center"/>
    </x:xf>
    <x:xf numFmtId="201" fontId="0" fillId="0" borderId="34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35" xfId="0" applyNumberFormat="1" applyFont="1" applyFill="1" applyBorder="1" applyAlignment="1">
      <x:alignment vertical="center"/>
    </x:xf>
    <x:xf numFmtId="205" fontId="0" fillId="0" borderId="32" xfId="0" applyNumberFormat="1" applyFont="1" applyFill="1" applyBorder="1" applyAlignment="1">
      <x:alignment vertical="center"/>
    </x:xf>
    <x:xf numFmtId="205" fontId="0" fillId="0" borderId="7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205" fontId="0" fillId="0" borderId="33" xfId="0" applyNumberFormat="1" applyFont="1" applyFill="1" applyBorder="1" applyAlignment="1">
      <x:alignment vertical="center"/>
    </x:xf>
    <x:xf numFmtId="205" fontId="0" fillId="0" borderId="11" xfId="0" applyNumberFormat="1" applyFont="1" applyFill="1" applyBorder="1" applyAlignment="1">
      <x:alignment vertical="center"/>
    </x:xf>
    <x:xf numFmtId="205" fontId="0" fillId="0" borderId="34" xfId="0" applyNumberFormat="1" applyFont="1" applyFill="1" applyBorder="1" applyAlignment="1">
      <x:alignment vertical="center"/>
    </x:xf>
    <x:xf numFmtId="205" fontId="0" fillId="0" borderId="13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5" fontId="0" fillId="0" borderId="15" xfId="0" applyNumberFormat="1" applyFont="1" applyFill="1" applyBorder="1" applyAlignment="1">
      <x:alignment vertical="center"/>
    </x:xf>
    <x:xf numFmtId="205" fontId="0" fillId="0" borderId="35" xfId="0" applyNumberFormat="1" applyFont="1" applyFill="1" applyBorder="1" applyAlignment="1">
      <x:alignment vertical="center"/>
    </x:xf>
    <x:xf numFmtId="205" fontId="0" fillId="0" borderId="17" xfId="0" applyNumberFormat="1" applyFont="1" applyFill="1" applyBorder="1" applyAlignment="1">
      <x:alignment vertical="center"/>
    </x:xf>
    <x:xf numFmtId="206" fontId="0" fillId="0" borderId="32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6" fontId="0" fillId="0" borderId="33" xfId="0" applyNumberFormat="1" applyFont="1" applyFill="1" applyBorder="1" applyAlignment="1">
      <x:alignment vertical="center"/>
    </x:xf>
    <x:xf numFmtId="206" fontId="0" fillId="0" borderId="34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6" fontId="0" fillId="0" borderId="35" xfId="0" applyNumberFormat="1" applyFont="1" applyFill="1" applyBorder="1" applyAlignment="1">
      <x:alignment vertical="center"/>
    </x:xf>
    <x:xf numFmtId="207" fontId="0" fillId="0" borderId="3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7" fontId="0" fillId="0" borderId="33" xfId="0" applyNumberFormat="1" applyFont="1" applyFill="1" applyBorder="1" applyAlignment="1">
      <x:alignment vertical="center"/>
    </x:xf>
    <x:xf numFmtId="207" fontId="0" fillId="0" borderId="34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7" fontId="0" fillId="0" borderId="35" xfId="0" applyNumberFormat="1" applyFont="1" applyFill="1" applyBorder="1" applyAlignment="1">
      <x:alignment vertical="center"/>
    </x:xf>
    <x:xf numFmtId="0" fontId="2" fillId="3" borderId="36" xfId="0" applyNumberFormat="1" applyFont="1" applyFill="1" applyBorder="1"/>
    <x:xf numFmtId="0" fontId="2" fillId="3" borderId="36" xfId="0" applyNumberFormat="1" applyFont="1" applyFill="1" applyBorder="1" applyAlignment="1">
      <x:alignment wrapText="1"/>
    </x:xf>
    <x:xf numFmtId="0" fontId="2" fillId="3" borderId="36" xfId="0" applyNumberFormat="1" applyFont="1" applyFill="1" applyBorder="1" applyAlignment="1">
      <x:alignment horizont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2" fillId="3" borderId="37" xfId="0" applyNumberFormat="1" applyFont="1" applyFill="1" applyBorder="1"/>
    <x:xf numFmtId="0" fontId="2" fillId="3" borderId="37" xfId="0" applyNumberFormat="1" applyFont="1" applyFill="1" applyBorder="1" applyAlignment="1">
      <x:alignment wrapText="1"/>
    </x:xf>
    <x:xf numFmtId="0" fontId="2" fillId="3" borderId="37" xfId="0" applyNumberFormat="1" applyFont="1" applyFill="1" applyBorder="1" applyAlignment="1">
      <x:alignment horizontal="center" wrapText="1"/>
    </x:xf>
    <x:xf numFmtId="0" fontId="2" fillId="3" borderId="37" xfId="0" applyNumberFormat="1" applyFont="1" applyFill="1" applyBorder="1" applyAlignment="1">
      <x:alignment horizontal="center" vertical="center" wrapText="1"/>
    </x:xf>
    <x:xf numFmtId="207" fontId="0" fillId="0" borderId="7" xfId="0" applyNumberFormat="1" applyFont="1" applyFill="1" applyBorder="1" applyAlignment="1">
      <x:alignment vertical="center"/>
    </x:xf>
    <x:xf numFmtId="207" fontId="0" fillId="0" borderId="9" xfId="0" applyNumberFormat="1" applyFont="1" applyFill="1" applyBorder="1" applyAlignment="1">
      <x:alignment vertical="center"/>
    </x:xf>
    <x:xf numFmtId="207" fontId="0" fillId="0" borderId="11" xfId="0" applyNumberFormat="1" applyFont="1" applyFill="1" applyBorder="1" applyAlignment="1">
      <x:alignment vertical="center"/>
    </x:xf>
    <x:xf numFmtId="207" fontId="0" fillId="0" borderId="13" xfId="0" applyNumberFormat="1" applyFont="1" applyFill="1" applyBorder="1" applyAlignment="1">
      <x:alignment vertical="center"/>
    </x:xf>
    <x:xf numFmtId="207" fontId="0" fillId="0" borderId="15" xfId="0" applyNumberFormat="1" applyFont="1" applyFill="1" applyBorder="1" applyAlignment="1">
      <x:alignment vertical="center"/>
    </x:xf>
    <x:xf numFmtId="207" fontId="0" fillId="0" borderId="17" xfId="0" applyNumberFormat="1" applyFont="1" applyFill="1" applyBorder="1" applyAlignment="1">
      <x:alignment vertical="center"/>
    </x:xf>
    <x:xf numFmtId="208" fontId="0" fillId="0" borderId="32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208" fontId="0" fillId="0" borderId="33" xfId="0" applyNumberFormat="1" applyFont="1" applyFill="1" applyBorder="1" applyAlignment="1">
      <x:alignment vertical="center"/>
    </x:xf>
    <x:xf numFmtId="208" fontId="0" fillId="0" borderId="34" xfId="0" applyNumberFormat="1" applyFont="1" applyFill="1" applyBorder="1" applyAlignment="1">
      <x:alignment vertical="center"/>
    </x:xf>
    <x:xf numFmtId="208" fontId="0" fillId="0" borderId="1" xfId="0" applyNumberFormat="1" applyFont="1" applyFill="1" applyBorder="1" applyAlignment="1">
      <x:alignment vertical="center"/>
    </x:xf>
    <x:xf numFmtId="208" fontId="0" fillId="0" borderId="35" xfId="0" applyNumberFormat="1" applyFont="1" applyFill="1" applyBorder="1" applyAlignment="1">
      <x:alignment vertical="center"/>
    </x:xf>
    <x:xf numFmtId="209" fontId="0" fillId="0" borderId="32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 applyAlignment="1">
      <x:alignment vertical="center"/>
    </x:xf>
    <x:xf numFmtId="209" fontId="0" fillId="0" borderId="33" xfId="0" applyNumberFormat="1" applyFont="1" applyFill="1" applyBorder="1" applyAlignment="1">
      <x:alignment vertical="center"/>
    </x:xf>
    <x:xf numFmtId="209" fontId="0" fillId="0" borderId="34" xfId="0" applyNumberFormat="1" applyFont="1" applyFill="1" applyBorder="1" applyAlignment="1">
      <x:alignment vertical="center"/>
    </x:xf>
    <x:xf numFmtId="209" fontId="0" fillId="0" borderId="1" xfId="0" applyNumberFormat="1" applyFont="1" applyFill="1" applyBorder="1" applyAlignment="1">
      <x:alignment vertical="center"/>
    </x:xf>
    <x:xf numFmtId="209" fontId="0" fillId="0" borderId="35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38" xfId="0" applyNumberFormat="1" applyFont="1" applyFill="1" applyBorder="1"/>
    <x:xf numFmtId="0" fontId="5" fillId="4" borderId="39" xfId="0" applyNumberFormat="1" applyFont="1" applyFill="1" applyBorder="1"/>
    <x:xf numFmtId="0" fontId="5" fillId="4" borderId="40" xfId="0" applyNumberFormat="1" applyFont="1" applyFill="1" applyBorder="1"/>
    <x:xf numFmtId="0" fontId="5" fillId="4" borderId="1" xfId="0" applyNumberFormat="1" applyFont="1" applyFill="1" applyBorder="1"/>
    <x:xf numFmtId="0" fontId="5" fillId="4" borderId="41" xfId="0" applyNumberFormat="1" applyFont="1" applyFill="1" applyBorder="1"/>
    <x:xf numFmtId="0" fontId="5" fillId="4" borderId="42" xfId="0" applyNumberFormat="1" applyFont="1" applyFill="1" applyBorder="1"/>
    <x:xf numFmtId="0" fontId="5" fillId="4" borderId="43" xfId="0" applyNumberFormat="1" applyFont="1" applyFill="1" applyBorder="1"/>
    <x:xf numFmtId="209" fontId="5" fillId="4" borderId="39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4" xfId="0" applyNumberFormat="1" applyFont="1" applyFill="1" applyBorder="1" applyAlignment="1">
      <x:alignment horizontal="center" vertical="center" wrapText="1"/>
    </x:xf>
    <x:xf numFmtId="0" fontId="2" fillId="10" borderId="4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/>
    </x:xf>
    <x:xf numFmtId="0" fontId="2" fillId="10" borderId="30" xfId="0" applyNumberFormat="1" applyFont="1" applyFill="1" applyBorder="1" applyAlignment="1">
      <x:alignment horizontal="center" vertical="center" wrapText="1"/>
    </x:xf>
    <x:xf numFmtId="0" fontId="2" fillId="10" borderId="46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5" fontId="6" fillId="2" borderId="0" xfId="0" applyNumberFormat="1" applyFont="1" applyFill="1" applyBorder="1" applyAlignment="1">
      <x:alignment horizontal="center"/>
    </x:xf>
    <x:xf numFmtId="205" fontId="2" fillId="3" borderId="30" xfId="0" applyNumberFormat="1" applyFont="1" applyFill="1" applyBorder="1" applyAlignment="1">
      <x:alignment horizontal="center" vertical="center" wrapText="1"/>
    </x:xf>
    <x:xf numFmtId="205" fontId="2" fillId="3" borderId="3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44" xfId="0" applyNumberFormat="1" applyFont="1" applyFill="1" applyBorder="1"/>
    <x:xf numFmtId="0" fontId="2" fillId="10" borderId="46" xfId="0" applyNumberFormat="1" applyFont="1" applyFill="1" applyBorder="1"/>
    <x:xf numFmtId="0" fontId="2" fillId="10" borderId="45" xfId="0" applyNumberFormat="1" applyFont="1" applyFill="1" applyBorder="1"/>
    <x:xf numFmtId="0" fontId="2" fillId="10" borderId="44" xfId="0" applyNumberFormat="1" applyFont="1" applyFill="1" applyBorder="1" applyAlignment="1">
      <x:alignment wrapText="1"/>
    </x:xf>
    <x:xf numFmtId="0" fontId="2" fillId="10" borderId="46" xfId="0" applyNumberFormat="1" applyFont="1" applyFill="1" applyBorder="1" applyAlignment="1">
      <x:alignment wrapText="1"/>
    </x:xf>
    <x:xf numFmtId="0" fontId="2" fillId="10" borderId="45" xfId="0" applyNumberFormat="1" applyFont="1" applyFill="1" applyBorder="1" applyAlignment="1">
      <x:alignment wrapText="1"/>
    </x:xf>
    <x:xf numFmtId="0" fontId="2" fillId="10" borderId="44" xfId="0" applyNumberFormat="1" applyFont="1" applyFill="1" applyBorder="1" applyAlignment="1">
      <x:alignment horizontal="center" wrapText="1"/>
    </x:xf>
    <x:xf numFmtId="0" fontId="2" fillId="10" borderId="46" xfId="0" applyNumberFormat="1" applyFont="1" applyFill="1" applyBorder="1" applyAlignment="1">
      <x:alignment horizontal="center" wrapText="1"/>
    </x:xf>
    <x:xf numFmtId="0" fontId="2" fillId="10" borderId="45" xfId="0" applyNumberFormat="1" applyFont="1" applyFill="1" applyBorder="1" applyAlignment="1">
      <x:alignment horizontal="center" wrapText="1"/>
    </x:xf>
    <x:xf numFmtId="207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2" fillId="3" borderId="4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2" fillId="3" borderId="46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/>
    <x:xf numFmtId="0" fontId="2" fillId="3" borderId="46" xfId="0" applyNumberFormat="1" applyFont="1" applyFill="1" applyBorder="1"/>
    <x:xf numFmtId="0" fontId="2" fillId="3" borderId="45" xfId="0" applyNumberFormat="1" applyFont="1" applyFill="1" applyBorder="1"/>
    <x:xf numFmtId="0" fontId="2" fillId="3" borderId="44" xfId="0" applyNumberFormat="1" applyFont="1" applyFill="1" applyBorder="1" applyAlignment="1">
      <x:alignment wrapText="1"/>
    </x:xf>
    <x:xf numFmtId="0" fontId="2" fillId="3" borderId="46" xfId="0" applyNumberFormat="1" applyFont="1" applyFill="1" applyBorder="1" applyAlignment="1">
      <x:alignment wrapText="1"/>
    </x:xf>
    <x:xf numFmtId="0" fontId="2" fillId="3" borderId="45" xfId="0" applyNumberFormat="1" applyFont="1" applyFill="1" applyBorder="1" applyAlignment="1">
      <x:alignment wrapText="1"/>
    </x:xf>
    <x:xf numFmtId="0" fontId="2" fillId="3" borderId="44" xfId="0" applyNumberFormat="1" applyFont="1" applyFill="1" applyBorder="1" applyAlignment="1">
      <x:alignment horizontal="center" wrapText="1"/>
    </x:xf>
    <x:xf numFmtId="0" fontId="2" fillId="3" borderId="46" xfId="0" applyNumberFormat="1" applyFont="1" applyFill="1" applyBorder="1" applyAlignment="1">
      <x:alignment horizontal="center" wrapText="1"/>
    </x:xf>
    <x:xf numFmtId="0" fontId="2" fillId="3" borderId="45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210" fontId="0" fillId="7" borderId="26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xfId="0" applyNumberFormat="1" applyFont="1" applyFill="1" applyBorder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1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xfId="0" applyNumberFormat="1" applyFont="1" applyFill="1" applyBorder="0"/>
    <x:xf numFmtId="0" fontId="8" fillId="21" xfId="0" applyNumberFormat="1" applyFont="1" applyFill="1" applyBorder="0" applyAlignment="1">
      <x:alignment wrapText="1"/>
    </x:xf>
    <x:xf numFmtId="0" fontId="8" fillId="21" xfId="0" applyNumberFormat="1" applyFont="1" applyFill="1" applyBorder="0" applyAlignment="1">
      <x:alignment horizontal="center" wrapText="1"/>
    </x:xf>
    <x:xf numFmtId="0" fontId="8" fillId="21" xfId="0" applyNumberFormat="1" applyFont="1" applyFill="1" applyBorder="0" applyAlignment="1">
      <x:alignment horizontal="center"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9" fillId="18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19" xfId="0" applyNumberFormat="1" applyFont="1" applyFill="1" applyBorder="0"/>
    <x:xf numFmtId="0" fontId="11" fillId="20" borderId="0" xfId="0" applyNumberFormat="1" applyFont="1" applyFill="1" applyBorder="1" applyAlignment="1">
      <x:alignment horizontal="center" wrapText="1"/>
    </x:xf>
    <x:xf numFmtId="200" fontId="10" fillId="0" borderId="0" xfId="0" applyNumberFormat="1" applyFont="1" applyFill="1" applyBorder="1"/>
    <x:xf numFmtId="0" fontId="12" fillId="21" xfId="0" applyNumberFormat="1" applyFont="1" applyFill="1" applyBorder="0" applyAlignment="1">
      <x:alignment horizontal="center" vertical="center" wrapText="1"/>
    </x:xf>
    <x:xf numFmtId="201" fontId="10" fillId="0" borderId="0" xfId="0" applyNumberFormat="1" applyFont="1" applyFill="1" applyBorder="1"/>
    <x:xf numFmtId="210" fontId="10" fillId="0" borderId="0" xfId="0" applyNumberFormat="1" applyFont="1" applyFill="1" applyBorder="1"/>
    <x:xf numFmtId="0" fontId="11" fillId="22" borderId="0" xfId="0" applyNumberFormat="1" applyFont="1" applyFill="1" applyBorder="1"/>
    <x:xf numFmtId="207" fontId="10" fillId="0" borderId="0" xfId="0" applyNumberFormat="1" applyFont="1" applyFill="1" applyBorder="1"/>
    <x:xf numFmtId="0" fontId="11" fillId="19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3" fillId="18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</x:xf>
    <x:xf numFmtId="0" fontId="10" fillId="0" xfId="0" applyNumberFormat="1" applyFont="1" applyFill="1" applyBorder="0"/>
    <x:xf numFmtId="200" fontId="10" fillId="0" xfId="0" applyNumberFormat="1" applyFont="1" applyFill="1" applyBorder="0"/>
    <x:xf numFmtId="201" fontId="10" fillId="0" xfId="0" applyNumberFormat="1" applyFont="1" applyFill="1" applyBorder="0"/>
    <x:xf numFmtId="210" fontId="10" fillId="0" xfId="0" applyNumberFormat="1" applyFont="1" applyFill="1" applyBorder="0"/>
    <x:xf numFmtId="0" fontId="11" fillId="22" xfId="0" applyNumberFormat="1" applyFont="1" applyFill="1" applyBorder="0"/>
    <x:xf numFmtId="207" fontId="10" fillId="0" xfId="0" applyNumberFormat="1" applyFont="1" applyFill="1" applyBorder="0"/>
    <x:xf numFmtId="0" fontId="10" fillId="0" xfId="0" applyNumberFormat="1" applyFont="1" applyFill="1" applyBorder="0" applyAlignment="1">
      <x:alignment wrapText="1"/>
    </x:xf>
    <x:xf numFmtId="0" fontId="11" fillId="0" xfId="0" applyNumberFormat="1" applyFont="1" applyFill="1" applyBorder="0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6" xfId="0" applyNumberFormat="1" applyFont="1" applyFill="1" applyBorder="0"/>
    <x:xf numFmtId="0" fontId="5" fillId="4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1" fillId="6" xfId="0" applyNumberFormat="1" applyFont="1" applyFill="1" applyBorder="0"/>
    <x:xf numFmtId="0" fontId="11" fillId="4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/>
    <x:xf numFmtId="0" fontId="11" fillId="6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1" fillId="12" xfId="0" applyNumberFormat="1" applyFont="1" applyFill="1" applyBorder="0"/>
    <x:xf numFmtId="0" fontId="1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horizontal="center" wrapText="1"/>
    </x:xf>
    <x:xf numFmtId="0" fontId="10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center"/>
    </x:xf>
    <x:xf numFmtId="0" fontId="13" fillId="3" borderId="44" xfId="0" applyNumberFormat="1" applyFont="1" applyFill="1" applyBorder="1" applyAlignment="1">
      <x:alignment horizontal="center" vertical="center" wrapText="1"/>
    </x:xf>
    <x:xf numFmtId="0" fontId="13" fillId="3" borderId="45" xfId="0" applyNumberFormat="1" applyFont="1" applyFill="1" applyBorder="1" applyAlignment="1">
      <x:alignment horizontal="center" vertical="center" wrapText="1"/>
    </x:xf>
    <x:xf numFmtId="0" fontId="15" fillId="6" borderId="18" xfId="0" applyNumberFormat="1" applyFont="1" applyFill="1" applyBorder="1" applyAlignment="1">
      <x:alignment horizontal="center" vertical="center" wrapText="1"/>
    </x:xf>
    <x:xf numFmtId="200" fontId="10" fillId="7" borderId="24" xfId="0" applyNumberFormat="1" applyFont="1" applyFill="1" applyBorder="1" applyAlignment="1">
      <x:alignment vertical="center"/>
    </x:xf>
    <x:xf numFmtId="0" fontId="15" fillId="6" borderId="19" xfId="0" applyNumberFormat="1" applyFont="1" applyFill="1" applyBorder="1" applyAlignment="1">
      <x:alignment horizontal="center" vertical="center" wrapText="1"/>
    </x:xf>
    <x:xf numFmtId="0" fontId="10" fillId="7" borderId="25" xfId="0" applyNumberFormat="1" applyFont="1" applyFill="1" applyBorder="1" applyAlignment="1">
      <x:alignment vertical="center"/>
    </x:xf>
    <x:xf numFmtId="201" fontId="10" fillId="7" borderId="25" xfId="0" applyNumberFormat="1" applyFont="1" applyFill="1" applyBorder="1" applyAlignment="1">
      <x:alignment vertical="center"/>
    </x:xf>
    <x:xf numFmtId="202" fontId="10" fillId="7" borderId="25" xfId="0" applyNumberFormat="1" applyFont="1" applyFill="1" applyBorder="1" applyAlignment="1">
      <x:alignment vertical="center"/>
    </x:xf>
    <x:xf numFmtId="203" fontId="10" fillId="7" borderId="25" xfId="0" applyNumberFormat="1" applyFont="1" applyFill="1" applyBorder="1" applyAlignment="1">
      <x:alignment vertical="center"/>
    </x:xf>
    <x:xf numFmtId="0" fontId="15" fillId="6" borderId="20" xfId="0" applyNumberFormat="1" applyFont="1" applyFill="1" applyBorder="1" applyAlignment="1">
      <x:alignment horizontal="center" vertical="center" wrapText="1"/>
    </x:xf>
    <x:xf numFmtId="210" fontId="10" fillId="7" borderId="26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horizont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200" fontId="2" fillId="24" borderId="0" xfId="0" applyNumberFormat="1" applyFont="1" applyFill="1" applyBorder="1" applyAlignment="1">
      <x:alignment horizontal="center" vertical="center" wrapText="1"/>
    </x:xf>
    <x:xf numFmtId="201" fontId="2" fillId="24" borderId="0" xfId="0" applyNumberFormat="1" applyFont="1" applyFill="1" applyBorder="1" applyAlignment="1">
      <x:alignment horizontal="center" vertical="center" wrapText="1"/>
    </x:xf>
    <x:xf numFmtId="204" fontId="2" fillId="24" borderId="0" xfId="0" applyNumberFormat="1" applyFont="1" applyFill="1" applyBorder="1" applyAlignment="1">
      <x:alignment horizontal="center" vertical="center" wrapText="1"/>
    </x:xf>
    <x:xf numFmtId="0" fontId="10" fillId="25" borderId="0" xfId="0" applyNumberFormat="1" applyFont="1" applyFill="1" applyBorder="1"/>
    <x:xf numFmtId="0" fontId="12" fillId="25" borderId="0" xfId="0" applyNumberFormat="1" applyFont="1" applyFill="1" applyBorder="1"/>
    <x:xf numFmtId="0" fontId="12" fillId="25" xfId="0" applyNumberFormat="1" applyFont="1" applyFill="1" applyBorder="0"/>
    <x:xf numFmtId="0" fontId="12" fillId="25" xfId="0" applyNumberFormat="1" applyFont="1" applyFill="1" applyBorder="0" applyAlignment="1">
      <x:alignment wrapText="1"/>
    </x:xf>
    <x:xf numFmtId="0" fontId="12" fillId="25" xfId="0" applyNumberFormat="1" applyFont="1" applyFill="1" applyBorder="0" applyAlignment="1">
      <x:alignment horizontal="center" wrapText="1"/>
    </x:xf>
    <x:xf numFmtId="0" fontId="12" fillId="25" xfId="0" applyNumberFormat="1" applyFont="1" applyFill="1" applyBorder="0" applyAlignment="1">
      <x:alignment horizontal="center" vertical="center"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4" fontId="2" fillId="3" borderId="0" xfId="0" applyNumberFormat="1" applyFont="1" applyFill="1" applyBorder="1" applyAlignment="1">
      <x:alignment horizontal="center" vertical="center" wrapText="1"/>
    </x:xf>
    <x:xf numFmtId="0" fontId="1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xfId="0" applyNumberFormat="1" applyFont="1" applyFill="1" applyBorder="0"/>
    <x:xf numFmtId="0" fontId="12" fillId="21" xfId="0" applyNumberFormat="1" applyFont="1" applyFill="1" applyBorder="0" applyAlignment="1">
      <x:alignment wrapText="1"/>
    </x:xf>
    <x:xf numFmtId="0" fontId="12" fillId="21" xfId="0" applyNumberFormat="1" applyFont="1" applyFill="1" applyBorder="0" applyAlignment="1">
      <x:alignment horizont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wrapText="1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horizontal="center" wrapText="1"/>
    </x:xf>
    <x:xf numFmtId="0" fontId="10" fillId="30" borderId="0" xfId="0" applyNumberFormat="1" applyFont="1" applyFill="1" applyBorder="1"/>
    <x:xf numFmtId="0" fontId="12" fillId="30" borderId="0" xfId="0" applyNumberFormat="1" applyFont="1" applyFill="1" applyBorder="1"/>
    <x:xf numFmtId="0" fontId="12" fillId="30" xfId="0" applyNumberFormat="1" applyFont="1" applyFill="1" applyBorder="0"/>
    <x:xf numFmtId="0" fontId="12" fillId="30" xfId="0" applyNumberFormat="1" applyFont="1" applyFill="1" applyBorder="0" applyAlignment="1">
      <x:alignment wrapText="1"/>
    </x:xf>
    <x:xf numFmtId="0" fontId="12" fillId="30" xfId="0" applyNumberFormat="1" applyFont="1" applyFill="1" applyBorder="0" applyAlignment="1">
      <x:alignment horizontal="center" wrapText="1"/>
    </x:xf>
    <x:xf numFmtId="0" fontId="12" fillId="30" xfId="0" applyNumberFormat="1" applyFont="1" applyFill="1" applyBorder="0" applyAlignment="1">
      <x:alignment horizontal="center" vertical="center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xfId="0" applyNumberFormat="1" applyFont="1" applyFill="1" applyBorder="0"/>
    <x:xf numFmtId="0" fontId="12" fillId="4" xfId="0" applyNumberFormat="1" applyFont="1" applyFill="1" applyBorder="0" applyAlignment="1">
      <x:alignment wrapText="1"/>
    </x:xf>
    <x:xf numFmtId="0" fontId="12" fillId="4" xfId="0" applyNumberFormat="1" applyFont="1" applyFill="1" applyBorder="0" applyAlignment="1">
      <x:alignment horizontal="center" wrapText="1"/>
    </x:xf>
    <x:xf numFmtId="0" fontId="12" fillId="4" xfId="0" applyNumberFormat="1" applyFont="1" applyFill="1" applyBorder="0" applyAlignment="1">
      <x:alignment horizontal="center" vertical="center" wrapText="1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horizontal="center"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horizontal="center" wrapText="1"/>
    </x:xf>
    <x:xf numFmtId="211" fontId="6" fillId="2" borderId="0" xfId="0" applyNumberFormat="1" applyFont="1" applyFill="1" applyBorder="1" applyAlignment="1">
      <x:alignment horizontal="center"/>
    </x:xf>
    <x:xf numFmtId="211" fontId="2" fillId="3" borderId="2" xfId="0" applyNumberFormat="1" applyFont="1" applyFill="1" applyBorder="1" applyAlignment="1">
      <x:alignment horizontal="center" vertical="center" wrapText="1"/>
    </x:xf>
    <x:xf numFmtId="211" fontId="2" fillId="3" borderId="30" xfId="0" applyNumberFormat="1" applyFont="1" applyFill="1" applyBorder="1" applyAlignment="1">
      <x:alignment horizontal="center" vertical="center" wrapText="1"/>
    </x:xf>
    <x:xf numFmtId="211" fontId="0" fillId="0" borderId="6" xfId="0" applyNumberFormat="1" applyFont="1" applyFill="1" applyBorder="1" applyAlignment="1">
      <x:alignment vertical="center"/>
    </x:xf>
    <x:xf numFmtId="211" fontId="0" fillId="0" borderId="32" xfId="0" applyNumberFormat="1" applyFont="1" applyFill="1" applyBorder="1" applyAlignment="1">
      <x:alignment vertical="center"/>
    </x:xf>
    <x:xf numFmtId="211" fontId="0" fillId="0" borderId="8" xfId="0" applyNumberFormat="1" applyFont="1" applyFill="1" applyBorder="1" applyAlignment="1">
      <x:alignment vertical="center"/>
    </x:xf>
    <x:xf numFmtId="211" fontId="0" fillId="0" borderId="0" xfId="0" applyNumberFormat="1" applyFont="1" applyFill="1" applyBorder="1" applyAlignment="1">
      <x:alignment vertical="center"/>
    </x:xf>
    <x:xf numFmtId="211" fontId="0" fillId="0" borderId="10" xfId="0" applyNumberFormat="1" applyFont="1" applyFill="1" applyBorder="1" applyAlignment="1">
      <x:alignment vertical="center"/>
    </x:xf>
    <x:xf numFmtId="211" fontId="0" fillId="0" borderId="33" xfId="0" applyNumberFormat="1" applyFont="1" applyFill="1" applyBorder="1" applyAlignment="1">
      <x:alignment vertical="center"/>
    </x:xf>
    <x:xf numFmtId="211" fontId="0" fillId="0" borderId="0" xfId="0" applyNumberFormat="1" applyFont="1" applyFill="1" applyBorder="1"/>
    <x:xf numFmtId="212" fontId="6" fillId="2" borderId="0" xfId="0" applyNumberFormat="1" applyFont="1" applyFill="1" applyBorder="1" applyAlignment="1">
      <x:alignment horizontal="center"/>
    </x:xf>
    <x:xf numFmtId="212" fontId="2" fillId="3" borderId="30" xfId="0" applyNumberFormat="1" applyFont="1" applyFill="1" applyBorder="1" applyAlignment="1">
      <x:alignment horizontal="center" vertical="center" wrapText="1"/>
    </x:xf>
    <x:xf numFmtId="212" fontId="2" fillId="3" borderId="3" xfId="0" applyNumberFormat="1" applyFont="1" applyFill="1" applyBorder="1" applyAlignment="1">
      <x:alignment horizontal="center" vertical="center" wrapText="1"/>
    </x:xf>
    <x:xf numFmtId="212" fontId="0" fillId="0" borderId="32" xfId="0" applyNumberFormat="1" applyFont="1" applyFill="1" applyBorder="1" applyAlignment="1">
      <x:alignment vertical="center"/>
    </x:xf>
    <x:xf numFmtId="212" fontId="0" fillId="0" borderId="7" xfId="0" applyNumberFormat="1" applyFont="1" applyFill="1" applyBorder="1" applyAlignment="1">
      <x:alignment vertical="center"/>
    </x:xf>
    <x:xf numFmtId="212" fontId="0" fillId="0" borderId="0" xfId="0" applyNumberFormat="1" applyFont="1" applyFill="1" applyBorder="1" applyAlignment="1">
      <x:alignment vertical="center"/>
    </x:xf>
    <x:xf numFmtId="212" fontId="0" fillId="0" borderId="9" xfId="0" applyNumberFormat="1" applyFont="1" applyFill="1" applyBorder="1" applyAlignment="1">
      <x:alignment vertical="center"/>
    </x:xf>
    <x:xf numFmtId="212" fontId="0" fillId="0" borderId="33" xfId="0" applyNumberFormat="1" applyFont="1" applyFill="1" applyBorder="1" applyAlignment="1">
      <x:alignment vertical="center"/>
    </x:xf>
    <x:xf numFmtId="212" fontId="0" fillId="0" borderId="11" xfId="0" applyNumberFormat="1" applyFont="1" applyFill="1" applyBorder="1" applyAlignment="1">
      <x:alignment vertical="center"/>
    </x:xf>
    <x:xf numFmtId="212" fontId="0" fillId="0" borderId="0" xfId="0" applyNumberFormat="1" applyFont="1" applyFill="1" applyBorder="1"/>
    <x:xf numFmtId="0" fontId="5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0" fontId="5" fillId="0" xfId="0" applyNumberFormat="1" applyFont="1" applyFill="1" applyBorder="0"/>
    <x:xf numFmtId="0" fontId="0" fillId="0" xfId="0" applyNumberFormat="1" applyFont="1" applyFill="1" applyBorder="0"/>
    <x:xf numFmtId="0" fontId="9" fillId="34" borderId="0" xfId="0" applyNumberFormat="1" applyFont="1" applyFill="1" applyBorder="1" applyAlignment="1">
      <x:alignment horizontal="center" vertical="center"/>
    </x:xf>
    <x:xf numFmtId="0" fontId="1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xfId="0" applyNumberFormat="1" applyFont="1" applyFill="1" applyBorder="0"/>
    <x:xf numFmtId="0" fontId="12" fillId="35" xfId="0" applyNumberFormat="1" applyFont="1" applyFill="1" applyBorder="0" applyAlignment="1">
      <x:alignment horizontal="center"/>
    </x:xf>
    <x:xf numFmtId="0" fontId="12" fillId="35" xfId="0" applyNumberFormat="1" applyFont="1" applyFill="1" applyBorder="0" applyAlignment="1">
      <x:alignment horizontal="center" vertical="center"/>
    </x:xf>
    <x:xf numFmtId="0" fontId="11" fillId="35" xfId="0" applyNumberFormat="1" applyFont="1" applyFill="1" applyBorder="0"/>
    <x:xf numFmtId="0" fontId="11" fillId="36" xfId="0" applyNumberFormat="1" applyFont="1" applyFill="1" applyBorder="0"/>
    <x:xf numFmtId="204" fontId="10" fillId="0" borderId="0" xfId="0" applyNumberFormat="1" applyFont="1" applyFill="1" applyBorder="1"/>
    <x:xf numFmtId="0" fontId="11" fillId="37" borderId="0" xfId="0" applyNumberFormat="1" applyFont="1" applyFill="1" applyBorder="1" applyAlignment="1">
      <x:alignment horizontal="center" wrapText="1"/>
    </x:xf>
    <x:xf numFmtId="0" fontId="11" fillId="37" borderId="0" xfId="0" applyNumberFormat="1" applyFont="1" applyFill="1" applyBorder="1" applyAlignment="1">
      <x:alignment horizontal="center" vertical="center" wrapText="1"/>
    </x:xf>
    <x:xf numFmtId="0" fontId="12" fillId="38" xfId="0" applyNumberFormat="1" applyFont="1" applyFill="1" applyBorder="0" applyAlignment="1">
      <x:alignment horizontal="center" vertical="center" wrapText="1"/>
    </x:xf>
    <x:xf numFmtId="0" fontId="12" fillId="37" xfId="0" applyNumberFormat="1" applyFont="1" applyFill="1" applyBorder="0" applyAlignment="1">
      <x:alignment horizontal="center" vertical="center" wrapText="1"/>
    </x:xf>
    <x:xf numFmtId="0" fontId="10" fillId="38" borderId="0" xfId="0" applyNumberFormat="1" applyFont="1" applyFill="1" applyBorder="1"/>
    <x:xf numFmtId="0" fontId="12" fillId="38" borderId="0" xfId="0" applyNumberFormat="1" applyFont="1" applyFill="1" applyBorder="1"/>
    <x:xf numFmtId="0" fontId="12" fillId="38" xfId="0" applyNumberFormat="1" applyFont="1" applyFill="1" applyBorder="0"/>
    <x:xf numFmtId="0" fontId="12" fillId="38" xfId="0" applyNumberFormat="1" applyFont="1" applyFill="1" applyBorder="0" applyAlignment="1">
      <x:alignment wrapText="1"/>
    </x:xf>
    <x:xf numFmtId="0" fontId="12" fillId="38" xfId="0" applyNumberFormat="1" applyFont="1" applyFill="1" applyBorder="0" applyAlignment="1">
      <x:alignment horizontal="center" wrapText="1"/>
    </x:xf>
    <x:xf numFmtId="0" fontId="11" fillId="34" xfId="0" applyNumberFormat="1" applyFont="1" applyFill="1" applyBorder="0" applyAlignment="1">
      <x:alignment horizontal="center"/>
    </x:xf>
    <x:xf numFmtId="0" fontId="10" fillId="34" xfId="0" applyNumberFormat="1" applyFont="1" applyFill="1" applyBorder="0" applyAlignment="1">
      <x:alignment wrapText="1"/>
    </x:xf>
    <x:xf numFmtId="0" fontId="10" fillId="34" borderId="0" xfId="0" applyNumberFormat="1" applyFont="1" applyFill="1" applyBorder="1"/>
    <x:xf numFmtId="0" fontId="13" fillId="34" xfId="0" applyNumberFormat="1" applyFont="1" applyFill="1" applyBorder="0" applyAlignment="1">
      <x:alignment horizontal="center"/>
    </x:xf>
    <x:xf numFmtId="0" fontId="13" fillId="34" xfId="0" applyNumberFormat="1" applyFont="1" applyFill="1" applyBorder="0" applyAlignment="1">
      <x:alignment wrapText="1"/>
    </x:xf>
    <x:xf numFmtId="0" fontId="13" fillId="34" borderId="0" xfId="0" applyNumberFormat="1" applyFont="1" applyFill="1" applyBorder="1"/>
    <x:xf numFmtId="0" fontId="13" fillId="34" xfId="0" applyNumberFormat="1" applyFont="1" applyFill="1" applyBorder="0" applyAlignment="1">
      <x:alignment horizontal="center" wrapText="1"/>
    </x:xf>
    <x:xf numFmtId="0" fontId="13" fillId="34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4" fillId="34" borderId="0" xfId="0" applyNumberFormat="1" applyFont="1" applyFill="1" applyBorder="1" applyAlignment="1">
      <x:alignment horizontal="center" vertical="center"/>
    </x:xf>
    <x:xf numFmtId="0" fontId="2" fillId="35" borderId="44" xfId="0" applyNumberFormat="1" applyFont="1" applyFill="1" applyBorder="1" applyAlignment="1">
      <x:alignment horizontal="center" vertical="center" wrapText="1"/>
    </x:xf>
    <x:xf numFmtId="0" fontId="2" fillId="35" borderId="4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16" fillId="34" borderId="0" xfId="0" applyNumberFormat="1" applyFont="1" applyFill="1" applyBorder="1" applyAlignment="1">
      <x:alignment horizontal="center" vertical="center"/>
    </x:xf>
    <x:xf numFmtId="0" fontId="13" fillId="35" borderId="44" xfId="0" applyNumberFormat="1" applyFont="1" applyFill="1" applyBorder="1" applyAlignment="1">
      <x:alignment horizontal="center" vertical="center" wrapText="1"/>
    </x:xf>
    <x:xf numFmtId="0" fontId="13" fillId="35" borderId="45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/>
    </x:xf>
    <x:xf numFmtId="0" fontId="10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horizontal="center" vertical="center"/>
    </x:xf>
    <x:xf numFmtId="0" fontId="10" fillId="0" borderId="9" xfId="0" applyNumberFormat="1" applyFont="1" applyFill="1" applyBorder="1" applyAlignment="1">
      <x:alignment vertical="center" wrapText="1"/>
    </x:xf>
    <x:xf numFmtId="0" fontId="11" fillId="0" borderId="10" xfId="0" applyNumberFormat="1" applyFont="1" applyFill="1" applyBorder="1" applyAlignment="1">
      <x:alignment horizontal="center" vertical="center"/>
    </x:xf>
    <x:xf numFmtId="0" fontId="10" fillId="0" borderId="11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/>
    <x:xf numFmtId="0" fontId="13" fillId="3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5" fillId="35" borderId="0" xfId="0" applyNumberFormat="1" applyFont="1" applyFill="1" applyBorder="1"/>
    <x:xf numFmtId="0" fontId="5" fillId="35" xfId="0" applyNumberFormat="1" applyFont="1" applyFill="1" applyBorder="0"/>
    <x:xf numFmtId="0" fontId="16" fillId="34" borderId="0" xfId="0" applyNumberFormat="1" applyFont="1" applyFill="1" applyBorder="1" applyAlignment="1">
      <x:alignment horizontal="center"/>
    </x:xf>
    <x:xf numFmtId="0" fontId="11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1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xfId="0" applyNumberFormat="1" applyFont="1" applyFill="1" applyBorder="0"/>
    <x:xf numFmtId="0" fontId="12" fillId="6" xfId="0" applyNumberFormat="1" applyFont="1" applyFill="1" applyBorder="0" applyAlignment="1">
      <x:alignment horizontal="center"/>
    </x:xf>
    <x:xf numFmtId="0" fontId="12" fillId="6" xfId="0" applyNumberFormat="1" applyFont="1" applyFill="1" applyBorder="0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3" xfId="0" applyNumberFormat="1" applyFont="1" applyFill="1" applyBorder="0" applyAlignment="1">
      <x:alignment horizontal="center"/>
    </x:xf>
    <x:xf numFmtId="0" fontId="10" fillId="3" xfId="0" applyNumberFormat="1" applyFont="1" applyFill="1" applyBorder="0" applyAlignment="1">
      <x:alignment wrapText="1"/>
    </x:xf>
    <x:xf numFmtId="0" fontId="10" fillId="3" borderId="0" xfId="0" applyNumberFormat="1" applyFont="1" applyFill="1" applyBorder="1"/>
    <x:xf numFmtId="0" fontId="13" fillId="3" xfId="0" applyNumberFormat="1" applyFont="1" applyFill="1" applyBorder="0" applyAlignment="1">
      <x:alignment horizontal="center"/>
    </x:xf>
    <x:xf numFmtId="0" fontId="13" fillId="3" xfId="0" applyNumberFormat="1" applyFont="1" applyFill="1" applyBorder="0" applyAlignment="1">
      <x:alignment wrapText="1"/>
    </x:xf>
    <x:xf numFmtId="0" fontId="13" fillId="3" borderId="0" xfId="0" applyNumberFormat="1" applyFont="1" applyFill="1" applyBorder="1"/>
    <x:xf numFmtId="0" fontId="13" fillId="3" xfId="0" applyNumberFormat="1" applyFont="1" applyFill="1" applyBorder="0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6" borderId="44" xfId="0" applyNumberFormat="1" applyFont="1" applyFill="1" applyBorder="1" applyAlignment="1">
      <x:alignment horizontal="center" vertical="center" wrapText="1"/>
    </x:xf>
    <x:xf numFmtId="0" fontId="2" fillId="6" borderId="4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horizontal="center" vertical="center"/>
    </x:xf>
    <x:xf numFmtId="0" fontId="13" fillId="6" borderId="44" xfId="0" applyNumberFormat="1" applyFont="1" applyFill="1" applyBorder="1" applyAlignment="1">
      <x:alignment horizontal="center" vertical="center" wrapText="1"/>
    </x:xf>
    <x:xf numFmtId="0" fontId="13" fillId="6" borderId="45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 applyAlignment="1">
      <x:alignment horizontal="center"/>
    </x:xf>
    <x:xf numFmtId="0" fontId="9" fillId="39" borderId="0" xfId="0" applyNumberFormat="1" applyFont="1" applyFill="1" applyBorder="1" applyAlignment="1">
      <x:alignment horizontal="center" vertical="center"/>
    </x:xf>
    <x:xf numFmtId="0" fontId="12" fillId="40" xfId="0" applyNumberFormat="1" applyFont="1" applyFill="1" applyBorder="0" applyAlignment="1">
      <x:alignment horizontal="center" vertical="center"/>
    </x:xf>
    <x:xf numFmtId="0" fontId="11" fillId="40" xfId="0" applyNumberFormat="1" applyFont="1" applyFill="1" applyBorder="0"/>
    <x:xf numFmtId="0" fontId="11" fillId="41" xfId="0" applyNumberFormat="1" applyFont="1" applyFill="1" applyBorder="0"/>
    <x:xf numFmtId="0" fontId="11" fillId="42" borderId="0" xfId="0" applyNumberFormat="1" applyFont="1" applyFill="1" applyBorder="1" applyAlignment="1">
      <x:alignment horizontal="center" vertical="center" wrapText="1"/>
    </x:xf>
    <x:xf numFmtId="0" fontId="12" fillId="43" xfId="0" applyNumberFormat="1" applyFont="1" applyFill="1" applyBorder="0" applyAlignment="1">
      <x:alignment horizontal="center" vertical="center" wrapText="1"/>
    </x:xf>
    <x:xf numFmtId="0" fontId="12" fillId="42" xfId="0" applyNumberFormat="1" applyFont="1" applyFill="1" applyBorder="0" applyAlignment="1">
      <x:alignment horizontal="center" vertical="center" wrapText="1"/>
    </x:xf>
    <x:xf numFmtId="0" fontId="13" fillId="39" xfId="0" applyNumberFormat="1" applyFont="1" applyFill="1" applyBorder="0" applyAlignment="1">
      <x:alignment horizontal="center"/>
    </x:xf>
    <x:xf numFmtId="0" fontId="13" fillId="39" xfId="0" applyNumberFormat="1" applyFont="1" applyFill="1" applyBorder="0" applyAlignment="1">
      <x:alignment horizontal="center" wrapText="1"/>
    </x:xf>
    <x:xf numFmtId="0" fontId="13" fillId="3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791d9d57f48c8" /><Relationship Type="http://schemas.openxmlformats.org/officeDocument/2006/relationships/theme" Target="/xl/theme/theme1.xml" Id="Rab4096b97c1a43cd" /><Relationship Type="http://schemas.microsoft.com/office/2022/11/relationships/FeaturePropertyBag" Target="/xl/featurePropertyBag/featurePropertyBag.xml" Id="R9080645f24c1482b" /><Relationship Type="http://schemas.openxmlformats.org/officeDocument/2006/relationships/sharedStrings" Target="/xl/sharedStrings.xml" Id="Rbdd071c9657c4c7a" /><Relationship Type="http://schemas.openxmlformats.org/officeDocument/2006/relationships/worksheet" Target="/xl/worksheets/sheet1.xml" Id="R25f41681a81145db" /><Relationship Type="http://schemas.openxmlformats.org/officeDocument/2006/relationships/worksheet" Target="/xl/worksheets/sheet2.xml" Id="Rcbc5a72146004858" /><Relationship Type="http://schemas.openxmlformats.org/officeDocument/2006/relationships/worksheet" Target="/xl/worksheets/sheet3.xml" Id="R91f639ff886045bd" /><Relationship Type="http://schemas.openxmlformats.org/officeDocument/2006/relationships/worksheet" Target="/xl/worksheets/sheet4.xml" Id="Rd97e16484d6c48a6" /><Relationship Type="http://schemas.openxmlformats.org/officeDocument/2006/relationships/worksheet" Target="/xl/worksheets/sheet5.xml" Id="R12720c76e1594535" /><Relationship Type="http://schemas.openxmlformats.org/officeDocument/2006/relationships/worksheet" Target="/xl/worksheets/sheet6.xml" Id="Ra759fc5a27ef48e5" /><Relationship Type="http://schemas.openxmlformats.org/officeDocument/2006/relationships/worksheet" Target="/xl/worksheets/sheet7.xml" Id="R63f3132866774c6c" /><Relationship Type="http://schemas.openxmlformats.org/officeDocument/2006/relationships/worksheet" Target="/xl/worksheets/sheet8.xml" Id="R5d125406f04c4a41" /><Relationship Type="http://schemas.openxmlformats.org/officeDocument/2006/relationships/worksheet" Target="/xl/worksheets/sheet9.xml" Id="R744e54bf04424276" /><Relationship Type="http://schemas.openxmlformats.org/officeDocument/2006/relationships/worksheet" Target="/xl/worksheets/sheet10.xml" Id="R334258b3e4d245c3" /><Relationship Type="http://schemas.openxmlformats.org/officeDocument/2006/relationships/worksheet" Target="/xl/worksheets/sheet11.xml" Id="Rebce0c1c90c64dd1" /><Relationship Type="http://schemas.openxmlformats.org/officeDocument/2006/relationships/worksheet" Target="/xl/worksheets/sheet12.xml" Id="R0e0df1d160c44fcc" /><Relationship Type="http://schemas.openxmlformats.org/officeDocument/2006/relationships/worksheet" Target="/xl/worksheets/sheet13.xml" Id="R04c8b3fb88e84c9b" /><Relationship Type="http://schemas.openxmlformats.org/officeDocument/2006/relationships/worksheet" Target="/xl/worksheets/sheet14.xml" Id="R194f85257c764f49" /><Relationship Type="http://schemas.openxmlformats.org/officeDocument/2006/relationships/worksheet" Target="/xl/worksheets/sheet15.xml" Id="R5da9773438544f5c" /><Relationship Type="http://schemas.openxmlformats.org/officeDocument/2006/relationships/worksheet" Target="/xl/worksheets/sheet16.xml" Id="R862f0cea1e1d46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d187f10e6f407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Qdd</c:v>
          </c:tx>
          <c:cat>
            <c:strRef>
              <c:f>'BAO_CAO_QDU'!$A$4:$A$51</c:f>
              <c:strCache>
                <c:ptCount val="0"/>
              </c:strCache>
            </c:strRef>
          </c:cat>
          <c:val>
            <c:numRef>
              <c:f>'BAO_CAO_QDU'!$B$4:$B$51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P_Qdc</c:v>
          </c:tx>
          <c:cat>
            <c:strRef>
              <c:f>'BAO_CAO_QDU'!$A$4:$A$51</c:f>
              <c:strCache>
                <c:ptCount val="0"/>
              </c:strCache>
            </c:strRef>
          </c:cat>
          <c:val>
            <c:numRef>
              <c:f>'BAO_CAO_QDU'!$H$4:$H$51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d187f10e6f407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1fccfd2ab345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522" t="str">
        <x:v>HƯỚNG DẪN NHANH – CÔNG CỤ TÍNH Qdd / QDƯ</x:v>
      </x:c>
      <x:c r="B1" s="522"/>
      <x:c r="C1" s="522"/>
      <x:c r="D1" s="522"/>
      <x:c r="E1" s="522"/>
      <x:c r="F1" s="522"/>
      <x:c r="G1" s="522"/>
      <x:c r="H1" s="522"/>
    </x:row>
    <x:row r="2" ht="22" customHeight="1">
      <x:c r="A2" s="329"/>
      <x:c r="B2" s="329"/>
      <x:c r="C2" s="329"/>
      <x:c r="D2" s="329"/>
      <x:c r="E2" s="329"/>
      <x:c r="F2" s="329"/>
      <x:c r="G2" s="329"/>
      <x:c r="H2" s="329"/>
    </x:row>
    <x:row r="3" ht="22" customHeight="1">
      <x:c r="A3" s="523" t="str">
        <x:v>Bước</x:v>
      </x:c>
      <x:c r="B3" s="524" t="str">
        <x:v>Thao tác</x:v>
      </x:c>
      <x:c r="C3" s="329"/>
      <x:c r="D3" s="329"/>
      <x:c r="E3" s="329"/>
      <x:c r="F3" s="329"/>
      <x:c r="G3" s="329"/>
      <x:c r="H3" s="329"/>
    </x:row>
    <x:row r="4" ht="22" customHeight="1">
      <x:c r="A4" s="525" t="str">
        <x:v>1</x:v>
      </x:c>
      <x:c r="B4" s="526" t="str">
        <x:v>Cài đặt ngày tính, tổ máy S1/S2 và công suất tại 00:00.</x:v>
      </x:c>
      <x:c r="C4" s="329"/>
      <x:c r="D4" s="329"/>
      <x:c r="E4" s="329"/>
      <x:c r="F4" s="329"/>
      <x:c r="G4" s="329"/>
      <x:c r="H4" s="329"/>
    </x:row>
    <x:row r="5" ht="22" customHeight="1">
      <x:c r="A5" s="527" t="str">
        <x:v>2</x:v>
      </x:c>
      <x:c r="B5" s="528" t="str">
        <x:v>Nhập file Danh sách lệnh kết thúc; công cụ tự lọc đúng ngày và đúng tổ máy.</x:v>
      </x:c>
      <x:c r="C5" s="329"/>
      <x:c r="D5" s="329"/>
      <x:c r="E5" s="329"/>
      <x:c r="F5" s="329"/>
      <x:c r="G5" s="329"/>
      <x:c r="H5" s="329"/>
    </x:row>
    <x:row r="6" ht="22" customHeight="1">
      <x:c r="A6" s="527" t="str">
        <x:v>3</x:v>
      </x:c>
      <x:c r="B6" s="528" t="str">
        <x:v>Nhập CSV 6001 để lấy Qdc và CSV 6303 để lấy Qmp; mỗi CSV phải có KwhGiao và 48 chu kỳ.</x:v>
      </x:c>
      <x:c r="C6" s="329"/>
      <x:c r="D6" s="329"/>
      <x:c r="E6" s="329"/>
      <x:c r="F6" s="329"/>
      <x:c r="G6" s="329"/>
      <x:c r="H6" s="329"/>
    </x:row>
    <x:row r="7" ht="22" customHeight="1">
      <x:c r="A7" s="527" t="str">
        <x:v>4</x:v>
      </x:c>
      <x:c r="B7" s="528" t="str">
        <x:v>Lệnh SO hợp lệ dùng CS hoàn thành; MO bình thường dùng CS ra lệnh; MO dừng sớm dùng CS hoàn thành thực tế.</x:v>
      </x:c>
      <x:c r="C7" s="329"/>
      <x:c r="D7" s="329"/>
      <x:c r="E7" s="329"/>
      <x:c r="F7" s="329"/>
      <x:c r="G7" s="329"/>
      <x:c r="H7" s="329"/>
    </x:row>
    <x:row r="8" ht="22" customHeight="1">
      <x:c r="A8" s="527" t="str">
        <x:v>5</x:v>
      </x:c>
      <x:c r="B8" s="528" t="str">
        <x:v>Ramp bắt đầu tại thời điểm BĐTH, tốc độ mặc định 3,5 MW/phút; lệnh mới có thể ngắt ramp đang diễn ra.</x:v>
      </x:c>
      <x:c r="C8" s="329"/>
      <x:c r="D8" s="329"/>
      <x:c r="E8" s="329"/>
      <x:c r="F8" s="329"/>
      <x:c r="G8" s="329"/>
      <x:c r="H8" s="329"/>
    </x:row>
    <x:row r="9" ht="22" customHeight="1">
      <x:c r="A9" s="527" t="str">
        <x:v>6</x:v>
      </x:c>
      <x:c r="B9" s="528" t="str">
        <x:v>Nếu ramp qua 00:00, công cụ lưu trạng thái và tạo AUTO_CARRY cho ngày kế tiếp.</x:v>
      </x:c>
      <x:c r="C9" s="329"/>
      <x:c r="D9" s="329"/>
      <x:c r="E9" s="329"/>
      <x:c r="F9" s="329"/>
      <x:c r="G9" s="329"/>
      <x:c r="H9" s="329"/>
    </x:row>
    <x:row r="10" ht="22" customHeight="1">
      <x:c r="A10" s="527" t="str">
        <x:v>7</x:v>
      </x:c>
      <x:c r="B10" s="528" t="str">
        <x:v>Tính và kiểm tra; kiểm tra đủ 48 chu kỳ Qdd/Qdc/Qmp/Qdư và không có lỗi Excel.</x:v>
      </x:c>
      <x:c r="C10" s="329"/>
      <x:c r="D10" s="329"/>
      <x:c r="E10" s="329"/>
      <x:c r="F10" s="329"/>
      <x:c r="G10" s="329"/>
      <x:c r="H10" s="329"/>
    </x:row>
    <x:row r="11" ht="22" customHeight="1">
      <x:c r="A11" s="529" t="str">
        <x:v>8</x:v>
      </x:c>
      <x:c r="B11" s="530" t="str">
        <x:v>Qdd gốc chỉ dùng để đối chiếu; sai lệch lớn phải được kiểm tra lại lệnh hoặc phép tính tay.</x:v>
      </x:c>
      <x:c r="C11" s="329"/>
      <x:c r="D11" s="329"/>
      <x:c r="E11" s="329"/>
      <x:c r="F11" s="329"/>
      <x:c r="G11" s="329"/>
      <x:c r="H11" s="329"/>
    </x:row>
    <x:row r="12" ht="22" customHeight="1">
      <x:c r="A12" s="341" t="str">
        <x:v>9</x:v>
      </x:c>
      <x:c r="B12" s="339" t="str">
        <x:v>Xuất báo cáo ngày và lưu bản sao dự phòng trước khi thay đổi dữ liệu/phiên bản.</x:v>
      </x:c>
      <x:c r="C12" s="329"/>
      <x:c r="D12" s="329"/>
      <x:c r="E12" s="329"/>
      <x:c r="F12" s="329"/>
      <x:c r="G12" s="329"/>
      <x:c r="H12" s="329"/>
    </x:row>
    <x:row r="13" ht="22" customHeight="1">
      <x:c r="A13" s="531"/>
      <x:c r="B13" s="531"/>
      <x:c r="C13" s="531"/>
      <x:c r="D13" s="531"/>
      <x:c r="E13" s="531"/>
      <x:c r="F13" s="531"/>
      <x:c r="G13" s="531"/>
      <x:c r="H13" s="531"/>
    </x:row>
    <x:row r="14" ht="22" customHeight="1">
      <x:c r="A14" s="532" t="str">
        <x:v>QUY TẮC NGHIỆP VỤ CỐT LÕI</x:v>
      </x:c>
      <x:c r="B14" s="532"/>
      <x:c r="C14" s="532"/>
      <x:c r="D14" s="532"/>
      <x:c r="E14" s="532"/>
      <x:c r="F14" s="532"/>
      <x:c r="G14" s="532"/>
      <x:c r="H14" s="532"/>
    </x:row>
    <x:row r="15" ht="22" customHeight="1">
      <x:c r="A15" s="533" t="str">
        <x:v>SO</x:v>
      </x:c>
      <x:c r="B15" s="533" t="str">
        <x:v>Hoàn thành=1 và CS hoàn thành &gt;0; công suất hiệu lực = CS hoàn thành.</x:v>
      </x:c>
      <x:c r="C15" s="533"/>
      <x:c r="D15" s="533"/>
      <x:c r="E15" s="533"/>
      <x:c r="F15" s="533"/>
      <x:c r="G15" s="533"/>
      <x:c r="H15" s="533"/>
    </x:row>
    <x:row r="16" ht="22" customHeight="1">
      <x:c r="A16" s="534" t="str">
        <x:v>MO thường</x:v>
      </x:c>
      <x:c r="B16" s="535" t="str">
        <x:v>Hoàn thành=1 và CS ra lệnh &gt;0; công suất hiệu lực = CS ra lệnh.</x:v>
      </x:c>
      <x:c r="C16" s="535"/>
      <x:c r="D16" s="535"/>
      <x:c r="E16" s="535"/>
      <x:c r="F16" s="535"/>
      <x:c r="G16" s="535"/>
      <x:c r="H16" s="535"/>
    </x:row>
    <x:row r="17" ht="22" customHeight="1">
      <x:c r="A17" s="534" t="str">
        <x:v>MO dừng sớm</x:v>
      </x:c>
      <x:c r="B17" s="535" t="str">
        <x:v>Dừng lệnh=TRUE; công suất hiệu lực = CS hoàn thành thực tế.</x:v>
      </x:c>
      <x:c r="C17" s="535"/>
      <x:c r="D17" s="535"/>
      <x:c r="E17" s="535"/>
      <x:c r="F17" s="535"/>
      <x:c r="G17" s="535"/>
      <x:c r="H17" s="535"/>
    </x:row>
    <x:row r="18">
      <x:c r="A18" s="384" t="str">
        <x:v>Ramp</x:v>
      </x:c>
      <x:c r="B18" s="339" t="str">
        <x:v>Từ công suất đang có đến mục tiêu với tốc độ 3,5 MW/phút; dùng thời điểm BĐTH.</x:v>
      </x:c>
      <x:c r="C18" s="329"/>
      <x:c r="D18" s="329"/>
      <x:c r="E18" s="329"/>
      <x:c r="F18" s="329"/>
      <x:c r="G18" s="329"/>
      <x:c r="H18" s="329"/>
    </x:row>
    <x:row r="19">
      <x:c r="A19" s="384" t="str">
        <x:v>Ngắt ramp</x:v>
      </x:c>
      <x:c r="B19" s="339" t="str">
        <x:v>Lệnh mới bắt đầu từ công suất nội suy tại thời điểm lệnh mới.</x:v>
      </x:c>
      <x:c r="C19" s="329"/>
      <x:c r="D19" s="329"/>
      <x:c r="E19" s="329"/>
      <x:c r="F19" s="329"/>
      <x:c r="G19" s="329"/>
      <x:c r="H19" s="329"/>
    </x:row>
    <x:row r="20">
      <x:c r="A20" s="368" t="str">
        <x:v>P đầu ngày</x:v>
      </x:c>
      <x:c r="B20" s="368" t="str">
        <x:v>Nhập tay cho ngày đầu; các ngày liên tiếp có thể tự lấy P cuối ngày trước theo từng tổ máy.</x:v>
      </x:c>
      <x:c r="C20" s="368"/>
      <x:c r="D20" s="368"/>
      <x:c r="E20" s="368"/>
      <x:c r="F20" s="368"/>
      <x:c r="G20" s="368"/>
      <x:c r="H20" s="368"/>
    </x:row>
    <x:row r="21">
      <x:c r="A21" s="368" t="str">
        <x:v>Qdd</x:v>
      </x:c>
      <x:c r="B21" s="368" t="str">
        <x:v>Công suất trung bình 30 phút, tính bằng diện tích dưới đường công suất chia 1.800 giây.</x:v>
      </x:c>
      <x:c r="C21" s="368"/>
      <x:c r="D21" s="368"/>
      <x:c r="E21" s="368"/>
      <x:c r="F21" s="368"/>
      <x:c r="G21" s="368"/>
      <x:c r="H21" s="368"/>
    </x:row>
    <x:row r="22">
      <x:c r="A22" s="536" t="str">
        <x:v>Qdd_V</x:v>
      </x:c>
      <x:c r="B22" s="536" t="str">
        <x:v>Qdd / 2 × 0,9188.</x:v>
      </x:c>
      <x:c r="C22" s="536"/>
      <x:c r="D22" s="536"/>
      <x:c r="E22" s="536"/>
      <x:c r="F22" s="536"/>
      <x:c r="G22" s="536"/>
      <x:c r="H22" s="536"/>
    </x:row>
    <x:row r="23">
      <x:c r="A23" s="533" t="str">
        <x:v>Dải kiểm tra</x:v>
      </x:c>
      <x:c r="B23" s="533" t="str">
        <x:v>P_Qdc nằm trong Qdd ±3% thì Qdư = 0; ngoài dải thì Qdư = Qmp - Qdd_V.</x:v>
      </x:c>
      <x:c r="C23" s="533"/>
      <x:c r="D23" s="533"/>
      <x:c r="E23" s="533"/>
      <x:c r="F23" s="533"/>
      <x:c r="G23" s="533"/>
      <x:c r="H23" s="533"/>
    </x:row>
    <x:row r="24">
      <x:c r="A24" s="368"/>
      <x:c r="B24" s="368"/>
      <x:c r="C24" s="368"/>
      <x:c r="D24" s="368"/>
      <x:c r="E24" s="368"/>
      <x:c r="F24" s="368"/>
      <x:c r="G24" s="368"/>
      <x:c r="H24" s="368"/>
    </x:row>
    <x:row r="25">
      <x:c r="A25" s="537" t="str">
        <x:v>Phạm vi: dùng được cho S1 và S2 khi cấu trúc danh sách lệnh, CSV 6001/6303 và quy tắc nghiệp vụ giống nhau.</x:v>
      </x:c>
      <x:c r="B25" s="537"/>
      <x:c r="C25" s="537"/>
      <x:c r="D25" s="537"/>
      <x:c r="E25" s="537"/>
      <x:c r="F25" s="537"/>
      <x:c r="G25" s="537"/>
      <x:c r="H25" s="537"/>
    </x:row>
    <x:row r="26">
      <x:c r="A26" s="369"/>
      <x:c r="B26" s="369"/>
      <x:c r="C26" s="369"/>
      <x:c r="D26" s="369"/>
      <x:c r="E26" s="369"/>
      <x:c r="F26" s="369"/>
      <x:c r="G26" s="369"/>
      <x:c r="H26" s="369"/>
    </x:row>
    <x:row r="27">
      <x:c r="A27" s="358" t="str">
        <x:v>Nâng cấp v1.1</x:v>
      </x:c>
      <x:c r="B27" s="358" t="str">
        <x:v>Tối đa 60 lệnh hiệu lực/ngày.</x:v>
      </x:c>
      <x:c r="C27" s="358"/>
      <x:c r="D27" s="358"/>
      <x:c r="E27" s="358"/>
      <x:c r="F27" s="358"/>
      <x:c r="G27" s="358"/>
      <x:c r="H27" s="358"/>
    </x:row>
    <x:row r="28">
      <x:c r="A28" s="369" t="str">
        <x:v>Hiệu năng</x:v>
      </x:c>
      <x:c r="B28" s="369" t="str">
        <x:v>Ngày nhiều lệnh tính lâu hơn.</x:v>
      </x:c>
      <x:c r="C28" s="369"/>
      <x:c r="D28" s="369"/>
      <x:c r="E28" s="369"/>
      <x:c r="F28" s="369"/>
      <x:c r="G28" s="369"/>
      <x:c r="H28" s="369"/>
    </x:row>
    <x:row r="29">
      <x:c r="A29" s="358" t="str">
        <x:v>Giới hạn</x:v>
      </x:c>
      <x:c r="B29" s="358" t="str">
        <x:v>Vượt 60 lệnh sẽ báo lỗi.</x:v>
      </x:c>
      <x:c r="C29" s="358"/>
      <x:c r="D29" s="358"/>
      <x:c r="E29" s="358"/>
      <x:c r="F29" s="358"/>
      <x:c r="G29" s="358"/>
      <x:c r="H29" s="358"/>
    </x:row>
    <x:row r="30">
      <x:c r="A30" s="369"/>
      <x:c r="B30" s="369"/>
      <x:c r="C30" s="369"/>
      <x:c r="D30" s="369"/>
      <x:c r="E30" s="369"/>
      <x:c r="F30" s="369"/>
      <x:c r="G30" s="369"/>
      <x:c r="H30" s="369"/>
    </x:row>
    <x:row r="31">
      <x:c r="A31" s="448"/>
      <x:c r="B31" s="448"/>
      <x:c r="C31" s="448"/>
      <x:c r="D31" s="448"/>
      <x:c r="E31" s="448"/>
      <x:c r="F31" s="448"/>
      <x:c r="G31" s="448"/>
      <x:c r="H31" s="448"/>
    </x:row>
    <x:row r="32">
      <x:c r="A32" s="452"/>
      <x:c r="B32" s="452"/>
      <x:c r="C32" s="452"/>
      <x:c r="D32" s="452"/>
      <x:c r="E32" s="452"/>
      <x:c r="F32" s="452"/>
      <x:c r="G32" s="452"/>
      <x:c r="H32" s="452"/>
    </x:row>
    <x:row r="35">
      <x:c r="A35" s="326" t="str">
        <x:v>Bản vá v1.2.6</x:v>
      </x:c>
      <x:c r="B35" s="118" t="str">
        <x:v>Sửa xuất tháng trên Mac khi file mẫu có ô gộp.</x:v>
      </x:c>
    </x:row>
    <x:row r="36">
      <x:c r="A36" s="326" t="str">
        <x:v>Chạy chính thức</x:v>
      </x:c>
      <x:c r="B36" s="118" t="str">
        <x:v>Không yêu cầu Qdd gốc; không tạo backup tự động.</x:v>
      </x:c>
    </x:row>
    <x:row r="37">
      <x:c r="A37" s="326" t="str">
        <x:v>Qdd gốc</x:v>
      </x:c>
      <x:c r="B37" s="118" t="str">
        <x:v>Nút 4 vẫn dùng để đối chiếu thủ công; thiếu dữ liệu sẽ được bỏ qua.</x:v>
      </x:c>
    </x:row>
    <x:row r="38">
      <x:c r="A38" s="326" t="str">
        <x:v>Sao lưu</x:v>
      </x:c>
      <x:c r="B38" s="118" t="str">
        <x:v>Dùng nút 11 khi cần tạo bản sao dự phòng.</x:v>
      </x:c>
    </x:row>
    <x:row r="39">
      <x:c r="A39" s="326" t="str">
        <x:v>Bản v1.3.0</x:v>
      </x:c>
      <x:c r="B39" s="118" t="str">
        <x:v>Core và báo cáo tháng đã hợp nhất vào một module.</x:v>
      </x:c>
    </x:row>
    <x:row r="40">
      <x:c r="A40" s="326" t="str">
        <x:v>Lỗi đã loại bỏ</x:v>
      </x:c>
      <x:c r="B40" s="118" t="str">
        <x:v>Không còn gọi macro báo cáo tháng bằng Application.Run.</x:v>
      </x:c>
    </x:row>
    <x:row r="41">
      <x:c r="A41" s="326" t="str">
        <x:v>Cài đặt</x:v>
      </x:c>
      <x:c r="B41" s="118" t="str">
        <x:v>Xóa toàn bộ module modQdu cũ, sau đó import một file BAS duy nhất.</x:v>
      </x:c>
    </x:row>
    <x:row r="42">
      <x:c r="A42" s="326" t="str">
        <x:v>Không được xóa</x:v>
      </x:c>
      <x:c r="B42" s="118" t="str">
        <x:v>LICH_SU_THANG và các sheet LS_... vì đây là dữ liệu lịch sử.</x:v>
      </x:c>
    </x:row>
    <x:row r="43">
      <x:c r="A43" s="326" t="str">
        <x:v>Kiểm tra</x:v>
      </x:c>
      <x:c r="B43" s="118" t="str">
        <x:v>Debug &gt; Compile VBAProject, sau đó chạy Qdu_TaoNut và nút 13.</x:v>
      </x:c>
    </x:row>
  </x:sheetData>
  <x:mergeCells>
    <x:mergeCell ref="A1:H1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15" hidden="0" customWidth="1"/>
    <x:col min="4" max="4" width="15" hidden="0" customWidth="1"/>
  </x:cols>
  <x:sheetData>
    <x:row r="1">
      <x:c r="A1" s="372" t="str">
        <x:v>CÀI ĐẶT NGÀY TÍNH</x:v>
      </x:c>
      <x:c r="B1" s="372" t="str">
        <x:v>CÀI ĐẶT NGÀY TÍNH</x:v>
      </x:c>
      <x:c r="C1" s="372" t="str">
        <x:v>CÀI ĐẶT NGÀY TÍNH</x:v>
      </x:c>
      <x:c r="D1" s="372" t="str">
        <x:v>CÀI ĐẶT NGÀY TÍNH</x:v>
      </x:c>
    </x:row>
    <x:row r="2">
      <x:c r="A2" s="329"/>
      <x:c r="B2" s="329"/>
      <x:c r="C2" s="329"/>
      <x:c r="D2" s="329"/>
    </x:row>
    <x:row r="3">
      <x:c r="A3" s="373" t="str">
        <x:v>Thông số</x:v>
      </x:c>
      <x:c r="B3" s="374" t="str">
        <x:v>Giá trị</x:v>
      </x:c>
      <x:c r="C3" s="329"/>
      <x:c r="D3" s="329"/>
    </x:row>
    <x:row r="4">
      <x:c r="A4" s="375" t="str">
        <x:v>Ngày tính</x:v>
      </x:c>
      <x:c r="B4" s="376"/>
      <x:c r="C4" s="329"/>
      <x:c r="D4" s="329"/>
    </x:row>
    <x:row r="5">
      <x:c r="A5" s="377" t="str">
        <x:v>Tổ máy</x:v>
      </x:c>
      <x:c r="B5" s="378" t="str">
        <x:v>S1</x:v>
      </x:c>
      <x:c r="C5" s="329"/>
      <x:c r="D5" s="329"/>
    </x:row>
    <x:row r="6">
      <x:c r="A6" s="377" t="str">
        <x:v>Công suất đầu ngày (MW)</x:v>
      </x:c>
      <x:c r="B6" s="379"/>
      <x:c r="C6" s="329"/>
      <x:c r="D6" s="329"/>
    </x:row>
    <x:row r="7">
      <x:c r="A7" s="377" t="str">
        <x:v>Tốc độ tăng/giảm tải (MW/phút)</x:v>
      </x:c>
      <x:c r="B7" s="379" t="n">
        <x:v>3.5</x:v>
      </x:c>
      <x:c r="C7" s="329"/>
      <x:c r="D7" s="329"/>
    </x:row>
    <x:row r="8">
      <x:c r="A8" s="377" t="str">
        <x:v>Hệ số Qdd_V</x:v>
      </x:c>
      <x:c r="B8" s="380" t="n">
        <x:v>0.9188</x:v>
      </x:c>
      <x:c r="C8" s="329"/>
      <x:c r="D8" s="329"/>
    </x:row>
    <x:row r="9">
      <x:c r="A9" s="377" t="str">
        <x:v>Dung sai</x:v>
      </x:c>
      <x:c r="B9" s="381" t="n">
        <x:v>0.03</x:v>
      </x:c>
      <x:c r="C9" s="329"/>
      <x:c r="D9" s="329"/>
    </x:row>
    <x:row r="10">
      <x:c r="A10" s="382" t="str">
        <x:v>Số lệnh hợp lệ</x:v>
      </x:c>
      <x:c r="B10" s="383" t="n">
        <x:f>IFERROR(SUM(LENH_DIEU_DO!$T$3:$T$202)+0*RAND(),0)</x:f>
        <x:v>0</x:v>
      </x:c>
      <x:c r="C10" s="329"/>
      <x:c r="D10" s="329"/>
    </x:row>
    <x:row r="11">
      <x:c r="A11" s="329" t="str">
        <x:v>Quy tắc công suất SO</x:v>
      </x:c>
      <x:c r="B11" s="329" t="str">
        <x:v>Dùng CS hoàn thành</x:v>
      </x:c>
      <x:c r="C11" s="329"/>
      <x:c r="D11" s="329"/>
    </x:row>
    <x:row r="12">
      <x:c r="A12" s="360" t="str">
        <x:v>Quy tắc công suất MO</x:v>
      </x:c>
      <x:c r="B12" s="360" t="str">
        <x:v>Dùng CS ra lệnh</x:v>
      </x:c>
      <x:c r="C12" s="360"/>
      <x:c r="D12" s="360"/>
    </x:row>
    <x:row r="13">
      <x:c r="A13" s="384" t="str">
        <x:v>Nguồn công suất đầu ngày</x:v>
      </x:c>
      <x:c r="B13" s="339" t="str">
        <x:v>Chưa xác định</x:v>
      </x:c>
      <x:c r="C13" s="339"/>
      <x:c r="D13" s="339"/>
    </x:row>
    <x:row r="14">
      <x:c r="A14" s="384" t="str">
        <x:v>Công suất cuối ngày (MW)</x:v>
      </x:c>
      <x:c r="B14" s="385"/>
      <x:c r="C14" s="339"/>
      <x:c r="D14" s="339"/>
    </x:row>
    <x:row r="15">
      <x:c r="A15" s="384" t="str">
        <x:v>Ramp qua 00:00</x:v>
      </x:c>
      <x:c r="B15" s="339"/>
      <x:c r="C15" s="339"/>
      <x:c r="D15" s="339"/>
    </x:row>
    <x:row r="16">
      <x:c r="A16" s="473" t="str">
        <x:v>Dung sai đối chiếu Qdd (MW)</x:v>
      </x:c>
      <x:c r="B16" s="474" t="n">
        <x:v>0.1</x:v>
      </x:c>
      <x:c r="C16" s="118"/>
      <x:c r="D16" s="118"/>
    </x:row>
    <x:row r="17">
      <x:c r="A17" s="475" t="str">
        <x:v>Phiên bản công cụ</x:v>
      </x:c>
      <x:c r="B17" s="476" t="str">
        <x:v>1.3.0</x:v>
      </x:c>
    </x:row>
    <x:row r="18">
      <x:c r="A18" s="475" t="str">
        <x:v>Chế độ sử dụng</x:v>
      </x:c>
      <x:c r="B18" s="476" t="str">
        <x:v>CHÍNH THỨC</x:v>
      </x:c>
    </x:row>
    <x:row r="19">
      <x:c r="A19" s="475" t="str">
        <x:v>Nguồn Qdc</x:v>
      </x:c>
      <x:c r="B19" s="476" t="str">
        <x:v>Công tơ 6001 - KwhGiao</x:v>
      </x:c>
    </x:row>
    <x:row r="20">
      <x:c r="A20" s="475" t="str">
        <x:v>Nguồn Qmp</x:v>
      </x:c>
      <x:c r="B20" s="476" t="str">
        <x:v>Công tơ 6303 - KwhGiao</x:v>
      </x:c>
    </x:row>
    <x:row r="21">
      <x:c r="A21" t="str">
        <x:v>Số lệnh hiệu lực tối đa/ngày</x:v>
      </x:c>
      <x:c r="B21" t="n">
        <x:v>60</x:v>
      </x:c>
    </x:row>
  </x:sheetData>
  <x:mergeCells>
    <x:mergeCell ref="A1:D1"/>
    <x:mergeCell ref="A12:D12"/>
    <x:mergeCell ref="A13:D13"/>
    <x:mergeCell ref="A14:D14"/>
    <x:mergeCell ref="A15:D15"/>
    <x:mergeCell ref="A16:D16"/>
  </x:mergeCells>
  <x:dataValidations count="1">
    <x:dataValidation type="list" sqref="B5">
      <x:formula1>"S1,S2"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1" hidden="0" customWidth="1"/>
  </x:cols>
  <x:sheetData>
    <x:row r="1">
      <x:c r="A1" s="121"/>
      <x:c r="B1" s="121"/>
      <x:c r="C1" s="121"/>
      <x:c r="D1" s="121"/>
      <x:c r="E1" s="121"/>
      <x:c r="F1" s="121"/>
      <x:c r="G1" s="121" t="str">
        <x:v>Danh sách lệnh kết thúc</x:v>
      </x:c>
      <x:c r="H1" s="121" t="str">
        <x:v>Danh sách lệnh kết thúc</x:v>
      </x:c>
      <x:c r="I1" s="121" t="str">
        <x:v>Danh sách lệnh kết thúc</x:v>
      </x:c>
      <x:c r="J1" s="121" t="str">
        <x:v>Danh sách lệnh kết thúc</x:v>
      </x:c>
      <x:c r="K1" s="121" t="str">
        <x:v>Danh sách lệnh kết thúc</x:v>
      </x:c>
      <x:c r="L1" s="121" t="str">
        <x:v>Danh sách lệnh kết thúc</x:v>
      </x:c>
      <x:c r="M1" s="121"/>
      <x:c r="N1" s="121"/>
      <x:c r="O1" s="121"/>
      <x:c r="P1" s="121"/>
      <x:c r="Q1" s="121"/>
      <x:c r="R1" s="121"/>
      <x:c r="S1" s="121"/>
      <x:c r="T1" s="121"/>
      <x:c r="U1" s="121"/>
      <x:c r="V1" s="121"/>
      <x:c r="W1" s="121"/>
      <x:c r="X1" s="121"/>
      <x:c r="Y1" s="12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</x:row>
    <x:row r="3">
      <x:c r="A3" s="241" t="str">
        <x:v>ID Lệnh</x:v>
      </x:c>
      <x:c r="B3" s="248" t="str">
        <x:v>Nhà máy</x:v>
      </x:c>
      <x:c r="C3" s="248" t="str">
        <x:v>Tổ máy</x:v>
      </x:c>
      <x:c r="D3" s="248" t="str">
        <x:v>Nội dung lệnh</x:v>
      </x:c>
      <x:c r="E3" s="248" t="str">
        <x:v>CS ra lệnh (MW)</x:v>
      </x:c>
      <x:c r="F3" s="248" t="str">
        <x:v>CS hoàn thành (MW)</x:v>
      </x:c>
      <x:c r="G3" s="248" t="str">
        <x:v>Thời điểm BĐTH</x:v>
      </x:c>
      <x:c r="H3" s="248" t="str">
        <x:v>Thời điểm hoàn thành</x:v>
      </x:c>
      <x:c r="I3" s="248" t="str">
        <x:v>Người ra lệnh</x:v>
      </x:c>
      <x:c r="J3" s="248" t="str">
        <x:v>Người thực hiện</x:v>
      </x:c>
      <x:c r="K3" s="248" t="str">
        <x:v>AGC</x:v>
      </x:c>
      <x:c r="L3" s="248" t="str">
        <x:v>Nhiên liệu</x:v>
      </x:c>
      <x:c r="M3" s="248" t="str">
        <x:v>Lý do lệnh</x:v>
      </x:c>
      <x:c r="N3" s="248" t="str">
        <x:v>Ghi chú ra lệnh</x:v>
      </x:c>
      <x:c r="O3" s="248" t="str">
        <x:v>Ghi chú hoàn thành</x:v>
      </x:c>
      <x:c r="P3" s="248" t="str">
        <x:v>Hoàn thành</x:v>
      </x:c>
      <x:c r="Q3" s="248" t="str">
        <x:v>Dừng lệnh</x:v>
      </x:c>
      <x:c r="R3" s="248" t="str">
        <x:v>Thời điểm dừng</x:v>
      </x:c>
      <x:c r="S3" s="248" t="str">
        <x:v>Lý do dừng</x:v>
      </x:c>
      <x:c r="T3" s="248" t="str">
        <x:v>Người dừng</x:v>
      </x:c>
      <x:c r="U3" s="248" t="str">
        <x:v>Lý do hủy</x:v>
      </x:c>
      <x:c r="V3" s="248" t="str">
        <x:v>Người hủy</x:v>
      </x:c>
      <x:c r="W3" s="248" t="str">
        <x:v>Lệnh cụm</x:v>
      </x:c>
      <x:c r="X3" s="248" t="str">
        <x:v>Lệnh nhập lại</x:v>
      </x:c>
      <x:c r="Y3" s="242" t="str">
        <x:v>Nguồn lệnh</x:v>
      </x:c>
    </x:row>
    <x:row r="4">
      <x:c r="A4" s="36"/>
      <x:c r="B4" s="140"/>
      <x:c r="C4" s="140"/>
      <x:c r="D4" s="140"/>
      <x:c r="E4" s="140"/>
      <x:c r="F4" s="140"/>
      <x:c r="G4" s="156"/>
      <x:c r="H4" s="156"/>
      <x:c r="I4" s="140"/>
      <x:c r="J4" s="140"/>
      <x:c r="K4" s="140"/>
      <x:c r="L4" s="140"/>
      <x:c r="M4" s="140"/>
      <x:c r="N4" s="140"/>
      <x:c r="O4" s="140"/>
      <x:c r="P4" s="140"/>
      <x:c r="Q4" s="140"/>
      <x:c r="R4" s="156"/>
      <x:c r="S4" s="140"/>
      <x:c r="T4" s="140"/>
      <x:c r="U4" s="140"/>
      <x:c r="V4" s="140"/>
      <x:c r="W4" s="140"/>
      <x:c r="X4" s="140"/>
      <x:c r="Y4" s="37"/>
    </x:row>
    <x:row r="5">
      <x:c r="A5" s="38"/>
      <x:c r="B5" s="142"/>
      <x:c r="C5" s="142"/>
      <x:c r="D5" s="142"/>
      <x:c r="E5" s="142"/>
      <x:c r="F5" s="142"/>
      <x:c r="G5" s="157"/>
      <x:c r="H5" s="157"/>
      <x:c r="I5" s="142"/>
      <x:c r="J5" s="142"/>
      <x:c r="K5" s="142"/>
      <x:c r="L5" s="142"/>
      <x:c r="M5" s="142"/>
      <x:c r="N5" s="142"/>
      <x:c r="O5" s="142"/>
      <x:c r="P5" s="142"/>
      <x:c r="Q5" s="142"/>
      <x:c r="R5" s="157"/>
      <x:c r="S5" s="142"/>
      <x:c r="T5" s="142"/>
      <x:c r="U5" s="142"/>
      <x:c r="V5" s="142"/>
      <x:c r="W5" s="142"/>
      <x:c r="X5" s="142"/>
      <x:c r="Y5" s="39"/>
    </x:row>
    <x:row r="6">
      <x:c r="A6" s="38"/>
      <x:c r="B6" s="142"/>
      <x:c r="C6" s="142"/>
      <x:c r="D6" s="142"/>
      <x:c r="E6" s="142"/>
      <x:c r="F6" s="142"/>
      <x:c r="G6" s="157"/>
      <x:c r="H6" s="157"/>
      <x:c r="I6" s="142"/>
      <x:c r="J6" s="142"/>
      <x:c r="K6" s="142"/>
      <x:c r="L6" s="142"/>
      <x:c r="M6" s="142"/>
      <x:c r="N6" s="142"/>
      <x:c r="O6" s="142"/>
      <x:c r="P6" s="142"/>
      <x:c r="Q6" s="142"/>
      <x:c r="R6" s="157"/>
      <x:c r="S6" s="142"/>
      <x:c r="T6" s="142"/>
      <x:c r="U6" s="142"/>
      <x:c r="V6" s="142"/>
      <x:c r="W6" s="142"/>
      <x:c r="X6" s="142"/>
      <x:c r="Y6" s="39"/>
    </x:row>
    <x:row r="7">
      <x:c r="A7" s="38"/>
      <x:c r="B7" s="142"/>
      <x:c r="C7" s="142"/>
      <x:c r="D7" s="142"/>
      <x:c r="E7" s="142"/>
      <x:c r="F7" s="142"/>
      <x:c r="G7" s="157"/>
      <x:c r="H7" s="157"/>
      <x:c r="I7" s="142"/>
      <x:c r="J7" s="142"/>
      <x:c r="K7" s="142"/>
      <x:c r="L7" s="142"/>
      <x:c r="M7" s="142"/>
      <x:c r="N7" s="142"/>
      <x:c r="O7" s="142"/>
      <x:c r="P7" s="142"/>
      <x:c r="Q7" s="142"/>
      <x:c r="R7" s="157"/>
      <x:c r="S7" s="142"/>
      <x:c r="T7" s="142"/>
      <x:c r="U7" s="142"/>
      <x:c r="V7" s="142"/>
      <x:c r="W7" s="142"/>
      <x:c r="X7" s="142"/>
      <x:c r="Y7" s="39"/>
    </x:row>
    <x:row r="8">
      <x:c r="A8" s="38"/>
      <x:c r="B8" s="142"/>
      <x:c r="C8" s="142"/>
      <x:c r="D8" s="142"/>
      <x:c r="E8" s="142"/>
      <x:c r="F8" s="142"/>
      <x:c r="G8" s="157"/>
      <x:c r="H8" s="157"/>
      <x:c r="I8" s="142"/>
      <x:c r="J8" s="142"/>
      <x:c r="K8" s="142"/>
      <x:c r="L8" s="142"/>
      <x:c r="M8" s="142"/>
      <x:c r="N8" s="142"/>
      <x:c r="O8" s="142"/>
      <x:c r="P8" s="142"/>
      <x:c r="Q8" s="142"/>
      <x:c r="R8" s="157"/>
      <x:c r="S8" s="142"/>
      <x:c r="T8" s="142"/>
      <x:c r="U8" s="142"/>
      <x:c r="V8" s="142"/>
      <x:c r="W8" s="142"/>
      <x:c r="X8" s="142"/>
      <x:c r="Y8" s="39"/>
    </x:row>
    <x:row r="9">
      <x:c r="A9" s="38"/>
      <x:c r="B9" s="142"/>
      <x:c r="C9" s="142"/>
      <x:c r="D9" s="142"/>
      <x:c r="E9" s="142"/>
      <x:c r="F9" s="142"/>
      <x:c r="G9" s="157"/>
      <x:c r="H9" s="157"/>
      <x:c r="I9" s="142"/>
      <x:c r="J9" s="142"/>
      <x:c r="K9" s="142"/>
      <x:c r="L9" s="142"/>
      <x:c r="M9" s="142"/>
      <x:c r="N9" s="142"/>
      <x:c r="O9" s="142"/>
      <x:c r="P9" s="142"/>
      <x:c r="Q9" s="142"/>
      <x:c r="R9" s="157"/>
      <x:c r="S9" s="142"/>
      <x:c r="T9" s="142"/>
      <x:c r="U9" s="142"/>
      <x:c r="V9" s="142"/>
      <x:c r="W9" s="142"/>
      <x:c r="X9" s="142"/>
      <x:c r="Y9" s="39"/>
    </x:row>
    <x:row r="10">
      <x:c r="A10" s="38"/>
      <x:c r="B10" s="142"/>
      <x:c r="C10" s="142"/>
      <x:c r="D10" s="142"/>
      <x:c r="E10" s="142"/>
      <x:c r="F10" s="142"/>
      <x:c r="G10" s="157"/>
      <x:c r="H10" s="157"/>
      <x:c r="I10" s="142"/>
      <x:c r="J10" s="142"/>
      <x:c r="K10" s="142"/>
      <x:c r="L10" s="142"/>
      <x:c r="M10" s="142"/>
      <x:c r="N10" s="142"/>
      <x:c r="O10" s="142"/>
      <x:c r="P10" s="142"/>
      <x:c r="Q10" s="142"/>
      <x:c r="R10" s="157"/>
      <x:c r="S10" s="142"/>
      <x:c r="T10" s="142"/>
      <x:c r="U10" s="142"/>
      <x:c r="V10" s="142"/>
      <x:c r="W10" s="142"/>
      <x:c r="X10" s="142"/>
      <x:c r="Y10" s="39"/>
    </x:row>
    <x:row r="11">
      <x:c r="A11" s="38"/>
      <x:c r="B11" s="142"/>
      <x:c r="C11" s="142"/>
      <x:c r="D11" s="142"/>
      <x:c r="E11" s="142"/>
      <x:c r="F11" s="142"/>
      <x:c r="G11" s="157"/>
      <x:c r="H11" s="157"/>
      <x:c r="I11" s="142"/>
      <x:c r="J11" s="142"/>
      <x:c r="K11" s="142"/>
      <x:c r="L11" s="142"/>
      <x:c r="M11" s="142"/>
      <x:c r="N11" s="142"/>
      <x:c r="O11" s="142"/>
      <x:c r="P11" s="142"/>
      <x:c r="Q11" s="142"/>
      <x:c r="R11" s="157"/>
      <x:c r="S11" s="142"/>
      <x:c r="T11" s="142"/>
      <x:c r="U11" s="142"/>
      <x:c r="V11" s="142"/>
      <x:c r="W11" s="142"/>
      <x:c r="X11" s="142"/>
      <x:c r="Y11" s="39"/>
    </x:row>
    <x:row r="12">
      <x:c r="A12" s="38"/>
      <x:c r="B12" s="142"/>
      <x:c r="C12" s="142"/>
      <x:c r="D12" s="142"/>
      <x:c r="E12" s="142"/>
      <x:c r="F12" s="142"/>
      <x:c r="G12" s="157"/>
      <x:c r="H12" s="157"/>
      <x:c r="I12" s="142"/>
      <x:c r="J12" s="142"/>
      <x:c r="K12" s="142"/>
      <x:c r="L12" s="142"/>
      <x:c r="M12" s="142"/>
      <x:c r="N12" s="142"/>
      <x:c r="O12" s="142"/>
      <x:c r="P12" s="142"/>
      <x:c r="Q12" s="142"/>
      <x:c r="R12" s="157"/>
      <x:c r="S12" s="142"/>
      <x:c r="T12" s="142"/>
      <x:c r="U12" s="142"/>
      <x:c r="V12" s="142"/>
      <x:c r="W12" s="142"/>
      <x:c r="X12" s="142"/>
      <x:c r="Y12" s="39"/>
    </x:row>
    <x:row r="13">
      <x:c r="A13" s="38"/>
      <x:c r="B13" s="142"/>
      <x:c r="C13" s="142"/>
      <x:c r="D13" s="142"/>
      <x:c r="E13" s="142"/>
      <x:c r="F13" s="142"/>
      <x:c r="G13" s="157"/>
      <x:c r="H13" s="157"/>
      <x:c r="I13" s="142"/>
      <x:c r="J13" s="142"/>
      <x:c r="K13" s="142"/>
      <x:c r="L13" s="142"/>
      <x:c r="M13" s="142"/>
      <x:c r="N13" s="142"/>
      <x:c r="O13" s="142"/>
      <x:c r="P13" s="142"/>
      <x:c r="Q13" s="142"/>
      <x:c r="R13" s="157"/>
      <x:c r="S13" s="142"/>
      <x:c r="T13" s="142"/>
      <x:c r="U13" s="142"/>
      <x:c r="V13" s="142"/>
      <x:c r="W13" s="142"/>
      <x:c r="X13" s="142"/>
      <x:c r="Y13" s="39"/>
    </x:row>
    <x:row r="14">
      <x:c r="A14" s="38"/>
      <x:c r="B14" s="142"/>
      <x:c r="C14" s="142"/>
      <x:c r="D14" s="142"/>
      <x:c r="E14" s="142"/>
      <x:c r="F14" s="142"/>
      <x:c r="G14" s="157"/>
      <x:c r="H14" s="157"/>
      <x:c r="I14" s="142"/>
      <x:c r="J14" s="142"/>
      <x:c r="K14" s="142"/>
      <x:c r="L14" s="142"/>
      <x:c r="M14" s="142"/>
      <x:c r="N14" s="142"/>
      <x:c r="O14" s="142"/>
      <x:c r="P14" s="142"/>
      <x:c r="Q14" s="142"/>
      <x:c r="R14" s="157"/>
      <x:c r="S14" s="142"/>
      <x:c r="T14" s="142"/>
      <x:c r="U14" s="142"/>
      <x:c r="V14" s="142"/>
      <x:c r="W14" s="142"/>
      <x:c r="X14" s="142"/>
      <x:c r="Y14" s="39"/>
    </x:row>
    <x:row r="15">
      <x:c r="A15" s="38"/>
      <x:c r="B15" s="142"/>
      <x:c r="C15" s="142"/>
      <x:c r="D15" s="142"/>
      <x:c r="E15" s="142"/>
      <x:c r="F15" s="142"/>
      <x:c r="G15" s="157"/>
      <x:c r="H15" s="157"/>
      <x:c r="I15" s="142"/>
      <x:c r="J15" s="142"/>
      <x:c r="K15" s="142"/>
      <x:c r="L15" s="142"/>
      <x:c r="M15" s="142"/>
      <x:c r="N15" s="142"/>
      <x:c r="O15" s="142"/>
      <x:c r="P15" s="142"/>
      <x:c r="Q15" s="142"/>
      <x:c r="R15" s="157"/>
      <x:c r="S15" s="142"/>
      <x:c r="T15" s="142"/>
      <x:c r="U15" s="142"/>
      <x:c r="V15" s="142"/>
      <x:c r="W15" s="142"/>
      <x:c r="X15" s="142"/>
      <x:c r="Y15" s="39"/>
    </x:row>
    <x:row r="16">
      <x:c r="A16" s="40"/>
      <x:c r="B16" s="144"/>
      <x:c r="C16" s="144"/>
      <x:c r="D16" s="144"/>
      <x:c r="E16" s="144"/>
      <x:c r="F16" s="144"/>
      <x:c r="G16" s="158"/>
      <x:c r="H16" s="158"/>
      <x:c r="I16" s="144"/>
      <x:c r="J16" s="144"/>
      <x:c r="K16" s="144"/>
      <x:c r="L16" s="144"/>
      <x:c r="M16" s="144"/>
      <x:c r="N16" s="144"/>
      <x:c r="O16" s="144"/>
      <x:c r="P16" s="144"/>
      <x:c r="Q16" s="144"/>
      <x:c r="R16" s="158"/>
      <x:c r="S16" s="144"/>
      <x:c r="T16" s="144"/>
      <x:c r="U16" s="144"/>
      <x:c r="V16" s="144"/>
      <x:c r="W16" s="144"/>
      <x:c r="X16" s="144"/>
      <x:c r="Y16" s="41"/>
    </x:row>
    <x:row r="17">
      <x:c r="G17" s="249"/>
      <x:c r="H17" s="249"/>
      <x:c r="R17" s="249"/>
    </x:row>
    <x:row r="18">
      <x:c r="G18" s="249"/>
      <x:c r="H18" s="249"/>
      <x:c r="R18" s="249"/>
    </x:row>
    <x:row r="19">
      <x:c r="G19" s="249"/>
      <x:c r="H19" s="249"/>
      <x:c r="R19" s="249"/>
    </x:row>
    <x:row r="20">
      <x:c r="G20" s="249"/>
      <x:c r="H20" s="249"/>
      <x:c r="R20" s="249"/>
    </x:row>
    <x:row r="21">
      <x:c r="G21" s="249"/>
      <x:c r="H21" s="249"/>
      <x:c r="R21" s="249"/>
    </x:row>
    <x:row r="22">
      <x:c r="G22" s="249"/>
      <x:c r="H22" s="249"/>
      <x:c r="R22" s="249"/>
    </x:row>
    <x:row r="23">
      <x:c r="G23" s="249"/>
      <x:c r="H23" s="249"/>
      <x:c r="R23" s="249"/>
    </x:row>
    <x:row r="24">
      <x:c r="G24" s="249"/>
      <x:c r="H24" s="249"/>
      <x:c r="R24" s="249"/>
    </x:row>
    <x:row r="25">
      <x:c r="G25" s="249"/>
      <x:c r="H25" s="249"/>
      <x:c r="R25" s="249"/>
    </x:row>
    <x:row r="26">
      <x:c r="G26" s="249"/>
      <x:c r="H26" s="249"/>
      <x:c r="R26" s="249"/>
    </x:row>
    <x:row r="27">
      <x:c r="G27" s="249"/>
      <x:c r="H27" s="249"/>
      <x:c r="R27" s="249"/>
    </x:row>
    <x:row r="28">
      <x:c r="G28" s="249"/>
      <x:c r="H28" s="249"/>
      <x:c r="R28" s="249"/>
    </x:row>
    <x:row r="29">
      <x:c r="G29" s="249"/>
      <x:c r="H29" s="249"/>
      <x:c r="R29" s="249"/>
    </x:row>
    <x:row r="30">
      <x:c r="G30" s="249"/>
      <x:c r="H30" s="249"/>
      <x:c r="R30" s="249"/>
    </x:row>
    <x:row r="31">
      <x:c r="G31" s="249"/>
      <x:c r="H31" s="249"/>
      <x:c r="R31" s="249"/>
    </x:row>
    <x:row r="32">
      <x:c r="G32" s="249"/>
      <x:c r="H32" s="249"/>
      <x:c r="R32" s="249"/>
    </x:row>
    <x:row r="33">
      <x:c r="G33" s="249"/>
      <x:c r="H33" s="249"/>
      <x:c r="R33" s="249"/>
    </x:row>
    <x:row r="34">
      <x:c r="G34" s="249"/>
      <x:c r="H34" s="249"/>
      <x:c r="R34" s="249"/>
    </x:row>
    <x:row r="35">
      <x:c r="G35" s="249"/>
      <x:c r="H35" s="249"/>
      <x:c r="R35" s="249"/>
    </x:row>
    <x:row r="36">
      <x:c r="G36" s="249"/>
      <x:c r="H36" s="249"/>
      <x:c r="R36" s="249"/>
    </x:row>
    <x:row r="37">
      <x:c r="G37" s="249"/>
      <x:c r="H37" s="249"/>
      <x:c r="R37" s="249"/>
    </x:row>
    <x:row r="38">
      <x:c r="G38" s="249"/>
      <x:c r="H38" s="249"/>
      <x:c r="R38" s="249"/>
    </x:row>
    <x:row r="39">
      <x:c r="G39" s="249"/>
      <x:c r="H39" s="249"/>
      <x:c r="R39" s="249"/>
    </x:row>
    <x:row r="40">
      <x:c r="G40" s="249"/>
      <x:c r="H40" s="249"/>
      <x:c r="R40" s="249"/>
    </x:row>
    <x:row r="41">
      <x:c r="G41" s="249"/>
      <x:c r="H41" s="249"/>
      <x:c r="R41" s="249"/>
    </x:row>
    <x:row r="42">
      <x:c r="G42" s="249"/>
      <x:c r="H42" s="249"/>
      <x:c r="R42" s="249"/>
    </x:row>
    <x:row r="43">
      <x:c r="G43" s="249"/>
      <x:c r="H43" s="249"/>
      <x:c r="R43" s="249"/>
    </x:row>
    <x:row r="44">
      <x:c r="G44" s="249"/>
      <x:c r="H44" s="249"/>
      <x:c r="R44" s="249"/>
    </x:row>
    <x:row r="45">
      <x:c r="G45" s="249"/>
      <x:c r="H45" s="249"/>
      <x:c r="R45" s="249"/>
    </x:row>
    <x:row r="46">
      <x:c r="G46" s="249"/>
      <x:c r="H46" s="249"/>
      <x:c r="R46" s="249"/>
    </x:row>
    <x:row r="47">
      <x:c r="G47" s="249"/>
      <x:c r="H47" s="249"/>
      <x:c r="R47" s="249"/>
    </x:row>
    <x:row r="48">
      <x:c r="G48" s="249"/>
      <x:c r="H48" s="249"/>
      <x:c r="R48" s="249"/>
    </x:row>
    <x:row r="49">
      <x:c r="G49" s="249"/>
      <x:c r="H49" s="249"/>
      <x:c r="R49" s="249"/>
    </x:row>
    <x:row r="50">
      <x:c r="G50" s="249"/>
      <x:c r="H50" s="249"/>
      <x:c r="R50" s="249"/>
    </x:row>
    <x:row r="51">
      <x:c r="G51" s="249"/>
      <x:c r="H51" s="249"/>
      <x:c r="R51" s="249"/>
    </x:row>
    <x:row r="52">
      <x:c r="G52" s="249"/>
      <x:c r="H52" s="249"/>
      <x:c r="R52" s="249"/>
    </x:row>
    <x:row r="53">
      <x:c r="G53" s="249"/>
      <x:c r="H53" s="249"/>
      <x:c r="R53" s="249"/>
    </x:row>
    <x:row r="54">
      <x:c r="G54" s="249"/>
      <x:c r="H54" s="249"/>
      <x:c r="R54" s="249"/>
    </x:row>
    <x:row r="55">
      <x:c r="G55" s="249"/>
      <x:c r="H55" s="249"/>
      <x:c r="R55" s="249"/>
    </x:row>
    <x:row r="56">
      <x:c r="G56" s="249"/>
      <x:c r="H56" s="249"/>
      <x:c r="R56" s="249"/>
    </x:row>
    <x:row r="57">
      <x:c r="G57" s="249"/>
      <x:c r="H57" s="249"/>
      <x:c r="R57" s="249"/>
    </x:row>
    <x:row r="58">
      <x:c r="G58" s="249"/>
      <x:c r="H58" s="249"/>
      <x:c r="R58" s="249"/>
    </x:row>
    <x:row r="59">
      <x:c r="G59" s="249"/>
      <x:c r="H59" s="249"/>
      <x:c r="R59" s="249"/>
    </x:row>
    <x:row r="60">
      <x:c r="G60" s="249"/>
      <x:c r="H60" s="249"/>
      <x:c r="R60" s="249"/>
    </x:row>
    <x:row r="61">
      <x:c r="G61" s="249"/>
      <x:c r="H61" s="249"/>
      <x:c r="R61" s="249"/>
    </x:row>
    <x:row r="62">
      <x:c r="G62" s="249"/>
      <x:c r="H62" s="249"/>
      <x:c r="R62" s="249"/>
    </x:row>
    <x:row r="63">
      <x:c r="G63" s="249"/>
      <x:c r="H63" s="249"/>
      <x:c r="R63" s="249"/>
    </x:row>
    <x:row r="64">
      <x:c r="G64" s="249"/>
      <x:c r="H64" s="249"/>
      <x:c r="R64" s="249"/>
    </x:row>
    <x:row r="65">
      <x:c r="G65" s="249"/>
      <x:c r="H65" s="249"/>
      <x:c r="R65" s="249"/>
    </x:row>
    <x:row r="66">
      <x:c r="G66" s="249"/>
      <x:c r="H66" s="249"/>
      <x:c r="R66" s="249"/>
    </x:row>
    <x:row r="67">
      <x:c r="G67" s="249"/>
      <x:c r="H67" s="249"/>
      <x:c r="R67" s="249"/>
    </x:row>
    <x:row r="68">
      <x:c r="G68" s="249"/>
      <x:c r="H68" s="249"/>
      <x:c r="R68" s="249"/>
    </x:row>
    <x:row r="69">
      <x:c r="G69" s="249"/>
      <x:c r="H69" s="249"/>
      <x:c r="R69" s="249"/>
    </x:row>
    <x:row r="70">
      <x:c r="G70" s="249"/>
      <x:c r="H70" s="249"/>
      <x:c r="R70" s="249"/>
    </x:row>
    <x:row r="71">
      <x:c r="G71" s="249"/>
      <x:c r="H71" s="249"/>
      <x:c r="R71" s="249"/>
    </x:row>
    <x:row r="72">
      <x:c r="G72" s="249"/>
      <x:c r="H72" s="249"/>
      <x:c r="R72" s="249"/>
    </x:row>
    <x:row r="73">
      <x:c r="G73" s="249"/>
      <x:c r="H73" s="249"/>
      <x:c r="R73" s="249"/>
    </x:row>
    <x:row r="74">
      <x:c r="G74" s="249"/>
      <x:c r="H74" s="249"/>
      <x:c r="R74" s="249"/>
    </x:row>
    <x:row r="75">
      <x:c r="G75" s="249"/>
      <x:c r="H75" s="249"/>
      <x:c r="R75" s="249"/>
    </x:row>
    <x:row r="76">
      <x:c r="G76" s="249"/>
      <x:c r="H76" s="249"/>
      <x:c r="R76" s="249"/>
    </x:row>
    <x:row r="77">
      <x:c r="G77" s="249"/>
      <x:c r="H77" s="249"/>
      <x:c r="R77" s="249"/>
    </x:row>
    <x:row r="78">
      <x:c r="G78" s="249"/>
      <x:c r="H78" s="249"/>
      <x:c r="R78" s="249"/>
    </x:row>
    <x:row r="79">
      <x:c r="G79" s="249"/>
      <x:c r="H79" s="249"/>
      <x:c r="R79" s="249"/>
    </x:row>
    <x:row r="80">
      <x:c r="G80" s="249"/>
      <x:c r="H80" s="249"/>
      <x:c r="R80" s="249"/>
    </x:row>
    <x:row r="81">
      <x:c r="G81" s="249"/>
      <x:c r="H81" s="249"/>
      <x:c r="R81" s="249"/>
    </x:row>
    <x:row r="82">
      <x:c r="G82" s="249"/>
      <x:c r="H82" s="249"/>
      <x:c r="R82" s="249"/>
    </x:row>
    <x:row r="83">
      <x:c r="G83" s="249"/>
      <x:c r="H83" s="249"/>
      <x:c r="R83" s="249"/>
    </x:row>
    <x:row r="84">
      <x:c r="G84" s="249"/>
      <x:c r="H84" s="249"/>
      <x:c r="R84" s="249"/>
    </x:row>
    <x:row r="85">
      <x:c r="G85" s="249"/>
      <x:c r="H85" s="249"/>
      <x:c r="R85" s="249"/>
    </x:row>
    <x:row r="86">
      <x:c r="G86" s="249"/>
      <x:c r="H86" s="249"/>
      <x:c r="R86" s="249"/>
    </x:row>
    <x:row r="87">
      <x:c r="G87" s="249"/>
      <x:c r="H87" s="249"/>
      <x:c r="R87" s="249"/>
    </x:row>
    <x:row r="88">
      <x:c r="G88" s="249"/>
      <x:c r="H88" s="249"/>
      <x:c r="R88" s="249"/>
    </x:row>
    <x:row r="89">
      <x:c r="G89" s="249"/>
      <x:c r="H89" s="249"/>
      <x:c r="R89" s="249"/>
    </x:row>
    <x:row r="90">
      <x:c r="G90" s="249"/>
      <x:c r="H90" s="249"/>
      <x:c r="R90" s="249"/>
    </x:row>
    <x:row r="91">
      <x:c r="G91" s="249"/>
      <x:c r="H91" s="249"/>
      <x:c r="R91" s="249"/>
    </x:row>
    <x:row r="92">
      <x:c r="G92" s="249"/>
      <x:c r="H92" s="249"/>
      <x:c r="R92" s="249"/>
    </x:row>
    <x:row r="93">
      <x:c r="G93" s="249"/>
      <x:c r="H93" s="249"/>
      <x:c r="R93" s="249"/>
    </x:row>
    <x:row r="94">
      <x:c r="G94" s="249"/>
      <x:c r="H94" s="249"/>
      <x:c r="R94" s="249"/>
    </x:row>
    <x:row r="95">
      <x:c r="G95" s="249"/>
      <x:c r="H95" s="249"/>
      <x:c r="R95" s="249"/>
    </x:row>
    <x:row r="96">
      <x:c r="G96" s="249"/>
      <x:c r="H96" s="249"/>
      <x:c r="R96" s="249"/>
    </x:row>
    <x:row r="97">
      <x:c r="G97" s="249"/>
      <x:c r="H97" s="249"/>
      <x:c r="R97" s="249"/>
    </x:row>
    <x:row r="98">
      <x:c r="G98" s="249"/>
      <x:c r="H98" s="249"/>
      <x:c r="R98" s="249"/>
    </x:row>
    <x:row r="99">
      <x:c r="G99" s="249"/>
      <x:c r="H99" s="249"/>
      <x:c r="R99" s="249"/>
    </x:row>
    <x:row r="100">
      <x:c r="G100" s="249"/>
      <x:c r="H100" s="249"/>
      <x:c r="R100" s="249"/>
    </x:row>
    <x:row r="101">
      <x:c r="G101" s="249"/>
      <x:c r="H101" s="249"/>
      <x:c r="R101" s="249"/>
    </x:row>
    <x:row r="102">
      <x:c r="G102" s="249"/>
      <x:c r="H102" s="249"/>
      <x:c r="R102" s="249"/>
    </x:row>
    <x:row r="103">
      <x:c r="G103" s="249"/>
      <x:c r="H103" s="249"/>
      <x:c r="R103" s="249"/>
    </x:row>
    <x:row r="104">
      <x:c r="G104" s="249"/>
      <x:c r="H104" s="249"/>
      <x:c r="R104" s="249"/>
    </x:row>
    <x:row r="105">
      <x:c r="G105" s="249"/>
      <x:c r="H105" s="249"/>
      <x:c r="R105" s="249"/>
    </x:row>
    <x:row r="106">
      <x:c r="G106" s="249"/>
      <x:c r="H106" s="249"/>
      <x:c r="R106" s="249"/>
    </x:row>
    <x:row r="107">
      <x:c r="G107" s="249"/>
      <x:c r="H107" s="249"/>
      <x:c r="R107" s="249"/>
    </x:row>
    <x:row r="108">
      <x:c r="G108" s="249"/>
      <x:c r="H108" s="249"/>
      <x:c r="R108" s="249"/>
    </x:row>
    <x:row r="109">
      <x:c r="G109" s="249"/>
      <x:c r="H109" s="249"/>
      <x:c r="R109" s="249"/>
    </x:row>
    <x:row r="110">
      <x:c r="G110" s="249"/>
      <x:c r="H110" s="249"/>
      <x:c r="R110" s="249"/>
    </x:row>
    <x:row r="111">
      <x:c r="G111" s="249"/>
      <x:c r="H111" s="249"/>
      <x:c r="R111" s="249"/>
    </x:row>
    <x:row r="112">
      <x:c r="G112" s="249"/>
      <x:c r="H112" s="249"/>
      <x:c r="R112" s="249"/>
    </x:row>
    <x:row r="113">
      <x:c r="G113" s="249"/>
      <x:c r="H113" s="249"/>
      <x:c r="R113" s="249"/>
    </x:row>
    <x:row r="114">
      <x:c r="G114" s="249"/>
      <x:c r="H114" s="249"/>
      <x:c r="R114" s="249"/>
    </x:row>
    <x:row r="115">
      <x:c r="G115" s="249"/>
      <x:c r="H115" s="249"/>
      <x:c r="R115" s="249"/>
    </x:row>
    <x:row r="116">
      <x:c r="G116" s="249"/>
      <x:c r="H116" s="249"/>
      <x:c r="R116" s="249"/>
    </x:row>
    <x:row r="117">
      <x:c r="G117" s="249"/>
      <x:c r="H117" s="249"/>
      <x:c r="R117" s="249"/>
    </x:row>
    <x:row r="118">
      <x:c r="G118" s="249"/>
      <x:c r="H118" s="249"/>
      <x:c r="R118" s="249"/>
    </x:row>
    <x:row r="119">
      <x:c r="G119" s="249"/>
      <x:c r="H119" s="249"/>
      <x:c r="R119" s="249"/>
    </x:row>
    <x:row r="120">
      <x:c r="G120" s="249"/>
      <x:c r="H120" s="249"/>
      <x:c r="R120" s="249"/>
    </x:row>
    <x:row r="121">
      <x:c r="G121" s="249"/>
      <x:c r="H121" s="249"/>
      <x:c r="R121" s="249"/>
    </x:row>
    <x:row r="122">
      <x:c r="G122" s="249"/>
      <x:c r="H122" s="249"/>
      <x:c r="R122" s="249"/>
    </x:row>
    <x:row r="123">
      <x:c r="G123" s="249"/>
      <x:c r="H123" s="249"/>
      <x:c r="R123" s="249"/>
    </x:row>
    <x:row r="124">
      <x:c r="G124" s="249"/>
      <x:c r="H124" s="249"/>
      <x:c r="R124" s="249"/>
    </x:row>
    <x:row r="125">
      <x:c r="G125" s="249"/>
      <x:c r="H125" s="249"/>
      <x:c r="R125" s="249"/>
    </x:row>
    <x:row r="126">
      <x:c r="G126" s="249"/>
      <x:c r="H126" s="249"/>
      <x:c r="R126" s="249"/>
    </x:row>
    <x:row r="127">
      <x:c r="G127" s="249"/>
      <x:c r="H127" s="249"/>
      <x:c r="R127" s="249"/>
    </x:row>
    <x:row r="128">
      <x:c r="G128" s="249"/>
      <x:c r="H128" s="249"/>
      <x:c r="R128" s="249"/>
    </x:row>
    <x:row r="129">
      <x:c r="G129" s="249"/>
      <x:c r="H129" s="249"/>
      <x:c r="R129" s="249"/>
    </x:row>
    <x:row r="130">
      <x:c r="G130" s="249"/>
      <x:c r="H130" s="249"/>
      <x:c r="R130" s="249"/>
    </x:row>
    <x:row r="131">
      <x:c r="G131" s="249"/>
      <x:c r="H131" s="249"/>
      <x:c r="R131" s="249"/>
    </x:row>
    <x:row r="132">
      <x:c r="G132" s="249"/>
      <x:c r="H132" s="249"/>
      <x:c r="R132" s="249"/>
    </x:row>
    <x:row r="133">
      <x:c r="G133" s="249"/>
      <x:c r="H133" s="249"/>
      <x:c r="R133" s="249"/>
    </x:row>
    <x:row r="134">
      <x:c r="G134" s="249"/>
      <x:c r="H134" s="249"/>
      <x:c r="R134" s="249"/>
    </x:row>
    <x:row r="135">
      <x:c r="G135" s="249"/>
      <x:c r="H135" s="249"/>
      <x:c r="R135" s="249"/>
    </x:row>
    <x:row r="136">
      <x:c r="G136" s="249"/>
      <x:c r="H136" s="249"/>
      <x:c r="R136" s="249"/>
    </x:row>
    <x:row r="137">
      <x:c r="G137" s="249"/>
      <x:c r="H137" s="249"/>
      <x:c r="R137" s="249"/>
    </x:row>
    <x:row r="138">
      <x:c r="G138" s="249"/>
      <x:c r="H138" s="249"/>
      <x:c r="R138" s="249"/>
    </x:row>
    <x:row r="139">
      <x:c r="G139" s="249"/>
      <x:c r="H139" s="249"/>
      <x:c r="R139" s="249"/>
    </x:row>
    <x:row r="140">
      <x:c r="G140" s="249"/>
      <x:c r="H140" s="249"/>
      <x:c r="R140" s="249"/>
    </x:row>
    <x:row r="141">
      <x:c r="G141" s="249"/>
      <x:c r="H141" s="249"/>
      <x:c r="R141" s="249"/>
    </x:row>
    <x:row r="142">
      <x:c r="G142" s="249"/>
      <x:c r="H142" s="249"/>
      <x:c r="R142" s="249"/>
    </x:row>
    <x:row r="143">
      <x:c r="G143" s="249"/>
      <x:c r="H143" s="249"/>
      <x:c r="R143" s="249"/>
    </x:row>
    <x:row r="144">
      <x:c r="G144" s="249"/>
      <x:c r="H144" s="249"/>
      <x:c r="R144" s="249"/>
    </x:row>
    <x:row r="145">
      <x:c r="G145" s="249"/>
      <x:c r="H145" s="249"/>
      <x:c r="R145" s="249"/>
    </x:row>
    <x:row r="146">
      <x:c r="G146" s="249"/>
      <x:c r="H146" s="249"/>
      <x:c r="R146" s="249"/>
    </x:row>
    <x:row r="147">
      <x:c r="G147" s="249"/>
      <x:c r="H147" s="249"/>
      <x:c r="R147" s="249"/>
    </x:row>
    <x:row r="148">
      <x:c r="G148" s="249"/>
      <x:c r="H148" s="249"/>
      <x:c r="R148" s="249"/>
    </x:row>
    <x:row r="149">
      <x:c r="G149" s="249"/>
      <x:c r="H149" s="249"/>
      <x:c r="R149" s="249"/>
    </x:row>
    <x:row r="150">
      <x:c r="G150" s="249"/>
      <x:c r="H150" s="249"/>
      <x:c r="R150" s="249"/>
    </x:row>
    <x:row r="151">
      <x:c r="G151" s="249"/>
      <x:c r="H151" s="249"/>
      <x:c r="R151" s="249"/>
    </x:row>
    <x:row r="152">
      <x:c r="G152" s="249"/>
      <x:c r="H152" s="249"/>
      <x:c r="R152" s="249"/>
    </x:row>
    <x:row r="153">
      <x:c r="G153" s="249"/>
      <x:c r="H153" s="249"/>
      <x:c r="R153" s="249"/>
    </x:row>
    <x:row r="154">
      <x:c r="G154" s="249"/>
      <x:c r="H154" s="249"/>
      <x:c r="R154" s="249"/>
    </x:row>
    <x:row r="155">
      <x:c r="G155" s="249"/>
      <x:c r="H155" s="249"/>
      <x:c r="R155" s="249"/>
    </x:row>
    <x:row r="156">
      <x:c r="G156" s="249"/>
      <x:c r="H156" s="249"/>
      <x:c r="R156" s="249"/>
    </x:row>
    <x:row r="157">
      <x:c r="G157" s="249"/>
      <x:c r="H157" s="249"/>
      <x:c r="R157" s="249"/>
    </x:row>
    <x:row r="158">
      <x:c r="G158" s="249"/>
      <x:c r="H158" s="249"/>
      <x:c r="R158" s="249"/>
    </x:row>
    <x:row r="159">
      <x:c r="G159" s="249"/>
      <x:c r="H159" s="249"/>
      <x:c r="R159" s="249"/>
    </x:row>
    <x:row r="160">
      <x:c r="G160" s="249"/>
      <x:c r="H160" s="249"/>
      <x:c r="R160" s="249"/>
    </x:row>
    <x:row r="161">
      <x:c r="G161" s="249"/>
      <x:c r="H161" s="249"/>
      <x:c r="R161" s="249"/>
    </x:row>
    <x:row r="162">
      <x:c r="G162" s="249"/>
      <x:c r="H162" s="249"/>
      <x:c r="R162" s="249"/>
    </x:row>
    <x:row r="163">
      <x:c r="G163" s="249"/>
      <x:c r="H163" s="249"/>
      <x:c r="R163" s="249"/>
    </x:row>
    <x:row r="164">
      <x:c r="G164" s="249"/>
      <x:c r="H164" s="249"/>
      <x:c r="R164" s="249"/>
    </x:row>
    <x:row r="165">
      <x:c r="G165" s="249"/>
      <x:c r="H165" s="249"/>
      <x:c r="R165" s="249"/>
    </x:row>
    <x:row r="166">
      <x:c r="G166" s="249"/>
      <x:c r="H166" s="249"/>
      <x:c r="R166" s="249"/>
    </x:row>
    <x:row r="167">
      <x:c r="G167" s="249"/>
      <x:c r="H167" s="249"/>
      <x:c r="R167" s="249"/>
    </x:row>
    <x:row r="168">
      <x:c r="G168" s="249"/>
      <x:c r="H168" s="249"/>
      <x:c r="R168" s="249"/>
    </x:row>
    <x:row r="169">
      <x:c r="G169" s="249"/>
      <x:c r="H169" s="249"/>
      <x:c r="R169" s="249"/>
    </x:row>
    <x:row r="170">
      <x:c r="G170" s="249"/>
      <x:c r="H170" s="249"/>
      <x:c r="R170" s="249"/>
    </x:row>
    <x:row r="171">
      <x:c r="G171" s="249"/>
      <x:c r="H171" s="249"/>
      <x:c r="R171" s="249"/>
    </x:row>
    <x:row r="172">
      <x:c r="G172" s="249"/>
      <x:c r="H172" s="249"/>
      <x:c r="R172" s="249"/>
    </x:row>
    <x:row r="173">
      <x:c r="G173" s="249"/>
      <x:c r="H173" s="249"/>
      <x:c r="R173" s="249"/>
    </x:row>
    <x:row r="174">
      <x:c r="G174" s="249"/>
      <x:c r="H174" s="249"/>
      <x:c r="R174" s="249"/>
    </x:row>
    <x:row r="175">
      <x:c r="G175" s="249"/>
      <x:c r="H175" s="249"/>
      <x:c r="R175" s="249"/>
    </x:row>
    <x:row r="176">
      <x:c r="G176" s="249"/>
      <x:c r="H176" s="249"/>
      <x:c r="R176" s="249"/>
    </x:row>
    <x:row r="177">
      <x:c r="G177" s="249"/>
      <x:c r="H177" s="249"/>
      <x:c r="R177" s="249"/>
    </x:row>
    <x:row r="178">
      <x:c r="G178" s="249"/>
      <x:c r="H178" s="249"/>
      <x:c r="R178" s="249"/>
    </x:row>
    <x:row r="179">
      <x:c r="G179" s="249"/>
      <x:c r="H179" s="249"/>
      <x:c r="R179" s="249"/>
    </x:row>
    <x:row r="180">
      <x:c r="G180" s="249"/>
      <x:c r="H180" s="249"/>
      <x:c r="R180" s="249"/>
    </x:row>
    <x:row r="181">
      <x:c r="G181" s="249"/>
      <x:c r="H181" s="249"/>
      <x:c r="R181" s="249"/>
    </x:row>
    <x:row r="182">
      <x:c r="G182" s="249"/>
      <x:c r="H182" s="249"/>
      <x:c r="R182" s="249"/>
    </x:row>
    <x:row r="183">
      <x:c r="G183" s="249"/>
      <x:c r="H183" s="249"/>
      <x:c r="R183" s="249"/>
    </x:row>
    <x:row r="184">
      <x:c r="G184" s="249"/>
      <x:c r="H184" s="249"/>
      <x:c r="R184" s="249"/>
    </x:row>
    <x:row r="185">
      <x:c r="G185" s="249"/>
      <x:c r="H185" s="249"/>
      <x:c r="R185" s="249"/>
    </x:row>
    <x:row r="186">
      <x:c r="G186" s="249"/>
      <x:c r="H186" s="249"/>
      <x:c r="R186" s="249"/>
    </x:row>
    <x:row r="187">
      <x:c r="G187" s="249"/>
      <x:c r="H187" s="249"/>
      <x:c r="R187" s="249"/>
    </x:row>
    <x:row r="188">
      <x:c r="G188" s="249"/>
      <x:c r="H188" s="249"/>
      <x:c r="R188" s="249"/>
    </x:row>
    <x:row r="189">
      <x:c r="G189" s="249"/>
      <x:c r="H189" s="249"/>
      <x:c r="R189" s="249"/>
    </x:row>
    <x:row r="190">
      <x:c r="G190" s="249"/>
      <x:c r="H190" s="249"/>
      <x:c r="R190" s="249"/>
    </x:row>
    <x:row r="191">
      <x:c r="G191" s="249"/>
      <x:c r="H191" s="249"/>
      <x:c r="R191" s="249"/>
    </x:row>
    <x:row r="192">
      <x:c r="G192" s="249"/>
      <x:c r="H192" s="249"/>
      <x:c r="R192" s="249"/>
    </x:row>
    <x:row r="193">
      <x:c r="G193" s="249"/>
      <x:c r="H193" s="249"/>
      <x:c r="R193" s="249"/>
    </x:row>
    <x:row r="194">
      <x:c r="G194" s="249"/>
      <x:c r="H194" s="249"/>
      <x:c r="R194" s="249"/>
    </x:row>
    <x:row r="195">
      <x:c r="G195" s="249"/>
      <x:c r="H195" s="249"/>
      <x:c r="R195" s="249"/>
    </x:row>
    <x:row r="196">
      <x:c r="G196" s="249"/>
      <x:c r="H196" s="249"/>
      <x:c r="R196" s="249"/>
    </x:row>
    <x:row r="197">
      <x:c r="G197" s="249"/>
      <x:c r="H197" s="249"/>
      <x:c r="R197" s="249"/>
    </x:row>
    <x:row r="198">
      <x:c r="G198" s="249"/>
      <x:c r="H198" s="249"/>
      <x:c r="R198" s="249"/>
    </x:row>
    <x:row r="199">
      <x:c r="G199" s="249"/>
      <x:c r="H199" s="249"/>
      <x:c r="R199" s="249"/>
    </x:row>
    <x:row r="200">
      <x:c r="G200" s="249"/>
      <x:c r="H200" s="249"/>
      <x:c r="R200" s="249"/>
    </x:row>
    <x:row r="201">
      <x:c r="G201" s="249"/>
      <x:c r="H201" s="249"/>
      <x:c r="R201" s="249"/>
    </x:row>
    <x:row r="202">
      <x:c r="G202" s="249"/>
      <x:c r="H202" s="249"/>
      <x:c r="R202" s="249"/>
    </x:row>
    <x:row r="203">
      <x:c r="G203" s="249"/>
      <x:c r="H203" s="249"/>
      <x:c r="R203" s="249"/>
    </x:row>
  </x:sheetData>
  <x:mergeCells>
    <x:mergeCell ref="A1:Y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3" hidden="0" customWidth="1"/>
    <x:col min="4" max="4" width="20" hidden="0" customWidth="1"/>
    <x:col min="5" max="5" width="23" hidden="0" customWidth="1"/>
    <x:col min="6" max="6" width="17" hidden="0" customWidth="1"/>
    <x:col min="7" max="7" width="2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8" max="8" width="12" hidden="0" customWidth="1"/>
  </x:cols>
  <x:sheetData>
    <x:row r="1">
      <x:c r="A1" s="254" t="str">
        <x:v>LỆNH HIỆU LỰC TỰ ĐỘNG LỌC TỪ LENH_GOC</x:v>
      </x:c>
      <x:c r="B1" s="254" t="str">
        <x:v>LỆNH HIỆU LỰC TỰ ĐỘNG LỌC TỪ LENH_GOC</x:v>
      </x:c>
      <x:c r="C1" s="254" t="str">
        <x:v>LỆNH HIỆU LỰC TỰ ĐỘNG LỌC TỪ LENH_GOC</x:v>
      </x:c>
      <x:c r="D1" s="254" t="str">
        <x:v>LỆNH HIỆU LỰC TỰ ĐỘNG LỌC TỪ LENH_GOC</x:v>
      </x:c>
      <x:c r="E1" s="254" t="str">
        <x:v>LỆNH HIỆU LỰC TỰ ĐỘNG LỌC TỪ LENH_GOC</x:v>
      </x:c>
      <x:c r="F1" s="254" t="str">
        <x:v>LỆNH HIỆU LỰC TỰ ĐỘNG LỌC TỪ LENH_GOC</x:v>
      </x:c>
      <x:c r="G1" s="254" t="str">
        <x:v>LỆNH HIỆU LỰC TỰ ĐỘNG LỌC TỪ LENH_GOC</x:v>
      </x:c>
    </x:row>
    <x:row r="2">
      <x:c r="A2" s="241" t="str">
        <x:v>STT</x:v>
      </x:c>
      <x:c r="B2" s="248" t="str">
        <x:v>Tổ máy</x:v>
      </x:c>
      <x:c r="C2" s="248" t="str">
        <x:v>Thời điểm BĐTH</x:v>
      </x:c>
      <x:c r="D2" s="248" t="str">
        <x:v>Công suất hiệu lực</x:v>
      </x:c>
      <x:c r="E2" s="248" t="str">
        <x:v>Thời điểm hoàn thành</x:v>
      </x:c>
      <x:c r="F2" s="248" t="str">
        <x:v>CS hoàn thành</x:v>
      </x:c>
      <x:c r="G2" s="242" t="str">
        <x:v>Ghi chú xử lý</x:v>
      </x:c>
      <x:c r="H2" t="str">
        <x:v>Thứ tự</x:v>
      </x:c>
      <x:c r="J2" s="241" t="str">
        <x:v>Dòng</x:v>
      </x:c>
      <x:c r="K2" s="248" t="str">
        <x:v>ID</x:v>
      </x:c>
      <x:c r="L2" s="248" t="str">
        <x:v>Tổ máy</x:v>
      </x:c>
      <x:c r="M2" s="248" t="str">
        <x:v>Nguồn</x:v>
      </x:c>
      <x:c r="N2" s="248" t="str">
        <x:v>BĐTH</x:v>
      </x:c>
      <x:c r="O2" s="248" t="str">
        <x:v>CS ra lệnh</x:v>
      </x:c>
      <x:c r="P2" s="248" t="str">
        <x:v>CS hoàn thành</x:v>
      </x:c>
      <x:c r="Q2" s="248" t="str">
        <x:v>Hoàn thành</x:v>
      </x:c>
      <x:c r="R2" s="248" t="str">
        <x:v>Dừng</x:v>
      </x:c>
      <x:c r="S2" s="248" t="str">
        <x:v>Thời điểm dừng</x:v>
      </x:c>
      <x:c r="T2" s="248" t="str">
        <x:v>Hợp lệ</x:v>
      </x:c>
      <x:c r="U2" s="248" t="str">
        <x:v>P hiệu lực</x:v>
      </x:c>
      <x:c r="V2" s="248" t="str">
        <x:v>Giây</x:v>
      </x:c>
      <x:c r="W2" s="248" t="str">
        <x:v>Thứ tự tăng dần</x:v>
      </x:c>
      <x:c r="X2" s="242" t="str">
        <x:v>Kết luận</x:v>
      </x:c>
    </x:row>
    <x:row r="3">
      <x:c r="A3" s="36" t="n">
        <x:f>ROW()-2</x:f>
        <x:v>1</x:v>
      </x:c>
      <x:c r="B3" s="140" t="str">
        <x:f>IFERROR(IF($H3="","",INDEX($L$3:$L$202,MATCH($H3,$W$3:$W$202,0))),"")</x:f>
      </x:c>
      <x:c r="C3" s="156" t="str">
        <x:f>IFERROR(IF($H3="","",INDEX($N$3:$N$202,MATCH($H3,$W$3:$W$202,0))),"")</x:f>
      </x:c>
      <x:c r="D3" s="166" t="str">
        <x:f>IFERROR(IF($H3="","",INDEX($U$3:$U$202,MATCH($H3,$W$3:$W$202,0))),"")</x:f>
      </x:c>
      <x:c r="E3" s="166" t="str">
        <x:f>IFERROR(IF($H3="","",INDEX(LENH_GOC!$H$4:$H$203,MATCH(INDEX($K$3:$K$202,MATCH($H3,$W$3:$W$202,0)),LENH_GOC!$A$4:$A$203,0))),"")</x:f>
      </x:c>
      <x:c r="F3" s="166" t="str">
        <x:f>IFERROR(IF($H3="","",INDEX($P$3:$P$202,MATCH($H3,$W$3:$W$202,0))),"")</x:f>
      </x:c>
      <x:c r="G3" s="37" t="str">
        <x:f>IFERROR(IF($H3="","",INDEX($X$3:$X$202,MATCH($H3,$W$3:$W$202,0))),"")</x:f>
      </x:c>
      <x:c r="H3" t="str">
        <x:f>IFERROR(IF(ROW()-2&lt;=CAI_DAT!$B$10,ROW()-2,""),"")</x:f>
      </x:c>
      <x:c r="J3" t="str">
        <x:f>IF(LENH_GOC!A4="","",4)</x:f>
      </x:c>
      <x:c r="K3" t="str">
        <x:f>IF(LENH_GOC!A4="","",LENH_GOC!A4)</x:f>
      </x:c>
      <x:c r="L3" t="str">
        <x:f>IF($K3="","",IFERROR(TRIM(LENH_GOC!C4),""))</x:f>
      </x:c>
      <x:c r="M3" t="str">
        <x:f>IF($K3="","",IFERROR(UPPER(TRIM(LENH_GOC!Y4)),""))</x:f>
      </x:c>
      <x:c r="N3" s="249" t="str">
        <x:f>IFERROR(IF($K3="","",IF(LENH_GOC!G4="","",IF(ISNUMBER(LENH_GOC!G4),LENH_GOC!G4,DATE(VALUE(MID(LENH_GOC!G4,7,4)),VALUE(MID(LENH_GOC!G4,4,2)),VALUE(LEFT(LENH_GOC!G4,2)))+TIME(VALUE(MID(LENH_GOC!G4,12,2)),VALUE(MID(LENH_GOC!G4,15,2)),VALUE(MID(LENH_GOC!G4,18,2)))))), "")</x:f>
      </x:c>
      <x:c r="O3" t="str">
        <x:f>IF($K3="","",IF(LENH_GOC!E4="","",LENH_GOC!E4))</x:f>
      </x:c>
      <x:c r="P3" t="str">
        <x:f>IF($K3="","",IF(LENH_GOC!F4="","",LENH_GOC!F4))</x:f>
      </x:c>
      <x:c r="Q3" t="str">
        <x:f>IFERROR(IF($K3="","",IF(LENH_GOC!P4="","",IFERROR(VALUE(LENH_GOC!P4),IF(OR(LENH_GOC!P4=TRUE,UPPER(TRIM(LENH_GOC!P4))="TRUE"),1,0)))),"")</x:f>
      </x:c>
      <x:c r="R3" t="str">
        <x:f>IF($K3="","",IF(LENH_GOC!Q4="","",LENH_GOC!Q4))</x:f>
      </x:c>
      <x:c r="S3" s="249" t="str">
        <x:f>IF($K3="","",IF(LENH_GOC!R4="","",LENH_GOC!R4))</x:f>
      </x:c>
      <x:c r="T3" t="n">
        <x:f>IFERROR(IF($K3="",0,IF(AND(ISNUMBER($N3),INT($N3)=CAI_DAT!$B$4,LEFT(UPPER(TRIM($L3)),2)=LEFT(UPPER(TRIM(CAI_DAT!$B$5)),2),$Q3=1,OR(AND($M3="SO",ISNUMBER($P3),$P3&gt;0),AND($M3="MO",ISNUMBER($O3),$O3&gt;0))),1,0)),0)</x:f>
        <x:v>0</x:v>
      </x:c>
      <x:c r="U3" t="str">
        <x:f>IFERROR(IF($T3=0,"",IF($M3="SO",$P3,IF(AND($M3="MO",OR($R3=TRUE,$R3="TRUE"),ISNUMBER($P3),$P3&gt;0),$P3,$O3))),"")</x:f>
      </x:c>
      <x:c r="V3" t="str">
        <x:f>IFERROR(IF($T3=0,"",MOD($N3,1)*86400),"")</x:f>
      </x:c>
      <x:c r="W3" t="str">
        <x:f>IFERROR(IF($T3=0,"",COUNTIFS($T$3:$T$202,1,$V$3:$V$202,"&lt;"&amp;$V3)+COUNTIFS($T$3:$T3,1,$V$3:$V3,$V3)),"")</x:f>
      </x:c>
      <x:c r="X3" t="str">
        <x:f>IFERROR(IF($T3=0,"",IF($M3="SO","SO: dùng CS hoàn thành",IF(AND($M3="MO",OR($R3=TRUE,$R3="TRUE"),ISNUMBER($P3),$P3&gt;0),"MO dừng sớm: dùng CS hoàn thành","MO: dùng CS ra lệnh"))),"")</x:f>
      </x:c>
    </x:row>
    <x:row r="4">
      <x:c r="A4" s="38" t="n">
        <x:f>ROW()-2</x:f>
        <x:v>2</x:v>
      </x:c>
      <x:c r="B4" s="142" t="str">
        <x:f>IFERROR(IF($H4="","",INDEX($L$3:$L$202,MATCH($H4,$W$3:$W$202,0))),"")</x:f>
      </x:c>
      <x:c r="C4" s="157" t="str">
        <x:f>IFERROR(IF($H4="","",INDEX($N$3:$N$202,MATCH($H4,$W$3:$W$202,0))),"")</x:f>
      </x:c>
      <x:c r="D4" s="167" t="str">
        <x:f>IFERROR(IF($H4="","",INDEX($U$3:$U$202,MATCH($H4,$W$3:$W$202,0))),"")</x:f>
      </x:c>
      <x:c r="E4" s="167" t="str">
        <x:f>IFERROR(IF($H4="","",INDEX(LENH_GOC!$H$4:$H$203,MATCH(INDEX($K$3:$K$202,MATCH($H4,$W$3:$W$202,0)),LENH_GOC!$A$4:$A$203,0))),"")</x:f>
      </x:c>
      <x:c r="F4" s="167" t="str">
        <x:f>IFERROR(IF($H4="","",INDEX($P$3:$P$202,MATCH($H4,$W$3:$W$202,0))),"")</x:f>
      </x:c>
      <x:c r="G4" s="39" t="str">
        <x:f>IFERROR(IF($H4="","",INDEX($X$3:$X$202,MATCH($H4,$W$3:$W$202,0))),"")</x:f>
      </x:c>
      <x:c r="H4" t="str">
        <x:f>IFERROR(IF(ROW()-2&lt;=CAI_DAT!$B$10,ROW()-2,""),"")</x:f>
      </x:c>
      <x:c r="J4" t="str">
        <x:f>IF(LENH_GOC!A5="","",5)</x:f>
      </x:c>
      <x:c r="K4" t="str">
        <x:f>IF(LENH_GOC!A5="","",LENH_GOC!A5)</x:f>
      </x:c>
      <x:c r="L4" t="str">
        <x:f>IF($K4="","",IFERROR(TRIM(LENH_GOC!C5),""))</x:f>
      </x:c>
      <x:c r="M4" t="str">
        <x:f>IF($K4="","",IFERROR(UPPER(TRIM(LENH_GOC!Y5)),""))</x:f>
      </x:c>
      <x:c r="N4" s="249" t="str">
        <x:f>IFERROR(IF($K4="","",IF(LENH_GOC!G5="","",IF(ISNUMBER(LENH_GOC!G5),LENH_GOC!G5,DATE(VALUE(MID(LENH_GOC!G5,7,4)),VALUE(MID(LENH_GOC!G5,4,2)),VALUE(LEFT(LENH_GOC!G5,2)))+TIME(VALUE(MID(LENH_GOC!G5,12,2)),VALUE(MID(LENH_GOC!G5,15,2)),VALUE(MID(LENH_GOC!G5,18,2)))))), "")</x:f>
      </x:c>
      <x:c r="O4" t="str">
        <x:f>IF($K4="","",IF(LENH_GOC!E5="","",LENH_GOC!E5))</x:f>
      </x:c>
      <x:c r="P4" t="str">
        <x:f>IF($K4="","",IF(LENH_GOC!F5="","",LENH_GOC!F5))</x:f>
      </x:c>
      <x:c r="Q4" t="str">
        <x:f>IFERROR(IF($K4="","",IF(LENH_GOC!P5="","",IFERROR(VALUE(LENH_GOC!P5),IF(OR(LENH_GOC!P5=TRUE,UPPER(TRIM(LENH_GOC!P5))="TRUE"),1,0)))),"")</x:f>
      </x:c>
      <x:c r="R4" t="str">
        <x:f>IF($K4="","",IF(LENH_GOC!Q5="","",LENH_GOC!Q5))</x:f>
      </x:c>
      <x:c r="S4" s="249" t="str">
        <x:f>IF($K4="","",IF(LENH_GOC!R5="","",LENH_GOC!R5))</x:f>
      </x:c>
      <x:c r="T4" t="n">
        <x:f>IFERROR(IF($K4="",0,IF(AND(ISNUMBER($N4),INT($N4)=CAI_DAT!$B$4,LEFT(UPPER(TRIM($L4)),2)=LEFT(UPPER(TRIM(CAI_DAT!$B$5)),2),$Q4=1,OR(AND($M4="SO",ISNUMBER($P4),$P4&gt;0),AND($M4="MO",ISNUMBER($O4),$O4&gt;0))),1,0)),0)</x:f>
        <x:v>0</x:v>
      </x:c>
      <x:c r="U4" t="str">
        <x:f>IFERROR(IF($T4=0,"",IF($M4="SO",$P4,IF(AND($M4="MO",OR($R4=TRUE,$R4="TRUE"),ISNUMBER($P4),$P4&gt;0),$P4,$O4))),"")</x:f>
      </x:c>
      <x:c r="V4" t="str">
        <x:f>IFERROR(IF($T4=0,"",MOD($N4,1)*86400),"")</x:f>
      </x:c>
      <x:c r="W4" t="str">
        <x:f>IFERROR(IF($T4=0,"",COUNTIFS($T$3:$T$202,1,$V$3:$V$202,"&lt;"&amp;$V4)+COUNTIFS($T$3:$T4,1,$V$3:$V4,$V4)),"")</x:f>
      </x:c>
      <x:c r="X4" t="str">
        <x:f>IFERROR(IF($T4=0,"",IF($M4="SO","SO: dùng CS hoàn thành",IF(AND($M4="MO",OR($R4=TRUE,$R4="TRUE"),ISNUMBER($P4),$P4&gt;0),"MO dừng sớm: dùng CS hoàn thành","MO: dùng CS ra lệnh"))),"")</x:f>
      </x:c>
    </x:row>
    <x:row r="5">
      <x:c r="A5" s="38" t="n">
        <x:f>ROW()-2</x:f>
        <x:v>3</x:v>
      </x:c>
      <x:c r="B5" s="142" t="str">
        <x:f>IFERROR(IF($H5="","",INDEX($L$3:$L$202,MATCH($H5,$W$3:$W$202,0))),"")</x:f>
      </x:c>
      <x:c r="C5" s="157" t="str">
        <x:f>IFERROR(IF($H5="","",INDEX($N$3:$N$202,MATCH($H5,$W$3:$W$202,0))),"")</x:f>
      </x:c>
      <x:c r="D5" s="167" t="str">
        <x:f>IFERROR(IF($H5="","",INDEX($U$3:$U$202,MATCH($H5,$W$3:$W$202,0))),"")</x:f>
      </x:c>
      <x:c r="E5" s="167" t="str">
        <x:f>IFERROR(IF($H5="","",INDEX(LENH_GOC!$H$4:$H$203,MATCH(INDEX($K$3:$K$202,MATCH($H5,$W$3:$W$202,0)),LENH_GOC!$A$4:$A$203,0))),"")</x:f>
      </x:c>
      <x:c r="F5" s="167" t="str">
        <x:f>IFERROR(IF($H5="","",INDEX($P$3:$P$202,MATCH($H5,$W$3:$W$202,0))),"")</x:f>
      </x:c>
      <x:c r="G5" s="39" t="str">
        <x:f>IFERROR(IF($H5="","",INDEX($X$3:$X$202,MATCH($H5,$W$3:$W$202,0))),"")</x:f>
      </x:c>
      <x:c r="H5" t="str">
        <x:f>IFERROR(IF(ROW()-2&lt;=CAI_DAT!$B$10,ROW()-2,""),"")</x:f>
      </x:c>
      <x:c r="J5" t="str">
        <x:f>IF(LENH_GOC!A6="","",6)</x:f>
      </x:c>
      <x:c r="K5" t="str">
        <x:f>IF(LENH_GOC!A6="","",LENH_GOC!A6)</x:f>
      </x:c>
      <x:c r="L5" t="str">
        <x:f>IF($K5="","",IFERROR(TRIM(LENH_GOC!C6),""))</x:f>
      </x:c>
      <x:c r="M5" t="str">
        <x:f>IF($K5="","",IFERROR(UPPER(TRIM(LENH_GOC!Y6)),""))</x:f>
      </x:c>
      <x:c r="N5" s="249" t="str">
        <x:f>IFERROR(IF($K5="","",IF(LENH_GOC!G6="","",IF(ISNUMBER(LENH_GOC!G6),LENH_GOC!G6,DATE(VALUE(MID(LENH_GOC!G6,7,4)),VALUE(MID(LENH_GOC!G6,4,2)),VALUE(LEFT(LENH_GOC!G6,2)))+TIME(VALUE(MID(LENH_GOC!G6,12,2)),VALUE(MID(LENH_GOC!G6,15,2)),VALUE(MID(LENH_GOC!G6,18,2)))))), "")</x:f>
      </x:c>
      <x:c r="O5" t="str">
        <x:f>IF($K5="","",IF(LENH_GOC!E6="","",LENH_GOC!E6))</x:f>
      </x:c>
      <x:c r="P5" t="str">
        <x:f>IF($K5="","",IF(LENH_GOC!F6="","",LENH_GOC!F6))</x:f>
      </x:c>
      <x:c r="Q5" t="str">
        <x:f>IFERROR(IF($K5="","",IF(LENH_GOC!P6="","",IFERROR(VALUE(LENH_GOC!P6),IF(OR(LENH_GOC!P6=TRUE,UPPER(TRIM(LENH_GOC!P6))="TRUE"),1,0)))),"")</x:f>
      </x:c>
      <x:c r="R5" t="str">
        <x:f>IF($K5="","",IF(LENH_GOC!Q6="","",LENH_GOC!Q6))</x:f>
      </x:c>
      <x:c r="S5" s="249" t="str">
        <x:f>IF($K5="","",IF(LENH_GOC!R6="","",LENH_GOC!R6))</x:f>
      </x:c>
      <x:c r="T5" t="n">
        <x:f>IFERROR(IF($K5="",0,IF(AND(ISNUMBER($N5),INT($N5)=CAI_DAT!$B$4,LEFT(UPPER(TRIM($L5)),2)=LEFT(UPPER(TRIM(CAI_DAT!$B$5)),2),$Q5=1,OR(AND($M5="SO",ISNUMBER($P5),$P5&gt;0),AND($M5="MO",ISNUMBER($O5),$O5&gt;0))),1,0)),0)</x:f>
        <x:v>0</x:v>
      </x:c>
      <x:c r="U5" t="str">
        <x:f>IFERROR(IF($T5=0,"",IF($M5="SO",$P5,IF(AND($M5="MO",OR($R5=TRUE,$R5="TRUE"),ISNUMBER($P5),$P5&gt;0),$P5,$O5))),"")</x:f>
      </x:c>
      <x:c r="V5" t="str">
        <x:f>IFERROR(IF($T5=0,"",MOD($N5,1)*86400),"")</x:f>
      </x:c>
      <x:c r="W5" t="str">
        <x:f>IFERROR(IF($T5=0,"",COUNTIFS($T$3:$T$202,1,$V$3:$V$202,"&lt;"&amp;$V5)+COUNTIFS($T$3:$T5,1,$V$3:$V5,$V5)),"")</x:f>
      </x:c>
      <x:c r="X5" t="str">
        <x:f>IFERROR(IF($T5=0,"",IF($M5="SO","SO: dùng CS hoàn thành",IF(AND($M5="MO",OR($R5=TRUE,$R5="TRUE"),ISNUMBER($P5),$P5&gt;0),"MO dừng sớm: dùng CS hoàn thành","MO: dùng CS ra lệnh"))),"")</x:f>
      </x:c>
    </x:row>
    <x:row r="6">
      <x:c r="A6" s="38" t="n">
        <x:f>ROW()-2</x:f>
        <x:v>4</x:v>
      </x:c>
      <x:c r="B6" s="142" t="str">
        <x:f>IFERROR(IF($H6="","",INDEX($L$3:$L$202,MATCH($H6,$W$3:$W$202,0))),"")</x:f>
      </x:c>
      <x:c r="C6" s="157" t="str">
        <x:f>IFERROR(IF($H6="","",INDEX($N$3:$N$202,MATCH($H6,$W$3:$W$202,0))),"")</x:f>
      </x:c>
      <x:c r="D6" s="167" t="str">
        <x:f>IFERROR(IF($H6="","",INDEX($U$3:$U$202,MATCH($H6,$W$3:$W$202,0))),"")</x:f>
      </x:c>
      <x:c r="E6" s="167" t="str">
        <x:f>IFERROR(IF($H6="","",INDEX(LENH_GOC!$H$4:$H$203,MATCH(INDEX($K$3:$K$202,MATCH($H6,$W$3:$W$202,0)),LENH_GOC!$A$4:$A$203,0))),"")</x:f>
      </x:c>
      <x:c r="F6" s="167" t="str">
        <x:f>IFERROR(IF($H6="","",INDEX($P$3:$P$202,MATCH($H6,$W$3:$W$202,0))),"")</x:f>
      </x:c>
      <x:c r="G6" s="39" t="str">
        <x:f>IFERROR(IF($H6="","",INDEX($X$3:$X$202,MATCH($H6,$W$3:$W$202,0))),"")</x:f>
      </x:c>
      <x:c r="H6" t="str">
        <x:f>IFERROR(IF(ROW()-2&lt;=CAI_DAT!$B$10,ROW()-2,""),"")</x:f>
      </x:c>
      <x:c r="J6" t="str">
        <x:f>IF(LENH_GOC!A7="","",7)</x:f>
      </x:c>
      <x:c r="K6" t="str">
        <x:f>IF(LENH_GOC!A7="","",LENH_GOC!A7)</x:f>
      </x:c>
      <x:c r="L6" t="str">
        <x:f>IF($K6="","",IFERROR(TRIM(LENH_GOC!C7),""))</x:f>
      </x:c>
      <x:c r="M6" t="str">
        <x:f>IF($K6="","",IFERROR(UPPER(TRIM(LENH_GOC!Y7)),""))</x:f>
      </x:c>
      <x:c r="N6" s="249" t="str">
        <x:f>IFERROR(IF($K6="","",IF(LENH_GOC!G7="","",IF(ISNUMBER(LENH_GOC!G7),LENH_GOC!G7,DATE(VALUE(MID(LENH_GOC!G7,7,4)),VALUE(MID(LENH_GOC!G7,4,2)),VALUE(LEFT(LENH_GOC!G7,2)))+TIME(VALUE(MID(LENH_GOC!G7,12,2)),VALUE(MID(LENH_GOC!G7,15,2)),VALUE(MID(LENH_GOC!G7,18,2)))))), "")</x:f>
      </x:c>
      <x:c r="O6" t="str">
        <x:f>IF($K6="","",IF(LENH_GOC!E7="","",LENH_GOC!E7))</x:f>
      </x:c>
      <x:c r="P6" t="str">
        <x:f>IF($K6="","",IF(LENH_GOC!F7="","",LENH_GOC!F7))</x:f>
      </x:c>
      <x:c r="Q6" t="str">
        <x:f>IFERROR(IF($K6="","",IF(LENH_GOC!P7="","",IFERROR(VALUE(LENH_GOC!P7),IF(OR(LENH_GOC!P7=TRUE,UPPER(TRIM(LENH_GOC!P7))="TRUE"),1,0)))),"")</x:f>
      </x:c>
      <x:c r="R6" t="str">
        <x:f>IF($K6="","",IF(LENH_GOC!Q7="","",LENH_GOC!Q7))</x:f>
      </x:c>
      <x:c r="S6" s="249" t="str">
        <x:f>IF($K6="","",IF(LENH_GOC!R7="","",LENH_GOC!R7))</x:f>
      </x:c>
      <x:c r="T6" t="n">
        <x:f>IFERROR(IF($K6="",0,IF(AND(ISNUMBER($N6),INT($N6)=CAI_DAT!$B$4,LEFT(UPPER(TRIM($L6)),2)=LEFT(UPPER(TRIM(CAI_DAT!$B$5)),2),$Q6=1,OR(AND($M6="SO",ISNUMBER($P6),$P6&gt;0),AND($M6="MO",ISNUMBER($O6),$O6&gt;0))),1,0)),0)</x:f>
        <x:v>0</x:v>
      </x:c>
      <x:c r="U6" t="str">
        <x:f>IFERROR(IF($T6=0,"",IF($M6="SO",$P6,IF(AND($M6="MO",OR($R6=TRUE,$R6="TRUE"),ISNUMBER($P6),$P6&gt;0),$P6,$O6))),"")</x:f>
      </x:c>
      <x:c r="V6" t="str">
        <x:f>IFERROR(IF($T6=0,"",MOD($N6,1)*86400),"")</x:f>
      </x:c>
      <x:c r="W6" t="str">
        <x:f>IFERROR(IF($T6=0,"",COUNTIFS($T$3:$T$202,1,$V$3:$V$202,"&lt;"&amp;$V6)+COUNTIFS($T$3:$T6,1,$V$3:$V6,$V6)),"")</x:f>
      </x:c>
      <x:c r="X6" t="str">
        <x:f>IFERROR(IF($T6=0,"",IF($M6="SO","SO: dùng CS hoàn thành",IF(AND($M6="MO",OR($R6=TRUE,$R6="TRUE"),ISNUMBER($P6),$P6&gt;0),"MO dừng sớm: dùng CS hoàn thành","MO: dùng CS ra lệnh"))),"")</x:f>
      </x:c>
    </x:row>
    <x:row r="7">
      <x:c r="A7" s="38" t="n">
        <x:f>ROW()-2</x:f>
        <x:v>5</x:v>
      </x:c>
      <x:c r="B7" s="142" t="str">
        <x:f>IFERROR(IF($H7="","",INDEX($L$3:$L$202,MATCH($H7,$W$3:$W$202,0))),"")</x:f>
      </x:c>
      <x:c r="C7" s="157" t="str">
        <x:f>IFERROR(IF($H7="","",INDEX($N$3:$N$202,MATCH($H7,$W$3:$W$202,0))),"")</x:f>
      </x:c>
      <x:c r="D7" s="167" t="str">
        <x:f>IFERROR(IF($H7="","",INDEX($U$3:$U$202,MATCH($H7,$W$3:$W$202,0))),"")</x:f>
      </x:c>
      <x:c r="E7" s="167" t="str">
        <x:f>IFERROR(IF($H7="","",INDEX(LENH_GOC!$H$4:$H$203,MATCH(INDEX($K$3:$K$202,MATCH($H7,$W$3:$W$202,0)),LENH_GOC!$A$4:$A$203,0))),"")</x:f>
      </x:c>
      <x:c r="F7" s="167" t="str">
        <x:f>IFERROR(IF($H7="","",INDEX($P$3:$P$202,MATCH($H7,$W$3:$W$202,0))),"")</x:f>
      </x:c>
      <x:c r="G7" s="39" t="str">
        <x:f>IFERROR(IF($H7="","",INDEX($X$3:$X$202,MATCH($H7,$W$3:$W$202,0))),"")</x:f>
      </x:c>
      <x:c r="H7" t="str">
        <x:f>IFERROR(IF(ROW()-2&lt;=CAI_DAT!$B$10,ROW()-2,""),"")</x:f>
      </x:c>
      <x:c r="J7" t="str">
        <x:f>IF(LENH_GOC!A8="","",8)</x:f>
      </x:c>
      <x:c r="K7" t="str">
        <x:f>IF(LENH_GOC!A8="","",LENH_GOC!A8)</x:f>
      </x:c>
      <x:c r="L7" t="str">
        <x:f>IF($K7="","",IFERROR(TRIM(LENH_GOC!C8),""))</x:f>
      </x:c>
      <x:c r="M7" t="str">
        <x:f>IF($K7="","",IFERROR(UPPER(TRIM(LENH_GOC!Y8)),""))</x:f>
      </x:c>
      <x:c r="N7" s="249" t="str">
        <x:f>IFERROR(IF($K7="","",IF(LENH_GOC!G8="","",IF(ISNUMBER(LENH_GOC!G8),LENH_GOC!G8,DATE(VALUE(MID(LENH_GOC!G8,7,4)),VALUE(MID(LENH_GOC!G8,4,2)),VALUE(LEFT(LENH_GOC!G8,2)))+TIME(VALUE(MID(LENH_GOC!G8,12,2)),VALUE(MID(LENH_GOC!G8,15,2)),VALUE(MID(LENH_GOC!G8,18,2)))))), "")</x:f>
      </x:c>
      <x:c r="O7" t="str">
        <x:f>IF($K7="","",IF(LENH_GOC!E8="","",LENH_GOC!E8))</x:f>
      </x:c>
      <x:c r="P7" t="str">
        <x:f>IF($K7="","",IF(LENH_GOC!F8="","",LENH_GOC!F8))</x:f>
      </x:c>
      <x:c r="Q7" t="str">
        <x:f>IFERROR(IF($K7="","",IF(LENH_GOC!P8="","",IFERROR(VALUE(LENH_GOC!P8),IF(OR(LENH_GOC!P8=TRUE,UPPER(TRIM(LENH_GOC!P8))="TRUE"),1,0)))),"")</x:f>
      </x:c>
      <x:c r="R7" t="str">
        <x:f>IF($K7="","",IF(LENH_GOC!Q8="","",LENH_GOC!Q8))</x:f>
      </x:c>
      <x:c r="S7" s="249" t="str">
        <x:f>IF($K7="","",IF(LENH_GOC!R8="","",LENH_GOC!R8))</x:f>
      </x:c>
      <x:c r="T7" t="n">
        <x:f>IFERROR(IF($K7="",0,IF(AND(ISNUMBER($N7),INT($N7)=CAI_DAT!$B$4,LEFT(UPPER(TRIM($L7)),2)=LEFT(UPPER(TRIM(CAI_DAT!$B$5)),2),$Q7=1,OR(AND($M7="SO",ISNUMBER($P7),$P7&gt;0),AND($M7="MO",ISNUMBER($O7),$O7&gt;0))),1,0)),0)</x:f>
        <x:v>0</x:v>
      </x:c>
      <x:c r="U7" t="str">
        <x:f>IFERROR(IF($T7=0,"",IF($M7="SO",$P7,IF(AND($M7="MO",OR($R7=TRUE,$R7="TRUE"),ISNUMBER($P7),$P7&gt;0),$P7,$O7))),"")</x:f>
      </x:c>
      <x:c r="V7" t="str">
        <x:f>IFERROR(IF($T7=0,"",MOD($N7,1)*86400),"")</x:f>
      </x:c>
      <x:c r="W7" t="str">
        <x:f>IFERROR(IF($T7=0,"",COUNTIFS($T$3:$T$202,1,$V$3:$V$202,"&lt;"&amp;$V7)+COUNTIFS($T$3:$T7,1,$V$3:$V7,$V7)),"")</x:f>
      </x:c>
      <x:c r="X7" t="str">
        <x:f>IFERROR(IF($T7=0,"",IF($M7="SO","SO: dùng CS hoàn thành",IF(AND($M7="MO",OR($R7=TRUE,$R7="TRUE"),ISNUMBER($P7),$P7&gt;0),"MO dừng sớm: dùng CS hoàn thành","MO: dùng CS ra lệnh"))),"")</x:f>
      </x:c>
    </x:row>
    <x:row r="8">
      <x:c r="A8" s="38" t="n">
        <x:f>ROW()-2</x:f>
        <x:v>6</x:v>
      </x:c>
      <x:c r="B8" s="142" t="str">
        <x:f>IFERROR(IF($H8="","",INDEX($L$3:$L$202,MATCH($H8,$W$3:$W$202,0))),"")</x:f>
      </x:c>
      <x:c r="C8" s="157" t="str">
        <x:f>IFERROR(IF($H8="","",INDEX($N$3:$N$202,MATCH($H8,$W$3:$W$202,0))),"")</x:f>
      </x:c>
      <x:c r="D8" s="167" t="str">
        <x:f>IFERROR(IF($H8="","",INDEX($U$3:$U$202,MATCH($H8,$W$3:$W$202,0))),"")</x:f>
      </x:c>
      <x:c r="E8" s="167" t="str">
        <x:f>IFERROR(IF($H8="","",INDEX(LENH_GOC!$H$4:$H$203,MATCH(INDEX($K$3:$K$202,MATCH($H8,$W$3:$W$202,0)),LENH_GOC!$A$4:$A$203,0))),"")</x:f>
      </x:c>
      <x:c r="F8" s="167" t="str">
        <x:f>IFERROR(IF($H8="","",INDEX($P$3:$P$202,MATCH($H8,$W$3:$W$202,0))),"")</x:f>
      </x:c>
      <x:c r="G8" s="39" t="str">
        <x:f>IFERROR(IF($H8="","",INDEX($X$3:$X$202,MATCH($H8,$W$3:$W$202,0))),"")</x:f>
      </x:c>
      <x:c r="H8" t="str">
        <x:f>IFERROR(IF(ROW()-2&lt;=CAI_DAT!$B$10,ROW()-2,""),"")</x:f>
      </x:c>
      <x:c r="J8" t="str">
        <x:f>IF(LENH_GOC!A9="","",9)</x:f>
      </x:c>
      <x:c r="K8" t="str">
        <x:f>IF(LENH_GOC!A9="","",LENH_GOC!A9)</x:f>
      </x:c>
      <x:c r="L8" t="str">
        <x:f>IF($K8="","",IFERROR(TRIM(LENH_GOC!C9),""))</x:f>
      </x:c>
      <x:c r="M8" t="str">
        <x:f>IF($K8="","",IFERROR(UPPER(TRIM(LENH_GOC!Y9)),""))</x:f>
      </x:c>
      <x:c r="N8" s="249" t="str">
        <x:f>IFERROR(IF($K8="","",IF(LENH_GOC!G9="","",IF(ISNUMBER(LENH_GOC!G9),LENH_GOC!G9,DATE(VALUE(MID(LENH_GOC!G9,7,4)),VALUE(MID(LENH_GOC!G9,4,2)),VALUE(LEFT(LENH_GOC!G9,2)))+TIME(VALUE(MID(LENH_GOC!G9,12,2)),VALUE(MID(LENH_GOC!G9,15,2)),VALUE(MID(LENH_GOC!G9,18,2)))))), "")</x:f>
      </x:c>
      <x:c r="O8" t="str">
        <x:f>IF($K8="","",IF(LENH_GOC!E9="","",LENH_GOC!E9))</x:f>
      </x:c>
      <x:c r="P8" t="str">
        <x:f>IF($K8="","",IF(LENH_GOC!F9="","",LENH_GOC!F9))</x:f>
      </x:c>
      <x:c r="Q8" t="str">
        <x:f>IFERROR(IF($K8="","",IF(LENH_GOC!P9="","",IFERROR(VALUE(LENH_GOC!P9),IF(OR(LENH_GOC!P9=TRUE,UPPER(TRIM(LENH_GOC!P9))="TRUE"),1,0)))),"")</x:f>
      </x:c>
      <x:c r="R8" t="str">
        <x:f>IF($K8="","",IF(LENH_GOC!Q9="","",LENH_GOC!Q9))</x:f>
      </x:c>
      <x:c r="S8" s="249" t="str">
        <x:f>IF($K8="","",IF(LENH_GOC!R9="","",LENH_GOC!R9))</x:f>
      </x:c>
      <x:c r="T8" t="n">
        <x:f>IFERROR(IF($K8="",0,IF(AND(ISNUMBER($N8),INT($N8)=CAI_DAT!$B$4,LEFT(UPPER(TRIM($L8)),2)=LEFT(UPPER(TRIM(CAI_DAT!$B$5)),2),$Q8=1,OR(AND($M8="SO",ISNUMBER($P8),$P8&gt;0),AND($M8="MO",ISNUMBER($O8),$O8&gt;0))),1,0)),0)</x:f>
        <x:v>0</x:v>
      </x:c>
      <x:c r="U8" t="str">
        <x:f>IFERROR(IF($T8=0,"",IF($M8="SO",$P8,IF(AND($M8="MO",OR($R8=TRUE,$R8="TRUE"),ISNUMBER($P8),$P8&gt;0),$P8,$O8))),"")</x:f>
      </x:c>
      <x:c r="V8" t="str">
        <x:f>IFERROR(IF($T8=0,"",MOD($N8,1)*86400),"")</x:f>
      </x:c>
      <x:c r="W8" t="str">
        <x:f>IFERROR(IF($T8=0,"",COUNTIFS($T$3:$T$202,1,$V$3:$V$202,"&lt;"&amp;$V8)+COUNTIFS($T$3:$T8,1,$V$3:$V8,$V8)),"")</x:f>
      </x:c>
      <x:c r="X8" t="str">
        <x:f>IFERROR(IF($T8=0,"",IF($M8="SO","SO: dùng CS hoàn thành",IF(AND($M8="MO",OR($R8=TRUE,$R8="TRUE"),ISNUMBER($P8),$P8&gt;0),"MO dừng sớm: dùng CS hoàn thành","MO: dùng CS ra lệnh"))),"")</x:f>
      </x:c>
    </x:row>
    <x:row r="9">
      <x:c r="A9" s="38" t="n">
        <x:f>ROW()-2</x:f>
        <x:v>7</x:v>
      </x:c>
      <x:c r="B9" s="142" t="str">
        <x:f>IFERROR(IF($H9="","",INDEX($L$3:$L$202,MATCH($H9,$W$3:$W$202,0))),"")</x:f>
      </x:c>
      <x:c r="C9" s="157" t="str">
        <x:f>IFERROR(IF($H9="","",INDEX($N$3:$N$202,MATCH($H9,$W$3:$W$202,0))),"")</x:f>
      </x:c>
      <x:c r="D9" s="167" t="str">
        <x:f>IFERROR(IF($H9="","",INDEX($U$3:$U$202,MATCH($H9,$W$3:$W$202,0))),"")</x:f>
      </x:c>
      <x:c r="E9" s="167" t="str">
        <x:f>IFERROR(IF($H9="","",INDEX(LENH_GOC!$H$4:$H$203,MATCH(INDEX($K$3:$K$202,MATCH($H9,$W$3:$W$202,0)),LENH_GOC!$A$4:$A$203,0))),"")</x:f>
      </x:c>
      <x:c r="F9" s="167" t="str">
        <x:f>IFERROR(IF($H9="","",INDEX($P$3:$P$202,MATCH($H9,$W$3:$W$202,0))),"")</x:f>
      </x:c>
      <x:c r="G9" s="39" t="str">
        <x:f>IFERROR(IF($H9="","",INDEX($X$3:$X$202,MATCH($H9,$W$3:$W$202,0))),"")</x:f>
      </x:c>
      <x:c r="H9" t="str">
        <x:f>IFERROR(IF(ROW()-2&lt;=CAI_DAT!$B$10,ROW()-2,""),"")</x:f>
      </x:c>
      <x:c r="J9" t="str">
        <x:f>IF(LENH_GOC!A10="","",10)</x:f>
      </x:c>
      <x:c r="K9" t="str">
        <x:f>IF(LENH_GOC!A10="","",LENH_GOC!A10)</x:f>
      </x:c>
      <x:c r="L9" t="str">
        <x:f>IF($K9="","",IFERROR(TRIM(LENH_GOC!C10),""))</x:f>
      </x:c>
      <x:c r="M9" t="str">
        <x:f>IF($K9="","",IFERROR(UPPER(TRIM(LENH_GOC!Y10)),""))</x:f>
      </x:c>
      <x:c r="N9" s="249" t="str">
        <x:f>IFERROR(IF($K9="","",IF(LENH_GOC!G10="","",IF(ISNUMBER(LENH_GOC!G10),LENH_GOC!G10,DATE(VALUE(MID(LENH_GOC!G10,7,4)),VALUE(MID(LENH_GOC!G10,4,2)),VALUE(LEFT(LENH_GOC!G10,2)))+TIME(VALUE(MID(LENH_GOC!G10,12,2)),VALUE(MID(LENH_GOC!G10,15,2)),VALUE(MID(LENH_GOC!G10,18,2)))))), "")</x:f>
      </x:c>
      <x:c r="O9" t="str">
        <x:f>IF($K9="","",IF(LENH_GOC!E10="","",LENH_GOC!E10))</x:f>
      </x:c>
      <x:c r="P9" t="str">
        <x:f>IF($K9="","",IF(LENH_GOC!F10="","",LENH_GOC!F10))</x:f>
      </x:c>
      <x:c r="Q9" t="str">
        <x:f>IFERROR(IF($K9="","",IF(LENH_GOC!P10="","",IFERROR(VALUE(LENH_GOC!P10),IF(OR(LENH_GOC!P10=TRUE,UPPER(TRIM(LENH_GOC!P10))="TRUE"),1,0)))),"")</x:f>
      </x:c>
      <x:c r="R9" t="str">
        <x:f>IF($K9="","",IF(LENH_GOC!Q10="","",LENH_GOC!Q10))</x:f>
      </x:c>
      <x:c r="S9" s="249" t="str">
        <x:f>IF($K9="","",IF(LENH_GOC!R10="","",LENH_GOC!R10))</x:f>
      </x:c>
      <x:c r="T9" t="n">
        <x:f>IFERROR(IF($K9="",0,IF(AND(ISNUMBER($N9),INT($N9)=CAI_DAT!$B$4,LEFT(UPPER(TRIM($L9)),2)=LEFT(UPPER(TRIM(CAI_DAT!$B$5)),2),$Q9=1,OR(AND($M9="SO",ISNUMBER($P9),$P9&gt;0),AND($M9="MO",ISNUMBER($O9),$O9&gt;0))),1,0)),0)</x:f>
        <x:v>0</x:v>
      </x:c>
      <x:c r="U9" t="str">
        <x:f>IFERROR(IF($T9=0,"",IF($M9="SO",$P9,IF(AND($M9="MO",OR($R9=TRUE,$R9="TRUE"),ISNUMBER($P9),$P9&gt;0),$P9,$O9))),"")</x:f>
      </x:c>
      <x:c r="V9" t="str">
        <x:f>IFERROR(IF($T9=0,"",MOD($N9,1)*86400),"")</x:f>
      </x:c>
      <x:c r="W9" t="str">
        <x:f>IFERROR(IF($T9=0,"",COUNTIFS($T$3:$T$202,1,$V$3:$V$202,"&lt;"&amp;$V9)+COUNTIFS($T$3:$T9,1,$V$3:$V9,$V9)),"")</x:f>
      </x:c>
      <x:c r="X9" t="str">
        <x:f>IFERROR(IF($T9=0,"",IF($M9="SO","SO: dùng CS hoàn thành",IF(AND($M9="MO",OR($R9=TRUE,$R9="TRUE"),ISNUMBER($P9),$P9&gt;0),"MO dừng sớm: dùng CS hoàn thành","MO: dùng CS ra lệnh"))),"")</x:f>
      </x:c>
    </x:row>
    <x:row r="10">
      <x:c r="A10" s="38" t="n">
        <x:f>ROW()-2</x:f>
        <x:v>8</x:v>
      </x:c>
      <x:c r="B10" s="142" t="str">
        <x:f>IFERROR(IF($H10="","",INDEX($L$3:$L$202,MATCH($H10,$W$3:$W$202,0))),"")</x:f>
      </x:c>
      <x:c r="C10" s="157" t="str">
        <x:f>IFERROR(IF($H10="","",INDEX($N$3:$N$202,MATCH($H10,$W$3:$W$202,0))),"")</x:f>
      </x:c>
      <x:c r="D10" s="167" t="str">
        <x:f>IFERROR(IF($H10="","",INDEX($U$3:$U$202,MATCH($H10,$W$3:$W$202,0))),"")</x:f>
      </x:c>
      <x:c r="E10" s="167" t="str">
        <x:f>IFERROR(IF($H10="","",INDEX(LENH_GOC!$H$4:$H$203,MATCH(INDEX($K$3:$K$202,MATCH($H10,$W$3:$W$202,0)),LENH_GOC!$A$4:$A$203,0))),"")</x:f>
      </x:c>
      <x:c r="F10" s="167" t="str">
        <x:f>IFERROR(IF($H10="","",INDEX($P$3:$P$202,MATCH($H10,$W$3:$W$202,0))),"")</x:f>
      </x:c>
      <x:c r="G10" s="39" t="str">
        <x:f>IFERROR(IF($H10="","",INDEX($X$3:$X$202,MATCH($H10,$W$3:$W$202,0))),"")</x:f>
      </x:c>
      <x:c r="H10" t="str">
        <x:f>IFERROR(IF(ROW()-2&lt;=CAI_DAT!$B$10,ROW()-2,""),"")</x:f>
      </x:c>
      <x:c r="J10" t="str">
        <x:f>IF(LENH_GOC!A11="","",11)</x:f>
      </x:c>
      <x:c r="K10" t="str">
        <x:f>IF(LENH_GOC!A11="","",LENH_GOC!A11)</x:f>
      </x:c>
      <x:c r="L10" t="str">
        <x:f>IF($K10="","",IFERROR(TRIM(LENH_GOC!C11),""))</x:f>
      </x:c>
      <x:c r="M10" t="str">
        <x:f>IF($K10="","",IFERROR(UPPER(TRIM(LENH_GOC!Y11)),""))</x:f>
      </x:c>
      <x:c r="N10" s="249" t="str">
        <x:f>IFERROR(IF($K10="","",IF(LENH_GOC!G11="","",IF(ISNUMBER(LENH_GOC!G11),LENH_GOC!G11,DATE(VALUE(MID(LENH_GOC!G11,7,4)),VALUE(MID(LENH_GOC!G11,4,2)),VALUE(LEFT(LENH_GOC!G11,2)))+TIME(VALUE(MID(LENH_GOC!G11,12,2)),VALUE(MID(LENH_GOC!G11,15,2)),VALUE(MID(LENH_GOC!G11,18,2)))))), "")</x:f>
      </x:c>
      <x:c r="O10" t="str">
        <x:f>IF($K10="","",IF(LENH_GOC!E11="","",LENH_GOC!E11))</x:f>
      </x:c>
      <x:c r="P10" t="str">
        <x:f>IF($K10="","",IF(LENH_GOC!F11="","",LENH_GOC!F11))</x:f>
      </x:c>
      <x:c r="Q10" t="str">
        <x:f>IFERROR(IF($K10="","",IF(LENH_GOC!P11="","",IFERROR(VALUE(LENH_GOC!P11),IF(OR(LENH_GOC!P11=TRUE,UPPER(TRIM(LENH_GOC!P11))="TRUE"),1,0)))),"")</x:f>
      </x:c>
      <x:c r="R10" t="str">
        <x:f>IF($K10="","",IF(LENH_GOC!Q11="","",LENH_GOC!Q11))</x:f>
      </x:c>
      <x:c r="S10" s="249" t="str">
        <x:f>IF($K10="","",IF(LENH_GOC!R11="","",LENH_GOC!R11))</x:f>
      </x:c>
      <x:c r="T10" t="n">
        <x:f>IFERROR(IF($K10="",0,IF(AND(ISNUMBER($N10),INT($N10)=CAI_DAT!$B$4,LEFT(UPPER(TRIM($L10)),2)=LEFT(UPPER(TRIM(CAI_DAT!$B$5)),2),$Q10=1,OR(AND($M10="SO",ISNUMBER($P10),$P10&gt;0),AND($M10="MO",ISNUMBER($O10),$O10&gt;0))),1,0)),0)</x:f>
        <x:v>0</x:v>
      </x:c>
      <x:c r="U10" t="str">
        <x:f>IFERROR(IF($T10=0,"",IF($M10="SO",$P10,IF(AND($M10="MO",OR($R10=TRUE,$R10="TRUE"),ISNUMBER($P10),$P10&gt;0),$P10,$O10))),"")</x:f>
      </x:c>
      <x:c r="V10" t="str">
        <x:f>IFERROR(IF($T10=0,"",MOD($N10,1)*86400),"")</x:f>
      </x:c>
      <x:c r="W10" t="str">
        <x:f>IFERROR(IF($T10=0,"",COUNTIFS($T$3:$T$202,1,$V$3:$V$202,"&lt;"&amp;$V10)+COUNTIFS($T$3:$T10,1,$V$3:$V10,$V10)),"")</x:f>
      </x:c>
      <x:c r="X10" t="str">
        <x:f>IFERROR(IF($T10=0,"",IF($M10="SO","SO: dùng CS hoàn thành",IF(AND($M10="MO",OR($R10=TRUE,$R10="TRUE"),ISNUMBER($P10),$P10&gt;0),"MO dừng sớm: dùng CS hoàn thành","MO: dùng CS ra lệnh"))),"")</x:f>
      </x:c>
    </x:row>
    <x:row r="11">
      <x:c r="A11" s="38" t="n">
        <x:f>ROW()-2</x:f>
        <x:v>9</x:v>
      </x:c>
      <x:c r="B11" s="142" t="str">
        <x:f>IFERROR(IF($H11="","",INDEX($L$3:$L$202,MATCH($H11,$W$3:$W$202,0))),"")</x:f>
      </x:c>
      <x:c r="C11" s="157" t="str">
        <x:f>IFERROR(IF($H11="","",INDEX($N$3:$N$202,MATCH($H11,$W$3:$W$202,0))),"")</x:f>
      </x:c>
      <x:c r="D11" s="167" t="str">
        <x:f>IFERROR(IF($H11="","",INDEX($U$3:$U$202,MATCH($H11,$W$3:$W$202,0))),"")</x:f>
      </x:c>
      <x:c r="E11" s="167" t="str">
        <x:f>IFERROR(IF($H11="","",INDEX(LENH_GOC!$H$4:$H$203,MATCH(INDEX($K$3:$K$202,MATCH($H11,$W$3:$W$202,0)),LENH_GOC!$A$4:$A$203,0))),"")</x:f>
      </x:c>
      <x:c r="F11" s="167" t="str">
        <x:f>IFERROR(IF($H11="","",INDEX($P$3:$P$202,MATCH($H11,$W$3:$W$202,0))),"")</x:f>
      </x:c>
      <x:c r="G11" s="39" t="str">
        <x:f>IFERROR(IF($H11="","",INDEX($X$3:$X$202,MATCH($H11,$W$3:$W$202,0))),"")</x:f>
      </x:c>
      <x:c r="H11" t="str">
        <x:f>IFERROR(IF(ROW()-2&lt;=CAI_DAT!$B$10,ROW()-2,""),"")</x:f>
      </x:c>
      <x:c r="J11" t="str">
        <x:f>IF(LENH_GOC!A12="","",12)</x:f>
      </x:c>
      <x:c r="K11" t="str">
        <x:f>IF(LENH_GOC!A12="","",LENH_GOC!A12)</x:f>
      </x:c>
      <x:c r="L11" t="str">
        <x:f>IF($K11="","",IFERROR(TRIM(LENH_GOC!C12),""))</x:f>
      </x:c>
      <x:c r="M11" t="str">
        <x:f>IF($K11="","",IFERROR(UPPER(TRIM(LENH_GOC!Y12)),""))</x:f>
      </x:c>
      <x:c r="N11" s="249" t="str">
        <x:f>IFERROR(IF($K11="","",IF(LENH_GOC!G12="","",IF(ISNUMBER(LENH_GOC!G12),LENH_GOC!G12,DATE(VALUE(MID(LENH_GOC!G12,7,4)),VALUE(MID(LENH_GOC!G12,4,2)),VALUE(LEFT(LENH_GOC!G12,2)))+TIME(VALUE(MID(LENH_GOC!G12,12,2)),VALUE(MID(LENH_GOC!G12,15,2)),VALUE(MID(LENH_GOC!G12,18,2)))))), "")</x:f>
      </x:c>
      <x:c r="O11" t="str">
        <x:f>IF($K11="","",IF(LENH_GOC!E12="","",LENH_GOC!E12))</x:f>
      </x:c>
      <x:c r="P11" t="str">
        <x:f>IF($K11="","",IF(LENH_GOC!F12="","",LENH_GOC!F12))</x:f>
      </x:c>
      <x:c r="Q11" t="str">
        <x:f>IFERROR(IF($K11="","",IF(LENH_GOC!P12="","",IFERROR(VALUE(LENH_GOC!P12),IF(OR(LENH_GOC!P12=TRUE,UPPER(TRIM(LENH_GOC!P12))="TRUE"),1,0)))),"")</x:f>
      </x:c>
      <x:c r="R11" t="str">
        <x:f>IF($K11="","",IF(LENH_GOC!Q12="","",LENH_GOC!Q12))</x:f>
      </x:c>
      <x:c r="S11" s="249" t="str">
        <x:f>IF($K11="","",IF(LENH_GOC!R12="","",LENH_GOC!R12))</x:f>
      </x:c>
      <x:c r="T11" t="n">
        <x:f>IFERROR(IF($K11="",0,IF(AND(ISNUMBER($N11),INT($N11)=CAI_DAT!$B$4,LEFT(UPPER(TRIM($L11)),2)=LEFT(UPPER(TRIM(CAI_DAT!$B$5)),2),$Q11=1,OR(AND($M11="SO",ISNUMBER($P11),$P11&gt;0),AND($M11="MO",ISNUMBER($O11),$O11&gt;0))),1,0)),0)</x:f>
        <x:v>0</x:v>
      </x:c>
      <x:c r="U11" t="str">
        <x:f>IFERROR(IF($T11=0,"",IF($M11="SO",$P11,IF(AND($M11="MO",OR($R11=TRUE,$R11="TRUE"),ISNUMBER($P11),$P11&gt;0),$P11,$O11))),"")</x:f>
      </x:c>
      <x:c r="V11" t="str">
        <x:f>IFERROR(IF($T11=0,"",MOD($N11,1)*86400),"")</x:f>
      </x:c>
      <x:c r="W11" t="str">
        <x:f>IFERROR(IF($T11=0,"",COUNTIFS($T$3:$T$202,1,$V$3:$V$202,"&lt;"&amp;$V11)+COUNTIFS($T$3:$T11,1,$V$3:$V11,$V11)),"")</x:f>
      </x:c>
      <x:c r="X11" t="str">
        <x:f>IFERROR(IF($T11=0,"",IF($M11="SO","SO: dùng CS hoàn thành",IF(AND($M11="MO",OR($R11=TRUE,$R11="TRUE"),ISNUMBER($P11),$P11&gt;0),"MO dừng sớm: dùng CS hoàn thành","MO: dùng CS ra lệnh"))),"")</x:f>
      </x:c>
    </x:row>
    <x:row r="12">
      <x:c r="A12" s="38" t="n">
        <x:f>ROW()-2</x:f>
        <x:v>10</x:v>
      </x:c>
      <x:c r="B12" s="142" t="str">
        <x:f>IFERROR(IF($H12="","",INDEX($L$3:$L$202,MATCH($H12,$W$3:$W$202,0))),"")</x:f>
      </x:c>
      <x:c r="C12" s="157" t="str">
        <x:f>IFERROR(IF($H12="","",INDEX($N$3:$N$202,MATCH($H12,$W$3:$W$202,0))),"")</x:f>
      </x:c>
      <x:c r="D12" s="167" t="str">
        <x:f>IFERROR(IF($H12="","",INDEX($U$3:$U$202,MATCH($H12,$W$3:$W$202,0))),"")</x:f>
      </x:c>
      <x:c r="E12" s="167" t="str">
        <x:f>IFERROR(IF($H12="","",INDEX(LENH_GOC!$H$4:$H$203,MATCH(INDEX($K$3:$K$202,MATCH($H12,$W$3:$W$202,0)),LENH_GOC!$A$4:$A$203,0))),"")</x:f>
      </x:c>
      <x:c r="F12" s="167" t="str">
        <x:f>IFERROR(IF($H12="","",INDEX($P$3:$P$202,MATCH($H12,$W$3:$W$202,0))),"")</x:f>
      </x:c>
      <x:c r="G12" s="39" t="str">
        <x:f>IFERROR(IF($H12="","",INDEX($X$3:$X$202,MATCH($H12,$W$3:$W$202,0))),"")</x:f>
      </x:c>
      <x:c r="H12" t="str">
        <x:f>IFERROR(IF(ROW()-2&lt;=CAI_DAT!$B$10,ROW()-2,""),"")</x:f>
      </x:c>
      <x:c r="J12" t="str">
        <x:f>IF(LENH_GOC!A13="","",13)</x:f>
      </x:c>
      <x:c r="K12" t="str">
        <x:f>IF(LENH_GOC!A13="","",LENH_GOC!A13)</x:f>
      </x:c>
      <x:c r="L12" t="str">
        <x:f>IF($K12="","",IFERROR(TRIM(LENH_GOC!C13),""))</x:f>
      </x:c>
      <x:c r="M12" t="str">
        <x:f>IF($K12="","",IFERROR(UPPER(TRIM(LENH_GOC!Y13)),""))</x:f>
      </x:c>
      <x:c r="N12" s="249" t="str">
        <x:f>IFERROR(IF($K12="","",IF(LENH_GOC!G13="","",IF(ISNUMBER(LENH_GOC!G13),LENH_GOC!G13,DATE(VALUE(MID(LENH_GOC!G13,7,4)),VALUE(MID(LENH_GOC!G13,4,2)),VALUE(LEFT(LENH_GOC!G13,2)))+TIME(VALUE(MID(LENH_GOC!G13,12,2)),VALUE(MID(LENH_GOC!G13,15,2)),VALUE(MID(LENH_GOC!G13,18,2)))))), "")</x:f>
      </x:c>
      <x:c r="O12" t="str">
        <x:f>IF($K12="","",IF(LENH_GOC!E13="","",LENH_GOC!E13))</x:f>
      </x:c>
      <x:c r="P12" t="str">
        <x:f>IF($K12="","",IF(LENH_GOC!F13="","",LENH_GOC!F13))</x:f>
      </x:c>
      <x:c r="Q12" t="str">
        <x:f>IFERROR(IF($K12="","",IF(LENH_GOC!P13="","",IFERROR(VALUE(LENH_GOC!P13),IF(OR(LENH_GOC!P13=TRUE,UPPER(TRIM(LENH_GOC!P13))="TRUE"),1,0)))),"")</x:f>
      </x:c>
      <x:c r="R12" t="str">
        <x:f>IF($K12="","",IF(LENH_GOC!Q13="","",LENH_GOC!Q13))</x:f>
      </x:c>
      <x:c r="S12" s="249" t="str">
        <x:f>IF($K12="","",IF(LENH_GOC!R13="","",LENH_GOC!R13))</x:f>
      </x:c>
      <x:c r="T12" t="n">
        <x:f>IFERROR(IF($K12="",0,IF(AND(ISNUMBER($N12),INT($N12)=CAI_DAT!$B$4,LEFT(UPPER(TRIM($L12)),2)=LEFT(UPPER(TRIM(CAI_DAT!$B$5)),2),$Q12=1,OR(AND($M12="SO",ISNUMBER($P12),$P12&gt;0),AND($M12="MO",ISNUMBER($O12),$O12&gt;0))),1,0)),0)</x:f>
        <x:v>0</x:v>
      </x:c>
      <x:c r="U12" t="str">
        <x:f>IFERROR(IF($T12=0,"",IF($M12="SO",$P12,IF(AND($M12="MO",OR($R12=TRUE,$R12="TRUE"),ISNUMBER($P12),$P12&gt;0),$P12,$O12))),"")</x:f>
      </x:c>
      <x:c r="V12" t="str">
        <x:f>IFERROR(IF($T12=0,"",MOD($N12,1)*86400),"")</x:f>
      </x:c>
      <x:c r="W12" t="str">
        <x:f>IFERROR(IF($T12=0,"",COUNTIFS($T$3:$T$202,1,$V$3:$V$202,"&lt;"&amp;$V12)+COUNTIFS($T$3:$T12,1,$V$3:$V12,$V12)),"")</x:f>
      </x:c>
      <x:c r="X12" t="str">
        <x:f>IFERROR(IF($T12=0,"",IF($M12="SO","SO: dùng CS hoàn thành",IF(AND($M12="MO",OR($R12=TRUE,$R12="TRUE"),ISNUMBER($P12),$P12&gt;0),"MO dừng sớm: dùng CS hoàn thành","MO: dùng CS ra lệnh"))),"")</x:f>
      </x:c>
    </x:row>
    <x:row r="13">
      <x:c r="A13" s="38" t="n">
        <x:f>ROW()-2</x:f>
        <x:v>11</x:v>
      </x:c>
      <x:c r="B13" s="142" t="str">
        <x:f>IFERROR(IF($H13="","",INDEX($L$3:$L$202,MATCH($H13,$W$3:$W$202,0))),"")</x:f>
      </x:c>
      <x:c r="C13" s="157" t="str">
        <x:f>IFERROR(IF($H13="","",INDEX($N$3:$N$202,MATCH($H13,$W$3:$W$202,0))),"")</x:f>
      </x:c>
      <x:c r="D13" s="167" t="str">
        <x:f>IFERROR(IF($H13="","",INDEX($U$3:$U$202,MATCH($H13,$W$3:$W$202,0))),"")</x:f>
      </x:c>
      <x:c r="E13" s="167" t="str">
        <x:f>IFERROR(IF($H13="","",INDEX(LENH_GOC!$H$4:$H$203,MATCH(INDEX($K$3:$K$202,MATCH($H13,$W$3:$W$202,0)),LENH_GOC!$A$4:$A$203,0))),"")</x:f>
      </x:c>
      <x:c r="F13" s="167" t="str">
        <x:f>IFERROR(IF($H13="","",INDEX($P$3:$P$202,MATCH($H13,$W$3:$W$202,0))),"")</x:f>
      </x:c>
      <x:c r="G13" s="39" t="str">
        <x:f>IFERROR(IF($H13="","",INDEX($X$3:$X$202,MATCH($H13,$W$3:$W$202,0))),"")</x:f>
      </x:c>
      <x:c r="H13" t="str">
        <x:f>IFERROR(IF(ROW()-2&lt;=CAI_DAT!$B$10,ROW()-2,""),"")</x:f>
      </x:c>
      <x:c r="J13" t="str">
        <x:f>IF(LENH_GOC!A14="","",14)</x:f>
      </x:c>
      <x:c r="K13" t="str">
        <x:f>IF(LENH_GOC!A14="","",LENH_GOC!A14)</x:f>
      </x:c>
      <x:c r="L13" t="str">
        <x:f>IF($K13="","",IFERROR(TRIM(LENH_GOC!C14),""))</x:f>
      </x:c>
      <x:c r="M13" t="str">
        <x:f>IF($K13="","",IFERROR(UPPER(TRIM(LENH_GOC!Y14)),""))</x:f>
      </x:c>
      <x:c r="N13" s="249" t="str">
        <x:f>IFERROR(IF($K13="","",IF(LENH_GOC!G14="","",IF(ISNUMBER(LENH_GOC!G14),LENH_GOC!G14,DATE(VALUE(MID(LENH_GOC!G14,7,4)),VALUE(MID(LENH_GOC!G14,4,2)),VALUE(LEFT(LENH_GOC!G14,2)))+TIME(VALUE(MID(LENH_GOC!G14,12,2)),VALUE(MID(LENH_GOC!G14,15,2)),VALUE(MID(LENH_GOC!G14,18,2)))))), "")</x:f>
      </x:c>
      <x:c r="O13" t="str">
        <x:f>IF($K13="","",IF(LENH_GOC!E14="","",LENH_GOC!E14))</x:f>
      </x:c>
      <x:c r="P13" t="str">
        <x:f>IF($K13="","",IF(LENH_GOC!F14="","",LENH_GOC!F14))</x:f>
      </x:c>
      <x:c r="Q13" t="str">
        <x:f>IFERROR(IF($K13="","",IF(LENH_GOC!P14="","",IFERROR(VALUE(LENH_GOC!P14),IF(OR(LENH_GOC!P14=TRUE,UPPER(TRIM(LENH_GOC!P14))="TRUE"),1,0)))),"")</x:f>
      </x:c>
      <x:c r="R13" t="str">
        <x:f>IF($K13="","",IF(LENH_GOC!Q14="","",LENH_GOC!Q14))</x:f>
      </x:c>
      <x:c r="S13" s="249" t="str">
        <x:f>IF($K13="","",IF(LENH_GOC!R14="","",LENH_GOC!R14))</x:f>
      </x:c>
      <x:c r="T13" t="n">
        <x:f>IFERROR(IF($K13="",0,IF(AND(ISNUMBER($N13),INT($N13)=CAI_DAT!$B$4,LEFT(UPPER(TRIM($L13)),2)=LEFT(UPPER(TRIM(CAI_DAT!$B$5)),2),$Q13=1,OR(AND($M13="SO",ISNUMBER($P13),$P13&gt;0),AND($M13="MO",ISNUMBER($O13),$O13&gt;0))),1,0)),0)</x:f>
        <x:v>0</x:v>
      </x:c>
      <x:c r="U13" t="str">
        <x:f>IFERROR(IF($T13=0,"",IF($M13="SO",$P13,IF(AND($M13="MO",OR($R13=TRUE,$R13="TRUE"),ISNUMBER($P13),$P13&gt;0),$P13,$O13))),"")</x:f>
      </x:c>
      <x:c r="V13" t="str">
        <x:f>IFERROR(IF($T13=0,"",MOD($N13,1)*86400),"")</x:f>
      </x:c>
      <x:c r="W13" t="str">
        <x:f>IFERROR(IF($T13=0,"",COUNTIFS($T$3:$T$202,1,$V$3:$V$202,"&lt;"&amp;$V13)+COUNTIFS($T$3:$T13,1,$V$3:$V13,$V13)),"")</x:f>
      </x:c>
      <x:c r="X13" t="str">
        <x:f>IFERROR(IF($T13=0,"",IF($M13="SO","SO: dùng CS hoàn thành",IF(AND($M13="MO",OR($R13=TRUE,$R13="TRUE"),ISNUMBER($P13),$P13&gt;0),"MO dừng sớm: dùng CS hoàn thành","MO: dùng CS ra lệnh"))),"")</x:f>
      </x:c>
    </x:row>
    <x:row r="14">
      <x:c r="A14" s="38" t="n">
        <x:f>ROW()-2</x:f>
        <x:v>12</x:v>
      </x:c>
      <x:c r="B14" s="142" t="str">
        <x:f>IFERROR(IF($H14="","",INDEX($L$3:$L$202,MATCH($H14,$W$3:$W$202,0))),"")</x:f>
      </x:c>
      <x:c r="C14" s="157" t="str">
        <x:f>IFERROR(IF($H14="","",INDEX($N$3:$N$202,MATCH($H14,$W$3:$W$202,0))),"")</x:f>
      </x:c>
      <x:c r="D14" s="167" t="str">
        <x:f>IFERROR(IF($H14="","",INDEX($U$3:$U$202,MATCH($H14,$W$3:$W$202,0))),"")</x:f>
      </x:c>
      <x:c r="E14" s="167" t="str">
        <x:f>IFERROR(IF($H14="","",INDEX(LENH_GOC!$H$4:$H$203,MATCH(INDEX($K$3:$K$202,MATCH($H14,$W$3:$W$202,0)),LENH_GOC!$A$4:$A$203,0))),"")</x:f>
      </x:c>
      <x:c r="F14" s="167" t="str">
        <x:f>IFERROR(IF($H14="","",INDEX($P$3:$P$202,MATCH($H14,$W$3:$W$202,0))),"")</x:f>
      </x:c>
      <x:c r="G14" s="39" t="str">
        <x:f>IFERROR(IF($H14="","",INDEX($X$3:$X$202,MATCH($H14,$W$3:$W$202,0))),"")</x:f>
      </x:c>
      <x:c r="H14" t="str">
        <x:f>IFERROR(IF(ROW()-2&lt;=CAI_DAT!$B$10,ROW()-2,""),"")</x:f>
      </x:c>
      <x:c r="J14" t="str">
        <x:f>IF(LENH_GOC!A15="","",15)</x:f>
      </x:c>
      <x:c r="K14" t="str">
        <x:f>IF(LENH_GOC!A15="","",LENH_GOC!A15)</x:f>
      </x:c>
      <x:c r="L14" t="str">
        <x:f>IF($K14="","",IFERROR(TRIM(LENH_GOC!C15),""))</x:f>
      </x:c>
      <x:c r="M14" t="str">
        <x:f>IF($K14="","",IFERROR(UPPER(TRIM(LENH_GOC!Y15)),""))</x:f>
      </x:c>
      <x:c r="N14" s="249" t="str">
        <x:f>IFERROR(IF($K14="","",IF(LENH_GOC!G15="","",IF(ISNUMBER(LENH_GOC!G15),LENH_GOC!G15,DATE(VALUE(MID(LENH_GOC!G15,7,4)),VALUE(MID(LENH_GOC!G15,4,2)),VALUE(LEFT(LENH_GOC!G15,2)))+TIME(VALUE(MID(LENH_GOC!G15,12,2)),VALUE(MID(LENH_GOC!G15,15,2)),VALUE(MID(LENH_GOC!G15,18,2)))))), "")</x:f>
      </x:c>
      <x:c r="O14" t="str">
        <x:f>IF($K14="","",IF(LENH_GOC!E15="","",LENH_GOC!E15))</x:f>
      </x:c>
      <x:c r="P14" t="str">
        <x:f>IF($K14="","",IF(LENH_GOC!F15="","",LENH_GOC!F15))</x:f>
      </x:c>
      <x:c r="Q14" t="str">
        <x:f>IFERROR(IF($K14="","",IF(LENH_GOC!P15="","",IFERROR(VALUE(LENH_GOC!P15),IF(OR(LENH_GOC!P15=TRUE,UPPER(TRIM(LENH_GOC!P15))="TRUE"),1,0)))),"")</x:f>
      </x:c>
      <x:c r="R14" t="str">
        <x:f>IF($K14="","",IF(LENH_GOC!Q15="","",LENH_GOC!Q15))</x:f>
      </x:c>
      <x:c r="S14" s="249" t="str">
        <x:f>IF($K14="","",IF(LENH_GOC!R15="","",LENH_GOC!R15))</x:f>
      </x:c>
      <x:c r="T14" t="n">
        <x:f>IFERROR(IF($K14="",0,IF(AND(ISNUMBER($N14),INT($N14)=CAI_DAT!$B$4,LEFT(UPPER(TRIM($L14)),2)=LEFT(UPPER(TRIM(CAI_DAT!$B$5)),2),$Q14=1,OR(AND($M14="SO",ISNUMBER($P14),$P14&gt;0),AND($M14="MO",ISNUMBER($O14),$O14&gt;0))),1,0)),0)</x:f>
        <x:v>0</x:v>
      </x:c>
      <x:c r="U14" t="str">
        <x:f>IFERROR(IF($T14=0,"",IF($M14="SO",$P14,IF(AND($M14="MO",OR($R14=TRUE,$R14="TRUE"),ISNUMBER($P14),$P14&gt;0),$P14,$O14))),"")</x:f>
      </x:c>
      <x:c r="V14" t="str">
        <x:f>IFERROR(IF($T14=0,"",MOD($N14,1)*86400),"")</x:f>
      </x:c>
      <x:c r="W14" t="str">
        <x:f>IFERROR(IF($T14=0,"",COUNTIFS($T$3:$T$202,1,$V$3:$V$202,"&lt;"&amp;$V14)+COUNTIFS($T$3:$T14,1,$V$3:$V14,$V14)),"")</x:f>
      </x:c>
      <x:c r="X14" t="str">
        <x:f>IFERROR(IF($T14=0,"",IF($M14="SO","SO: dùng CS hoàn thành",IF(AND($M14="MO",OR($R14=TRUE,$R14="TRUE"),ISNUMBER($P14),$P14&gt;0),"MO dừng sớm: dùng CS hoàn thành","MO: dùng CS ra lệnh"))),"")</x:f>
      </x:c>
    </x:row>
    <x:row r="15">
      <x:c r="A15" s="38" t="n">
        <x:f>ROW()-2</x:f>
        <x:v>13</x:v>
      </x:c>
      <x:c r="B15" s="142" t="str">
        <x:f>IFERROR(IF($H15="","",INDEX($L$3:$L$202,MATCH($H15,$W$3:$W$202,0))),"")</x:f>
      </x:c>
      <x:c r="C15" s="157" t="str">
        <x:f>IFERROR(IF($H15="","",INDEX($N$3:$N$202,MATCH($H15,$W$3:$W$202,0))),"")</x:f>
      </x:c>
      <x:c r="D15" s="167" t="str">
        <x:f>IFERROR(IF($H15="","",INDEX($U$3:$U$202,MATCH($H15,$W$3:$W$202,0))),"")</x:f>
      </x:c>
      <x:c r="E15" s="167" t="str">
        <x:f>IFERROR(IF($H15="","",INDEX(LENH_GOC!$H$4:$H$203,MATCH(INDEX($K$3:$K$202,MATCH($H15,$W$3:$W$202,0)),LENH_GOC!$A$4:$A$203,0))),"")</x:f>
      </x:c>
      <x:c r="F15" s="167" t="str">
        <x:f>IFERROR(IF($H15="","",INDEX($P$3:$P$202,MATCH($H15,$W$3:$W$202,0))),"")</x:f>
      </x:c>
      <x:c r="G15" s="39" t="str">
        <x:f>IFERROR(IF($H15="","",INDEX($X$3:$X$202,MATCH($H15,$W$3:$W$202,0))),"")</x:f>
      </x:c>
      <x:c r="H15" t="str">
        <x:f>IFERROR(IF(ROW()-2&lt;=CAI_DAT!$B$10,ROW()-2,""),"")</x:f>
      </x:c>
      <x:c r="J15" t="str">
        <x:f>IF(LENH_GOC!A16="","",16)</x:f>
      </x:c>
      <x:c r="K15" t="str">
        <x:f>IF(LENH_GOC!A16="","",LENH_GOC!A16)</x:f>
      </x:c>
      <x:c r="L15" t="str">
        <x:f>IF($K15="","",IFERROR(TRIM(LENH_GOC!C16),""))</x:f>
      </x:c>
      <x:c r="M15" t="str">
        <x:f>IF($K15="","",IFERROR(UPPER(TRIM(LENH_GOC!Y16)),""))</x:f>
      </x:c>
      <x:c r="N15" s="249" t="str">
        <x:f>IFERROR(IF($K15="","",IF(LENH_GOC!G16="","",IF(ISNUMBER(LENH_GOC!G16),LENH_GOC!G16,DATE(VALUE(MID(LENH_GOC!G16,7,4)),VALUE(MID(LENH_GOC!G16,4,2)),VALUE(LEFT(LENH_GOC!G16,2)))+TIME(VALUE(MID(LENH_GOC!G16,12,2)),VALUE(MID(LENH_GOC!G16,15,2)),VALUE(MID(LENH_GOC!G16,18,2)))))), "")</x:f>
      </x:c>
      <x:c r="O15" t="str">
        <x:f>IF($K15="","",IF(LENH_GOC!E16="","",LENH_GOC!E16))</x:f>
      </x:c>
      <x:c r="P15" t="str">
        <x:f>IF($K15="","",IF(LENH_GOC!F16="","",LENH_GOC!F16))</x:f>
      </x:c>
      <x:c r="Q15" t="str">
        <x:f>IFERROR(IF($K15="","",IF(LENH_GOC!P16="","",IFERROR(VALUE(LENH_GOC!P16),IF(OR(LENH_GOC!P16=TRUE,UPPER(TRIM(LENH_GOC!P16))="TRUE"),1,0)))),"")</x:f>
      </x:c>
      <x:c r="R15" t="str">
        <x:f>IF($K15="","",IF(LENH_GOC!Q16="","",LENH_GOC!Q16))</x:f>
      </x:c>
      <x:c r="S15" s="249" t="str">
        <x:f>IF($K15="","",IF(LENH_GOC!R16="","",LENH_GOC!R16))</x:f>
      </x:c>
      <x:c r="T15" t="n">
        <x:f>IFERROR(IF($K15="",0,IF(AND(ISNUMBER($N15),INT($N15)=CAI_DAT!$B$4,LEFT(UPPER(TRIM($L15)),2)=LEFT(UPPER(TRIM(CAI_DAT!$B$5)),2),$Q15=1,OR(AND($M15="SO",ISNUMBER($P15),$P15&gt;0),AND($M15="MO",ISNUMBER($O15),$O15&gt;0))),1,0)),0)</x:f>
        <x:v>0</x:v>
      </x:c>
      <x:c r="U15" t="str">
        <x:f>IFERROR(IF($T15=0,"",IF($M15="SO",$P15,IF(AND($M15="MO",OR($R15=TRUE,$R15="TRUE"),ISNUMBER($P15),$P15&gt;0),$P15,$O15))),"")</x:f>
      </x:c>
      <x:c r="V15" t="str">
        <x:f>IFERROR(IF($T15=0,"",MOD($N15,1)*86400),"")</x:f>
      </x:c>
      <x:c r="W15" t="str">
        <x:f>IFERROR(IF($T15=0,"",COUNTIFS($T$3:$T$202,1,$V$3:$V$202,"&lt;"&amp;$V15)+COUNTIFS($T$3:$T15,1,$V$3:$V15,$V15)),"")</x:f>
      </x:c>
      <x:c r="X15" t="str">
        <x:f>IFERROR(IF($T15=0,"",IF($M15="SO","SO: dùng CS hoàn thành",IF(AND($M15="MO",OR($R15=TRUE,$R15="TRUE"),ISNUMBER($P15),$P15&gt;0),"MO dừng sớm: dùng CS hoàn thành","MO: dùng CS ra lệnh"))),"")</x:f>
      </x:c>
    </x:row>
    <x:row r="16">
      <x:c r="A16" s="38" t="n">
        <x:f>ROW()-2</x:f>
        <x:v>14</x:v>
      </x:c>
      <x:c r="B16" s="142" t="str">
        <x:f>IFERROR(IF($H16="","",INDEX($L$3:$L$202,MATCH($H16,$W$3:$W$202,0))),"")</x:f>
      </x:c>
      <x:c r="C16" s="157" t="str">
        <x:f>IFERROR(IF($H16="","",INDEX($N$3:$N$202,MATCH($H16,$W$3:$W$202,0))),"")</x:f>
      </x:c>
      <x:c r="D16" s="167" t="str">
        <x:f>IFERROR(IF($H16="","",INDEX($U$3:$U$202,MATCH($H16,$W$3:$W$202,0))),"")</x:f>
      </x:c>
      <x:c r="E16" s="167" t="str">
        <x:f>IFERROR(IF($H16="","",INDEX(LENH_GOC!$H$4:$H$203,MATCH(INDEX($K$3:$K$202,MATCH($H16,$W$3:$W$202,0)),LENH_GOC!$A$4:$A$203,0))),"")</x:f>
      </x:c>
      <x:c r="F16" s="167" t="str">
        <x:f>IFERROR(IF($H16="","",INDEX($P$3:$P$202,MATCH($H16,$W$3:$W$202,0))),"")</x:f>
      </x:c>
      <x:c r="G16" s="39" t="str">
        <x:f>IFERROR(IF($H16="","",INDEX($X$3:$X$202,MATCH($H16,$W$3:$W$202,0))),"")</x:f>
      </x:c>
      <x:c r="H16" t="str">
        <x:f>IFERROR(IF(ROW()-2&lt;=CAI_DAT!$B$10,ROW()-2,""),"")</x:f>
      </x:c>
      <x:c r="J16" t="str">
        <x:f>IF(LENH_GOC!A17="","",17)</x:f>
      </x:c>
      <x:c r="K16" t="str">
        <x:f>IF(LENH_GOC!A17="","",LENH_GOC!A17)</x:f>
      </x:c>
      <x:c r="L16" t="str">
        <x:f>IF($K16="","",IFERROR(TRIM(LENH_GOC!C17),""))</x:f>
      </x:c>
      <x:c r="M16" t="str">
        <x:f>IF($K16="","",IFERROR(UPPER(TRIM(LENH_GOC!Y17)),""))</x:f>
      </x:c>
      <x:c r="N16" s="249" t="str">
        <x:f>IFERROR(IF($K16="","",IF(LENH_GOC!G17="","",IF(ISNUMBER(LENH_GOC!G17),LENH_GOC!G17,DATE(VALUE(MID(LENH_GOC!G17,7,4)),VALUE(MID(LENH_GOC!G17,4,2)),VALUE(LEFT(LENH_GOC!G17,2)))+TIME(VALUE(MID(LENH_GOC!G17,12,2)),VALUE(MID(LENH_GOC!G17,15,2)),VALUE(MID(LENH_GOC!G17,18,2)))))), "")</x:f>
      </x:c>
      <x:c r="O16" t="str">
        <x:f>IF($K16="","",IF(LENH_GOC!E17="","",LENH_GOC!E17))</x:f>
      </x:c>
      <x:c r="P16" t="str">
        <x:f>IF($K16="","",IF(LENH_GOC!F17="","",LENH_GOC!F17))</x:f>
      </x:c>
      <x:c r="Q16" t="str">
        <x:f>IFERROR(IF($K16="","",IF(LENH_GOC!P17="","",IFERROR(VALUE(LENH_GOC!P17),IF(OR(LENH_GOC!P17=TRUE,UPPER(TRIM(LENH_GOC!P17))="TRUE"),1,0)))),"")</x:f>
      </x:c>
      <x:c r="R16" t="str">
        <x:f>IF($K16="","",IF(LENH_GOC!Q17="","",LENH_GOC!Q17))</x:f>
      </x:c>
      <x:c r="S16" s="249" t="str">
        <x:f>IF($K16="","",IF(LENH_GOC!R17="","",LENH_GOC!R17))</x:f>
      </x:c>
      <x:c r="T16" t="n">
        <x:f>IFERROR(IF($K16="",0,IF(AND(ISNUMBER($N16),INT($N16)=CAI_DAT!$B$4,LEFT(UPPER(TRIM($L16)),2)=LEFT(UPPER(TRIM(CAI_DAT!$B$5)),2),$Q16=1,OR(AND($M16="SO",ISNUMBER($P16),$P16&gt;0),AND($M16="MO",ISNUMBER($O16),$O16&gt;0))),1,0)),0)</x:f>
        <x:v>0</x:v>
      </x:c>
      <x:c r="U16" t="str">
        <x:f>IFERROR(IF($T16=0,"",IF($M16="SO",$P16,IF(AND($M16="MO",OR($R16=TRUE,$R16="TRUE"),ISNUMBER($P16),$P16&gt;0),$P16,$O16))),"")</x:f>
      </x:c>
      <x:c r="V16" t="str">
        <x:f>IFERROR(IF($T16=0,"",MOD($N16,1)*86400),"")</x:f>
      </x:c>
      <x:c r="W16" t="str">
        <x:f>IFERROR(IF($T16=0,"",COUNTIFS($T$3:$T$202,1,$V$3:$V$202,"&lt;"&amp;$V16)+COUNTIFS($T$3:$T16,1,$V$3:$V16,$V16)),"")</x:f>
      </x:c>
      <x:c r="X16" t="str">
        <x:f>IFERROR(IF($T16=0,"",IF($M16="SO","SO: dùng CS hoàn thành",IF(AND($M16="MO",OR($R16=TRUE,$R16="TRUE"),ISNUMBER($P16),$P16&gt;0),"MO dừng sớm: dùng CS hoàn thành","MO: dùng CS ra lệnh"))),"")</x:f>
      </x:c>
    </x:row>
    <x:row r="17">
      <x:c r="A17" s="38" t="n">
        <x:f>ROW()-2</x:f>
        <x:v>15</x:v>
      </x:c>
      <x:c r="B17" s="142" t="str">
        <x:f>IFERROR(IF($H17="","",INDEX($L$3:$L$202,MATCH($H17,$W$3:$W$202,0))),"")</x:f>
      </x:c>
      <x:c r="C17" s="157" t="str">
        <x:f>IFERROR(IF($H17="","",INDEX($N$3:$N$202,MATCH($H17,$W$3:$W$202,0))),"")</x:f>
      </x:c>
      <x:c r="D17" s="167" t="str">
        <x:f>IFERROR(IF($H17="","",INDEX($U$3:$U$202,MATCH($H17,$W$3:$W$202,0))),"")</x:f>
      </x:c>
      <x:c r="E17" s="167" t="str">
        <x:f>IFERROR(IF($H17="","",INDEX(LENH_GOC!$H$4:$H$203,MATCH(INDEX($K$3:$K$202,MATCH($H17,$W$3:$W$202,0)),LENH_GOC!$A$4:$A$203,0))),"")</x:f>
      </x:c>
      <x:c r="F17" s="167" t="str">
        <x:f>IFERROR(IF($H17="","",INDEX($P$3:$P$202,MATCH($H17,$W$3:$W$202,0))),"")</x:f>
      </x:c>
      <x:c r="G17" s="39" t="str">
        <x:f>IFERROR(IF($H17="","",INDEX($X$3:$X$202,MATCH($H17,$W$3:$W$202,0))),"")</x:f>
      </x:c>
      <x:c r="H17" t="str">
        <x:f>IFERROR(IF(ROW()-2&lt;=CAI_DAT!$B$10,ROW()-2,""),"")</x:f>
      </x:c>
      <x:c r="J17" t="str">
        <x:f>IF(LENH_GOC!A18="","",18)</x:f>
      </x:c>
      <x:c r="K17" t="str">
        <x:f>IF(LENH_GOC!A18="","",LENH_GOC!A18)</x:f>
      </x:c>
      <x:c r="L17" t="str">
        <x:f>IF($K17="","",IFERROR(TRIM(LENH_GOC!C18),""))</x:f>
      </x:c>
      <x:c r="M17" t="str">
        <x:f>IF($K17="","",IFERROR(UPPER(TRIM(LENH_GOC!Y18)),""))</x:f>
      </x:c>
      <x:c r="N17" s="249" t="str">
        <x:f>IFERROR(IF($K17="","",IF(LENH_GOC!G18="","",IF(ISNUMBER(LENH_GOC!G18),LENH_GOC!G18,DATE(VALUE(MID(LENH_GOC!G18,7,4)),VALUE(MID(LENH_GOC!G18,4,2)),VALUE(LEFT(LENH_GOC!G18,2)))+TIME(VALUE(MID(LENH_GOC!G18,12,2)),VALUE(MID(LENH_GOC!G18,15,2)),VALUE(MID(LENH_GOC!G18,18,2)))))), "")</x:f>
      </x:c>
      <x:c r="O17" t="str">
        <x:f>IF($K17="","",IF(LENH_GOC!E18="","",LENH_GOC!E18))</x:f>
      </x:c>
      <x:c r="P17" t="str">
        <x:f>IF($K17="","",IF(LENH_GOC!F18="","",LENH_GOC!F18))</x:f>
      </x:c>
      <x:c r="Q17" t="str">
        <x:f>IFERROR(IF($K17="","",IF(LENH_GOC!P18="","",IFERROR(VALUE(LENH_GOC!P18),IF(OR(LENH_GOC!P18=TRUE,UPPER(TRIM(LENH_GOC!P18))="TRUE"),1,0)))),"")</x:f>
      </x:c>
      <x:c r="R17" t="str">
        <x:f>IF($K17="","",IF(LENH_GOC!Q18="","",LENH_GOC!Q18))</x:f>
      </x:c>
      <x:c r="S17" s="249" t="str">
        <x:f>IF($K17="","",IF(LENH_GOC!R18="","",LENH_GOC!R18))</x:f>
      </x:c>
      <x:c r="T17" t="n">
        <x:f>IFERROR(IF($K17="",0,IF(AND(ISNUMBER($N17),INT($N17)=CAI_DAT!$B$4,LEFT(UPPER(TRIM($L17)),2)=LEFT(UPPER(TRIM(CAI_DAT!$B$5)),2),$Q17=1,OR(AND($M17="SO",ISNUMBER($P17),$P17&gt;0),AND($M17="MO",ISNUMBER($O17),$O17&gt;0))),1,0)),0)</x:f>
        <x:v>0</x:v>
      </x:c>
      <x:c r="U17" t="str">
        <x:f>IFERROR(IF($T17=0,"",IF($M17="SO",$P17,IF(AND($M17="MO",OR($R17=TRUE,$R17="TRUE"),ISNUMBER($P17),$P17&gt;0),$P17,$O17))),"")</x:f>
      </x:c>
      <x:c r="V17" t="str">
        <x:f>IFERROR(IF($T17=0,"",MOD($N17,1)*86400),"")</x:f>
      </x:c>
      <x:c r="W17" t="str">
        <x:f>IFERROR(IF($T17=0,"",COUNTIFS($T$3:$T$202,1,$V$3:$V$202,"&lt;"&amp;$V17)+COUNTIFS($T$3:$T17,1,$V$3:$V17,$V17)),"")</x:f>
      </x:c>
      <x:c r="X17" t="str">
        <x:f>IFERROR(IF($T17=0,"",IF($M17="SO","SO: dùng CS hoàn thành",IF(AND($M17="MO",OR($R17=TRUE,$R17="TRUE"),ISNUMBER($P17),$P17&gt;0),"MO dừng sớm: dùng CS hoàn thành","MO: dùng CS ra lệnh"))),"")</x:f>
      </x:c>
    </x:row>
    <x:row r="18">
      <x:c r="A18" s="38" t="n">
        <x:f>ROW()-2</x:f>
        <x:v>16</x:v>
      </x:c>
      <x:c r="B18" s="142" t="str">
        <x:f>IFERROR(IF($H18="","",INDEX($L$3:$L$202,MATCH($H18,$W$3:$W$202,0))),"")</x:f>
      </x:c>
      <x:c r="C18" s="157" t="str">
        <x:f>IFERROR(IF($H18="","",INDEX($N$3:$N$202,MATCH($H18,$W$3:$W$202,0))),"")</x:f>
      </x:c>
      <x:c r="D18" s="167" t="str">
        <x:f>IFERROR(IF($H18="","",INDEX($U$3:$U$202,MATCH($H18,$W$3:$W$202,0))),"")</x:f>
      </x:c>
      <x:c r="E18" s="167" t="str">
        <x:f>IFERROR(IF($H18="","",INDEX(LENH_GOC!$H$4:$H$203,MATCH(INDEX($K$3:$K$202,MATCH($H18,$W$3:$W$202,0)),LENH_GOC!$A$4:$A$203,0))),"")</x:f>
      </x:c>
      <x:c r="F18" s="167" t="str">
        <x:f>IFERROR(IF($H18="","",INDEX($P$3:$P$202,MATCH($H18,$W$3:$W$202,0))),"")</x:f>
      </x:c>
      <x:c r="G18" s="39" t="str">
        <x:f>IFERROR(IF($H18="","",INDEX($X$3:$X$202,MATCH($H18,$W$3:$W$202,0))),"")</x:f>
      </x:c>
      <x:c r="H18" t="str">
        <x:f>IFERROR(IF(ROW()-2&lt;=CAI_DAT!$B$10,ROW()-2,""),"")</x:f>
      </x:c>
      <x:c r="J18" t="str">
        <x:f>IF(LENH_GOC!A19="","",19)</x:f>
      </x:c>
      <x:c r="K18" t="str">
        <x:f>IF(LENH_GOC!A19="","",LENH_GOC!A19)</x:f>
      </x:c>
      <x:c r="L18" t="str">
        <x:f>IF($K18="","",IFERROR(TRIM(LENH_GOC!C19),""))</x:f>
      </x:c>
      <x:c r="M18" t="str">
        <x:f>IF($K18="","",IFERROR(UPPER(TRIM(LENH_GOC!Y19)),""))</x:f>
      </x:c>
      <x:c r="N18" s="249" t="str">
        <x:f>IFERROR(IF($K18="","",IF(LENH_GOC!G19="","",IF(ISNUMBER(LENH_GOC!G19),LENH_GOC!G19,DATE(VALUE(MID(LENH_GOC!G19,7,4)),VALUE(MID(LENH_GOC!G19,4,2)),VALUE(LEFT(LENH_GOC!G19,2)))+TIME(VALUE(MID(LENH_GOC!G19,12,2)),VALUE(MID(LENH_GOC!G19,15,2)),VALUE(MID(LENH_GOC!G19,18,2)))))), "")</x:f>
      </x:c>
      <x:c r="O18" t="str">
        <x:f>IF($K18="","",IF(LENH_GOC!E19="","",LENH_GOC!E19))</x:f>
      </x:c>
      <x:c r="P18" t="str">
        <x:f>IF($K18="","",IF(LENH_GOC!F19="","",LENH_GOC!F19))</x:f>
      </x:c>
      <x:c r="Q18" t="str">
        <x:f>IFERROR(IF($K18="","",IF(LENH_GOC!P19="","",IFERROR(VALUE(LENH_GOC!P19),IF(OR(LENH_GOC!P19=TRUE,UPPER(TRIM(LENH_GOC!P19))="TRUE"),1,0)))),"")</x:f>
      </x:c>
      <x:c r="R18" t="str">
        <x:f>IF($K18="","",IF(LENH_GOC!Q19="","",LENH_GOC!Q19))</x:f>
      </x:c>
      <x:c r="S18" s="249" t="str">
        <x:f>IF($K18="","",IF(LENH_GOC!R19="","",LENH_GOC!R19))</x:f>
      </x:c>
      <x:c r="T18" t="n">
        <x:f>IFERROR(IF($K18="",0,IF(AND(ISNUMBER($N18),INT($N18)=CAI_DAT!$B$4,LEFT(UPPER(TRIM($L18)),2)=LEFT(UPPER(TRIM(CAI_DAT!$B$5)),2),$Q18=1,OR(AND($M18="SO",ISNUMBER($P18),$P18&gt;0),AND($M18="MO",ISNUMBER($O18),$O18&gt;0))),1,0)),0)</x:f>
        <x:v>0</x:v>
      </x:c>
      <x:c r="U18" t="str">
        <x:f>IFERROR(IF($T18=0,"",IF($M18="SO",$P18,IF(AND($M18="MO",OR($R18=TRUE,$R18="TRUE"),ISNUMBER($P18),$P18&gt;0),$P18,$O18))),"")</x:f>
      </x:c>
      <x:c r="V18" t="str">
        <x:f>IFERROR(IF($T18=0,"",MOD($N18,1)*86400),"")</x:f>
      </x:c>
      <x:c r="W18" t="str">
        <x:f>IFERROR(IF($T18=0,"",COUNTIFS($T$3:$T$202,1,$V$3:$V$202,"&lt;"&amp;$V18)+COUNTIFS($T$3:$T18,1,$V$3:$V18,$V18)),"")</x:f>
      </x:c>
      <x:c r="X18" t="str">
        <x:f>IFERROR(IF($T18=0,"",IF($M18="SO","SO: dùng CS hoàn thành",IF(AND($M18="MO",OR($R18=TRUE,$R18="TRUE"),ISNUMBER($P18),$P18&gt;0),"MO dừng sớm: dùng CS hoàn thành","MO: dùng CS ra lệnh"))),"")</x:f>
      </x:c>
    </x:row>
    <x:row r="19">
      <x:c r="A19" s="38" t="n">
        <x:f>ROW()-2</x:f>
        <x:v>17</x:v>
      </x:c>
      <x:c r="B19" s="142" t="str">
        <x:f>IFERROR(IF($H19="","",INDEX($L$3:$L$202,MATCH($H19,$W$3:$W$202,0))),"")</x:f>
      </x:c>
      <x:c r="C19" s="157" t="str">
        <x:f>IFERROR(IF($H19="","",INDEX($N$3:$N$202,MATCH($H19,$W$3:$W$202,0))),"")</x:f>
      </x:c>
      <x:c r="D19" s="167" t="str">
        <x:f>IFERROR(IF($H19="","",INDEX($U$3:$U$202,MATCH($H19,$W$3:$W$202,0))),"")</x:f>
      </x:c>
      <x:c r="E19" s="167" t="str">
        <x:f>IFERROR(IF($H19="","",INDEX(LENH_GOC!$H$4:$H$203,MATCH(INDEX($K$3:$K$202,MATCH($H19,$W$3:$W$202,0)),LENH_GOC!$A$4:$A$203,0))),"")</x:f>
      </x:c>
      <x:c r="F19" s="167" t="str">
        <x:f>IFERROR(IF($H19="","",INDEX($P$3:$P$202,MATCH($H19,$W$3:$W$202,0))),"")</x:f>
      </x:c>
      <x:c r="G19" s="39" t="str">
        <x:f>IFERROR(IF($H19="","",INDEX($X$3:$X$202,MATCH($H19,$W$3:$W$202,0))),"")</x:f>
      </x:c>
      <x:c r="H19" t="str">
        <x:f>IFERROR(IF(ROW()-2&lt;=CAI_DAT!$B$10,ROW()-2,""),"")</x:f>
      </x:c>
      <x:c r="J19" t="str">
        <x:f>IF(LENH_GOC!A20="","",20)</x:f>
      </x:c>
      <x:c r="K19" t="str">
        <x:f>IF(LENH_GOC!A20="","",LENH_GOC!A20)</x:f>
      </x:c>
      <x:c r="L19" t="str">
        <x:f>IF($K19="","",IFERROR(TRIM(LENH_GOC!C20),""))</x:f>
      </x:c>
      <x:c r="M19" t="str">
        <x:f>IF($K19="","",IFERROR(UPPER(TRIM(LENH_GOC!Y20)),""))</x:f>
      </x:c>
      <x:c r="N19" s="249" t="str">
        <x:f>IFERROR(IF($K19="","",IF(LENH_GOC!G20="","",IF(ISNUMBER(LENH_GOC!G20),LENH_GOC!G20,DATE(VALUE(MID(LENH_GOC!G20,7,4)),VALUE(MID(LENH_GOC!G20,4,2)),VALUE(LEFT(LENH_GOC!G20,2)))+TIME(VALUE(MID(LENH_GOC!G20,12,2)),VALUE(MID(LENH_GOC!G20,15,2)),VALUE(MID(LENH_GOC!G20,18,2)))))), "")</x:f>
      </x:c>
      <x:c r="O19" t="str">
        <x:f>IF($K19="","",IF(LENH_GOC!E20="","",LENH_GOC!E20))</x:f>
      </x:c>
      <x:c r="P19" t="str">
        <x:f>IF($K19="","",IF(LENH_GOC!F20="","",LENH_GOC!F20))</x:f>
      </x:c>
      <x:c r="Q19" t="str">
        <x:f>IFERROR(IF($K19="","",IF(LENH_GOC!P20="","",IFERROR(VALUE(LENH_GOC!P20),IF(OR(LENH_GOC!P20=TRUE,UPPER(TRIM(LENH_GOC!P20))="TRUE"),1,0)))),"")</x:f>
      </x:c>
      <x:c r="R19" t="str">
        <x:f>IF($K19="","",IF(LENH_GOC!Q20="","",LENH_GOC!Q20))</x:f>
      </x:c>
      <x:c r="S19" s="249" t="str">
        <x:f>IF($K19="","",IF(LENH_GOC!R20="","",LENH_GOC!R20))</x:f>
      </x:c>
      <x:c r="T19" t="n">
        <x:f>IFERROR(IF($K19="",0,IF(AND(ISNUMBER($N19),INT($N19)=CAI_DAT!$B$4,LEFT(UPPER(TRIM($L19)),2)=LEFT(UPPER(TRIM(CAI_DAT!$B$5)),2),$Q19=1,OR(AND($M19="SO",ISNUMBER($P19),$P19&gt;0),AND($M19="MO",ISNUMBER($O19),$O19&gt;0))),1,0)),0)</x:f>
        <x:v>0</x:v>
      </x:c>
      <x:c r="U19" t="str">
        <x:f>IFERROR(IF($T19=0,"",IF($M19="SO",$P19,IF(AND($M19="MO",OR($R19=TRUE,$R19="TRUE"),ISNUMBER($P19),$P19&gt;0),$P19,$O19))),"")</x:f>
      </x:c>
      <x:c r="V19" t="str">
        <x:f>IFERROR(IF($T19=0,"",MOD($N19,1)*86400),"")</x:f>
      </x:c>
      <x:c r="W19" t="str">
        <x:f>IFERROR(IF($T19=0,"",COUNTIFS($T$3:$T$202,1,$V$3:$V$202,"&lt;"&amp;$V19)+COUNTIFS($T$3:$T19,1,$V$3:$V19,$V19)),"")</x:f>
      </x:c>
      <x:c r="X19" t="str">
        <x:f>IFERROR(IF($T19=0,"",IF($M19="SO","SO: dùng CS hoàn thành",IF(AND($M19="MO",OR($R19=TRUE,$R19="TRUE"),ISNUMBER($P19),$P19&gt;0),"MO dừng sớm: dùng CS hoàn thành","MO: dùng CS ra lệnh"))),"")</x:f>
      </x:c>
    </x:row>
    <x:row r="20">
      <x:c r="A20" s="38" t="n">
        <x:f>ROW()-2</x:f>
        <x:v>18</x:v>
      </x:c>
      <x:c r="B20" s="142" t="str">
        <x:f>IFERROR(IF($H20="","",INDEX($L$3:$L$202,MATCH($H20,$W$3:$W$202,0))),"")</x:f>
      </x:c>
      <x:c r="C20" s="157" t="str">
        <x:f>IFERROR(IF($H20="","",INDEX($N$3:$N$202,MATCH($H20,$W$3:$W$202,0))),"")</x:f>
      </x:c>
      <x:c r="D20" s="167" t="str">
        <x:f>IFERROR(IF($H20="","",INDEX($U$3:$U$202,MATCH($H20,$W$3:$W$202,0))),"")</x:f>
      </x:c>
      <x:c r="E20" s="167" t="str">
        <x:f>IFERROR(IF($H20="","",INDEX(LENH_GOC!$H$4:$H$203,MATCH(INDEX($K$3:$K$202,MATCH($H20,$W$3:$W$202,0)),LENH_GOC!$A$4:$A$203,0))),"")</x:f>
      </x:c>
      <x:c r="F20" s="167" t="str">
        <x:f>IFERROR(IF($H20="","",INDEX($P$3:$P$202,MATCH($H20,$W$3:$W$202,0))),"")</x:f>
      </x:c>
      <x:c r="G20" s="39" t="str">
        <x:f>IFERROR(IF($H20="","",INDEX($X$3:$X$202,MATCH($H20,$W$3:$W$202,0))),"")</x:f>
      </x:c>
      <x:c r="H20" t="str">
        <x:f>IFERROR(IF(ROW()-2&lt;=CAI_DAT!$B$10,ROW()-2,""),"")</x:f>
      </x:c>
      <x:c r="J20" t="str">
        <x:f>IF(LENH_GOC!A21="","",21)</x:f>
      </x:c>
      <x:c r="K20" t="str">
        <x:f>IF(LENH_GOC!A21="","",LENH_GOC!A21)</x:f>
      </x:c>
      <x:c r="L20" t="str">
        <x:f>IF($K20="","",IFERROR(TRIM(LENH_GOC!C21),""))</x:f>
      </x:c>
      <x:c r="M20" t="str">
        <x:f>IF($K20="","",IFERROR(UPPER(TRIM(LENH_GOC!Y21)),""))</x:f>
      </x:c>
      <x:c r="N20" s="249" t="str">
        <x:f>IFERROR(IF($K20="","",IF(LENH_GOC!G21="","",IF(ISNUMBER(LENH_GOC!G21),LENH_GOC!G21,DATE(VALUE(MID(LENH_GOC!G21,7,4)),VALUE(MID(LENH_GOC!G21,4,2)),VALUE(LEFT(LENH_GOC!G21,2)))+TIME(VALUE(MID(LENH_GOC!G21,12,2)),VALUE(MID(LENH_GOC!G21,15,2)),VALUE(MID(LENH_GOC!G21,18,2)))))), "")</x:f>
      </x:c>
      <x:c r="O20" t="str">
        <x:f>IF($K20="","",IF(LENH_GOC!E21="","",LENH_GOC!E21))</x:f>
      </x:c>
      <x:c r="P20" t="str">
        <x:f>IF($K20="","",IF(LENH_GOC!F21="","",LENH_GOC!F21))</x:f>
      </x:c>
      <x:c r="Q20" t="str">
        <x:f>IFERROR(IF($K20="","",IF(LENH_GOC!P21="","",IFERROR(VALUE(LENH_GOC!P21),IF(OR(LENH_GOC!P21=TRUE,UPPER(TRIM(LENH_GOC!P21))="TRUE"),1,0)))),"")</x:f>
      </x:c>
      <x:c r="R20" t="str">
        <x:f>IF($K20="","",IF(LENH_GOC!Q21="","",LENH_GOC!Q21))</x:f>
      </x:c>
      <x:c r="S20" s="249" t="str">
        <x:f>IF($K20="","",IF(LENH_GOC!R21="","",LENH_GOC!R21))</x:f>
      </x:c>
      <x:c r="T20" t="n">
        <x:f>IFERROR(IF($K20="",0,IF(AND(ISNUMBER($N20),INT($N20)=CAI_DAT!$B$4,LEFT(UPPER(TRIM($L20)),2)=LEFT(UPPER(TRIM(CAI_DAT!$B$5)),2),$Q20=1,OR(AND($M20="SO",ISNUMBER($P20),$P20&gt;0),AND($M20="MO",ISNUMBER($O20),$O20&gt;0))),1,0)),0)</x:f>
        <x:v>0</x:v>
      </x:c>
      <x:c r="U20" t="str">
        <x:f>IFERROR(IF($T20=0,"",IF($M20="SO",$P20,IF(AND($M20="MO",OR($R20=TRUE,$R20="TRUE"),ISNUMBER($P20),$P20&gt;0),$P20,$O20))),"")</x:f>
      </x:c>
      <x:c r="V20" t="str">
        <x:f>IFERROR(IF($T20=0,"",MOD($N20,1)*86400),"")</x:f>
      </x:c>
      <x:c r="W20" t="str">
        <x:f>IFERROR(IF($T20=0,"",COUNTIFS($T$3:$T$202,1,$V$3:$V$202,"&lt;"&amp;$V20)+COUNTIFS($T$3:$T20,1,$V$3:$V20,$V20)),"")</x:f>
      </x:c>
      <x:c r="X20" t="str">
        <x:f>IFERROR(IF($T20=0,"",IF($M20="SO","SO: dùng CS hoàn thành",IF(AND($M20="MO",OR($R20=TRUE,$R20="TRUE"),ISNUMBER($P20),$P20&gt;0),"MO dừng sớm: dùng CS hoàn thành","MO: dùng CS ra lệnh"))),"")</x:f>
      </x:c>
    </x:row>
    <x:row r="21">
      <x:c r="A21" s="38" t="n">
        <x:f>ROW()-2</x:f>
        <x:v>19</x:v>
      </x:c>
      <x:c r="B21" s="142" t="str">
        <x:f>IFERROR(IF($H21="","",INDEX($L$3:$L$202,MATCH($H21,$W$3:$W$202,0))),"")</x:f>
      </x:c>
      <x:c r="C21" s="157" t="str">
        <x:f>IFERROR(IF($H21="","",INDEX($N$3:$N$202,MATCH($H21,$W$3:$W$202,0))),"")</x:f>
      </x:c>
      <x:c r="D21" s="167" t="str">
        <x:f>IFERROR(IF($H21="","",INDEX($U$3:$U$202,MATCH($H21,$W$3:$W$202,0))),"")</x:f>
      </x:c>
      <x:c r="E21" s="167" t="str">
        <x:f>IFERROR(IF($H21="","",INDEX(LENH_GOC!$H$4:$H$203,MATCH(INDEX($K$3:$K$202,MATCH($H21,$W$3:$W$202,0)),LENH_GOC!$A$4:$A$203,0))),"")</x:f>
      </x:c>
      <x:c r="F21" s="167" t="str">
        <x:f>IFERROR(IF($H21="","",INDEX($P$3:$P$202,MATCH($H21,$W$3:$W$202,0))),"")</x:f>
      </x:c>
      <x:c r="G21" s="39" t="str">
        <x:f>IFERROR(IF($H21="","",INDEX($X$3:$X$202,MATCH($H21,$W$3:$W$202,0))),"")</x:f>
      </x:c>
      <x:c r="H21" t="str">
        <x:f>IFERROR(IF(ROW()-2&lt;=CAI_DAT!$B$10,ROW()-2,""),"")</x:f>
      </x:c>
      <x:c r="J21" t="str">
        <x:f>IF(LENH_GOC!A22="","",22)</x:f>
      </x:c>
      <x:c r="K21" t="str">
        <x:f>IF(LENH_GOC!A22="","",LENH_GOC!A22)</x:f>
      </x:c>
      <x:c r="L21" t="str">
        <x:f>IF($K21="","",IFERROR(TRIM(LENH_GOC!C22),""))</x:f>
      </x:c>
      <x:c r="M21" t="str">
        <x:f>IF($K21="","",IFERROR(UPPER(TRIM(LENH_GOC!Y22)),""))</x:f>
      </x:c>
      <x:c r="N21" s="249" t="str">
        <x:f>IFERROR(IF($K21="","",IF(LENH_GOC!G22="","",IF(ISNUMBER(LENH_GOC!G22),LENH_GOC!G22,DATE(VALUE(MID(LENH_GOC!G22,7,4)),VALUE(MID(LENH_GOC!G22,4,2)),VALUE(LEFT(LENH_GOC!G22,2)))+TIME(VALUE(MID(LENH_GOC!G22,12,2)),VALUE(MID(LENH_GOC!G22,15,2)),VALUE(MID(LENH_GOC!G22,18,2)))))), "")</x:f>
      </x:c>
      <x:c r="O21" t="str">
        <x:f>IF($K21="","",IF(LENH_GOC!E22="","",LENH_GOC!E22))</x:f>
      </x:c>
      <x:c r="P21" t="str">
        <x:f>IF($K21="","",IF(LENH_GOC!F22="","",LENH_GOC!F22))</x:f>
      </x:c>
      <x:c r="Q21" t="str">
        <x:f>IFERROR(IF($K21="","",IF(LENH_GOC!P22="","",IFERROR(VALUE(LENH_GOC!P22),IF(OR(LENH_GOC!P22=TRUE,UPPER(TRIM(LENH_GOC!P22))="TRUE"),1,0)))),"")</x:f>
      </x:c>
      <x:c r="R21" t="str">
        <x:f>IF($K21="","",IF(LENH_GOC!Q22="","",LENH_GOC!Q22))</x:f>
      </x:c>
      <x:c r="S21" s="249" t="str">
        <x:f>IF($K21="","",IF(LENH_GOC!R22="","",LENH_GOC!R22))</x:f>
      </x:c>
      <x:c r="T21" t="n">
        <x:f>IFERROR(IF($K21="",0,IF(AND(ISNUMBER($N21),INT($N21)=CAI_DAT!$B$4,LEFT(UPPER(TRIM($L21)),2)=LEFT(UPPER(TRIM(CAI_DAT!$B$5)),2),$Q21=1,OR(AND($M21="SO",ISNUMBER($P21),$P21&gt;0),AND($M21="MO",ISNUMBER($O21),$O21&gt;0))),1,0)),0)</x:f>
        <x:v>0</x:v>
      </x:c>
      <x:c r="U21" t="str">
        <x:f>IFERROR(IF($T21=0,"",IF($M21="SO",$P21,IF(AND($M21="MO",OR($R21=TRUE,$R21="TRUE"),ISNUMBER($P21),$P21&gt;0),$P21,$O21))),"")</x:f>
      </x:c>
      <x:c r="V21" t="str">
        <x:f>IFERROR(IF($T21=0,"",MOD($N21,1)*86400),"")</x:f>
      </x:c>
      <x:c r="W21" t="str">
        <x:f>IFERROR(IF($T21=0,"",COUNTIFS($T$3:$T$202,1,$V$3:$V$202,"&lt;"&amp;$V21)+COUNTIFS($T$3:$T21,1,$V$3:$V21,$V21)),"")</x:f>
      </x:c>
      <x:c r="X21" t="str">
        <x:f>IFERROR(IF($T21=0,"",IF($M21="SO","SO: dùng CS hoàn thành",IF(AND($M21="MO",OR($R21=TRUE,$R21="TRUE"),ISNUMBER($P21),$P21&gt;0),"MO dừng sớm: dùng CS hoàn thành","MO: dùng CS ra lệnh"))),"")</x:f>
      </x:c>
    </x:row>
    <x:row r="22">
      <x:c r="A22" s="38" t="n">
        <x:f>ROW()-2</x:f>
        <x:v>20</x:v>
      </x:c>
      <x:c r="B22" s="142" t="str">
        <x:f>IFERROR(IF($H22="","",INDEX($L$3:$L$202,MATCH($H22,$W$3:$W$202,0))),"")</x:f>
      </x:c>
      <x:c r="C22" s="157" t="str">
        <x:f>IFERROR(IF($H22="","",INDEX($N$3:$N$202,MATCH($H22,$W$3:$W$202,0))),"")</x:f>
      </x:c>
      <x:c r="D22" s="167" t="str">
        <x:f>IFERROR(IF($H22="","",INDEX($U$3:$U$202,MATCH($H22,$W$3:$W$202,0))),"")</x:f>
      </x:c>
      <x:c r="E22" s="167" t="str">
        <x:f>IFERROR(IF($H22="","",INDEX(LENH_GOC!$H$4:$H$203,MATCH(INDEX($K$3:$K$202,MATCH($H22,$W$3:$W$202,0)),LENH_GOC!$A$4:$A$203,0))),"")</x:f>
      </x:c>
      <x:c r="F22" s="167" t="str">
        <x:f>IFERROR(IF($H22="","",INDEX($P$3:$P$202,MATCH($H22,$W$3:$W$202,0))),"")</x:f>
      </x:c>
      <x:c r="G22" s="39" t="str">
        <x:f>IFERROR(IF($H22="","",INDEX($X$3:$X$202,MATCH($H22,$W$3:$W$202,0))),"")</x:f>
      </x:c>
      <x:c r="H22" t="str">
        <x:f>IFERROR(IF(ROW()-2&lt;=CAI_DAT!$B$10,ROW()-2,""),"")</x:f>
      </x:c>
      <x:c r="J22" t="str">
        <x:f>IF(LENH_GOC!A23="","",23)</x:f>
      </x:c>
      <x:c r="K22" t="str">
        <x:f>IF(LENH_GOC!A23="","",LENH_GOC!A23)</x:f>
      </x:c>
      <x:c r="L22" t="str">
        <x:f>IF($K22="","",IFERROR(TRIM(LENH_GOC!C23),""))</x:f>
      </x:c>
      <x:c r="M22" t="str">
        <x:f>IF($K22="","",IFERROR(UPPER(TRIM(LENH_GOC!Y23)),""))</x:f>
      </x:c>
      <x:c r="N22" s="249" t="str">
        <x:f>IFERROR(IF($K22="","",IF(LENH_GOC!G23="","",IF(ISNUMBER(LENH_GOC!G23),LENH_GOC!G23,DATE(VALUE(MID(LENH_GOC!G23,7,4)),VALUE(MID(LENH_GOC!G23,4,2)),VALUE(LEFT(LENH_GOC!G23,2)))+TIME(VALUE(MID(LENH_GOC!G23,12,2)),VALUE(MID(LENH_GOC!G23,15,2)),VALUE(MID(LENH_GOC!G23,18,2)))))), "")</x:f>
      </x:c>
      <x:c r="O22" t="str">
        <x:f>IF($K22="","",IF(LENH_GOC!E23="","",LENH_GOC!E23))</x:f>
      </x:c>
      <x:c r="P22" t="str">
        <x:f>IF($K22="","",IF(LENH_GOC!F23="","",LENH_GOC!F23))</x:f>
      </x:c>
      <x:c r="Q22" t="str">
        <x:f>IFERROR(IF($K22="","",IF(LENH_GOC!P23="","",IFERROR(VALUE(LENH_GOC!P23),IF(OR(LENH_GOC!P23=TRUE,UPPER(TRIM(LENH_GOC!P23))="TRUE"),1,0)))),"")</x:f>
      </x:c>
      <x:c r="R22" t="str">
        <x:f>IF($K22="","",IF(LENH_GOC!Q23="","",LENH_GOC!Q23))</x:f>
      </x:c>
      <x:c r="S22" s="249" t="str">
        <x:f>IF($K22="","",IF(LENH_GOC!R23="","",LENH_GOC!R23))</x:f>
      </x:c>
      <x:c r="T22" t="n">
        <x:f>IFERROR(IF($K22="",0,IF(AND(ISNUMBER($N22),INT($N22)=CAI_DAT!$B$4,LEFT(UPPER(TRIM($L22)),2)=LEFT(UPPER(TRIM(CAI_DAT!$B$5)),2),$Q22=1,OR(AND($M22="SO",ISNUMBER($P22),$P22&gt;0),AND($M22="MO",ISNUMBER($O22),$O22&gt;0))),1,0)),0)</x:f>
        <x:v>0</x:v>
      </x:c>
      <x:c r="U22" t="str">
        <x:f>IFERROR(IF($T22=0,"",IF($M22="SO",$P22,IF(AND($M22="MO",OR($R22=TRUE,$R22="TRUE"),ISNUMBER($P22),$P22&gt;0),$P22,$O22))),"")</x:f>
      </x:c>
      <x:c r="V22" t="str">
        <x:f>IFERROR(IF($T22=0,"",MOD($N22,1)*86400),"")</x:f>
      </x:c>
      <x:c r="W22" t="str">
        <x:f>IFERROR(IF($T22=0,"",COUNTIFS($T$3:$T$202,1,$V$3:$V$202,"&lt;"&amp;$V22)+COUNTIFS($T$3:$T22,1,$V$3:$V22,$V22)),"")</x:f>
      </x:c>
      <x:c r="X22" t="str">
        <x:f>IFERROR(IF($T22=0,"",IF($M22="SO","SO: dùng CS hoàn thành",IF(AND($M22="MO",OR($R22=TRUE,$R22="TRUE"),ISNUMBER($P22),$P22&gt;0),"MO dừng sớm: dùng CS hoàn thành","MO: dùng CS ra lệnh"))),"")</x:f>
      </x:c>
    </x:row>
    <x:row r="23">
      <x:c r="A23" s="38" t="n">
        <x:f>ROW()-2</x:f>
        <x:v>21</x:v>
      </x:c>
      <x:c r="B23" s="142" t="str">
        <x:f>IFERROR(IF($H23="","",INDEX($L$3:$L$202,MATCH($H23,$W$3:$W$202,0))),"")</x:f>
      </x:c>
      <x:c r="C23" s="157" t="str">
        <x:f>IFERROR(IF($H23="","",INDEX($N$3:$N$202,MATCH($H23,$W$3:$W$202,0))),"")</x:f>
      </x:c>
      <x:c r="D23" s="167" t="str">
        <x:f>IFERROR(IF($H23="","",INDEX($U$3:$U$202,MATCH($H23,$W$3:$W$202,0))),"")</x:f>
      </x:c>
      <x:c r="E23" s="167" t="str">
        <x:f>IFERROR(IF($H23="","",INDEX(LENH_GOC!$H$4:$H$203,MATCH(INDEX($K$3:$K$202,MATCH($H23,$W$3:$W$202,0)),LENH_GOC!$A$4:$A$203,0))),"")</x:f>
      </x:c>
      <x:c r="F23" s="167" t="str">
        <x:f>IFERROR(IF($H23="","",INDEX($P$3:$P$202,MATCH($H23,$W$3:$W$202,0))),"")</x:f>
      </x:c>
      <x:c r="G23" s="39" t="str">
        <x:f>IFERROR(IF($H23="","",INDEX($X$3:$X$202,MATCH($H23,$W$3:$W$202,0))),"")</x:f>
      </x:c>
      <x:c r="H23" t="str">
        <x:f>IFERROR(IF(ROW()-2&lt;=CAI_DAT!$B$10,ROW()-2,""),"")</x:f>
      </x:c>
      <x:c r="J23" t="str">
        <x:f>IF(LENH_GOC!A24="","",24)</x:f>
      </x:c>
      <x:c r="K23" t="str">
        <x:f>IF(LENH_GOC!A24="","",LENH_GOC!A24)</x:f>
      </x:c>
      <x:c r="L23" t="str">
        <x:f>IF($K23="","",IFERROR(TRIM(LENH_GOC!C24),""))</x:f>
      </x:c>
      <x:c r="M23" t="str">
        <x:f>IF($K23="","",IFERROR(UPPER(TRIM(LENH_GOC!Y24)),""))</x:f>
      </x:c>
      <x:c r="N23" s="249" t="str">
        <x:f>IFERROR(IF($K23="","",IF(LENH_GOC!G24="","",IF(ISNUMBER(LENH_GOC!G24),LENH_GOC!G24,DATE(VALUE(MID(LENH_GOC!G24,7,4)),VALUE(MID(LENH_GOC!G24,4,2)),VALUE(LEFT(LENH_GOC!G24,2)))+TIME(VALUE(MID(LENH_GOC!G24,12,2)),VALUE(MID(LENH_GOC!G24,15,2)),VALUE(MID(LENH_GOC!G24,18,2)))))), "")</x:f>
      </x:c>
      <x:c r="O23" t="str">
        <x:f>IF($K23="","",IF(LENH_GOC!E24="","",LENH_GOC!E24))</x:f>
      </x:c>
      <x:c r="P23" t="str">
        <x:f>IF($K23="","",IF(LENH_GOC!F24="","",LENH_GOC!F24))</x:f>
      </x:c>
      <x:c r="Q23" t="str">
        <x:f>IFERROR(IF($K23="","",IF(LENH_GOC!P24="","",IFERROR(VALUE(LENH_GOC!P24),IF(OR(LENH_GOC!P24=TRUE,UPPER(TRIM(LENH_GOC!P24))="TRUE"),1,0)))),"")</x:f>
      </x:c>
      <x:c r="R23" t="str">
        <x:f>IF($K23="","",IF(LENH_GOC!Q24="","",LENH_GOC!Q24))</x:f>
      </x:c>
      <x:c r="S23" s="249" t="str">
        <x:f>IF($K23="","",IF(LENH_GOC!R24="","",LENH_GOC!R24))</x:f>
      </x:c>
      <x:c r="T23" t="n">
        <x:f>IFERROR(IF($K23="",0,IF(AND(ISNUMBER($N23),INT($N23)=CAI_DAT!$B$4,LEFT(UPPER(TRIM($L23)),2)=LEFT(UPPER(TRIM(CAI_DAT!$B$5)),2),$Q23=1,OR(AND($M23="SO",ISNUMBER($P23),$P23&gt;0),AND($M23="MO",ISNUMBER($O23),$O23&gt;0))),1,0)),0)</x:f>
        <x:v>0</x:v>
      </x:c>
      <x:c r="U23" t="str">
        <x:f>IFERROR(IF($T23=0,"",IF($M23="SO",$P23,IF(AND($M23="MO",OR($R23=TRUE,$R23="TRUE"),ISNUMBER($P23),$P23&gt;0),$P23,$O23))),"")</x:f>
      </x:c>
      <x:c r="V23" t="str">
        <x:f>IFERROR(IF($T23=0,"",MOD($N23,1)*86400),"")</x:f>
      </x:c>
      <x:c r="W23" t="str">
        <x:f>IFERROR(IF($T23=0,"",COUNTIFS($T$3:$T$202,1,$V$3:$V$202,"&lt;"&amp;$V23)+COUNTIFS($T$3:$T23,1,$V$3:$V23,$V23)),"")</x:f>
      </x:c>
      <x:c r="X23" t="str">
        <x:f>IFERROR(IF($T23=0,"",IF($M23="SO","SO: dùng CS hoàn thành",IF(AND($M23="MO",OR($R23=TRUE,$R23="TRUE"),ISNUMBER($P23),$P23&gt;0),"MO dừng sớm: dùng CS hoàn thành","MO: dùng CS ra lệnh"))),"")</x:f>
      </x:c>
    </x:row>
    <x:row r="24">
      <x:c r="A24" s="38" t="n">
        <x:f>ROW()-2</x:f>
        <x:v>22</x:v>
      </x:c>
      <x:c r="B24" s="142" t="str">
        <x:f>IFERROR(IF($H24="","",INDEX($L$3:$L$202,MATCH($H24,$W$3:$W$202,0))),"")</x:f>
      </x:c>
      <x:c r="C24" s="157" t="str">
        <x:f>IFERROR(IF($H24="","",INDEX($N$3:$N$202,MATCH($H24,$W$3:$W$202,0))),"")</x:f>
      </x:c>
      <x:c r="D24" s="167" t="str">
        <x:f>IFERROR(IF($H24="","",INDEX($U$3:$U$202,MATCH($H24,$W$3:$W$202,0))),"")</x:f>
      </x:c>
      <x:c r="E24" s="167" t="str">
        <x:f>IFERROR(IF($H24="","",INDEX(LENH_GOC!$H$4:$H$203,MATCH(INDEX($K$3:$K$202,MATCH($H24,$W$3:$W$202,0)),LENH_GOC!$A$4:$A$203,0))),"")</x:f>
      </x:c>
      <x:c r="F24" s="167" t="str">
        <x:f>IFERROR(IF($H24="","",INDEX($P$3:$P$202,MATCH($H24,$W$3:$W$202,0))),"")</x:f>
      </x:c>
      <x:c r="G24" s="39" t="str">
        <x:f>IFERROR(IF($H24="","",INDEX($X$3:$X$202,MATCH($H24,$W$3:$W$202,0))),"")</x:f>
      </x:c>
      <x:c r="H24" t="str">
        <x:f>IFERROR(IF(ROW()-2&lt;=CAI_DAT!$B$10,ROW()-2,""),"")</x:f>
      </x:c>
      <x:c r="J24" t="str">
        <x:f>IF(LENH_GOC!A25="","",25)</x:f>
      </x:c>
      <x:c r="K24" t="str">
        <x:f>IF(LENH_GOC!A25="","",LENH_GOC!A25)</x:f>
      </x:c>
      <x:c r="L24" t="str">
        <x:f>IF($K24="","",IFERROR(TRIM(LENH_GOC!C25),""))</x:f>
      </x:c>
      <x:c r="M24" t="str">
        <x:f>IF($K24="","",IFERROR(UPPER(TRIM(LENH_GOC!Y25)),""))</x:f>
      </x:c>
      <x:c r="N24" s="249" t="str">
        <x:f>IFERROR(IF($K24="","",IF(LENH_GOC!G25="","",IF(ISNUMBER(LENH_GOC!G25),LENH_GOC!G25,DATE(VALUE(MID(LENH_GOC!G25,7,4)),VALUE(MID(LENH_GOC!G25,4,2)),VALUE(LEFT(LENH_GOC!G25,2)))+TIME(VALUE(MID(LENH_GOC!G25,12,2)),VALUE(MID(LENH_GOC!G25,15,2)),VALUE(MID(LENH_GOC!G25,18,2)))))), "")</x:f>
      </x:c>
      <x:c r="O24" t="str">
        <x:f>IF($K24="","",IF(LENH_GOC!E25="","",LENH_GOC!E25))</x:f>
      </x:c>
      <x:c r="P24" t="str">
        <x:f>IF($K24="","",IF(LENH_GOC!F25="","",LENH_GOC!F25))</x:f>
      </x:c>
      <x:c r="Q24" t="str">
        <x:f>IFERROR(IF($K24="","",IF(LENH_GOC!P25="","",IFERROR(VALUE(LENH_GOC!P25),IF(OR(LENH_GOC!P25=TRUE,UPPER(TRIM(LENH_GOC!P25))="TRUE"),1,0)))),"")</x:f>
      </x:c>
      <x:c r="R24" t="str">
        <x:f>IF($K24="","",IF(LENH_GOC!Q25="","",LENH_GOC!Q25))</x:f>
      </x:c>
      <x:c r="S24" s="249" t="str">
        <x:f>IF($K24="","",IF(LENH_GOC!R25="","",LENH_GOC!R25))</x:f>
      </x:c>
      <x:c r="T24" t="n">
        <x:f>IFERROR(IF($K24="",0,IF(AND(ISNUMBER($N24),INT($N24)=CAI_DAT!$B$4,LEFT(UPPER(TRIM($L24)),2)=LEFT(UPPER(TRIM(CAI_DAT!$B$5)),2),$Q24=1,OR(AND($M24="SO",ISNUMBER($P24),$P24&gt;0),AND($M24="MO",ISNUMBER($O24),$O24&gt;0))),1,0)),0)</x:f>
        <x:v>0</x:v>
      </x:c>
      <x:c r="U24" t="str">
        <x:f>IFERROR(IF($T24=0,"",IF($M24="SO",$P24,IF(AND($M24="MO",OR($R24=TRUE,$R24="TRUE"),ISNUMBER($P24),$P24&gt;0),$P24,$O24))),"")</x:f>
      </x:c>
      <x:c r="V24" t="str">
        <x:f>IFERROR(IF($T24=0,"",MOD($N24,1)*86400),"")</x:f>
      </x:c>
      <x:c r="W24" t="str">
        <x:f>IFERROR(IF($T24=0,"",COUNTIFS($T$3:$T$202,1,$V$3:$V$202,"&lt;"&amp;$V24)+COUNTIFS($T$3:$T24,1,$V$3:$V24,$V24)),"")</x:f>
      </x:c>
      <x:c r="X24" t="str">
        <x:f>IFERROR(IF($T24=0,"",IF($M24="SO","SO: dùng CS hoàn thành",IF(AND($M24="MO",OR($R24=TRUE,$R24="TRUE"),ISNUMBER($P24),$P24&gt;0),"MO dừng sớm: dùng CS hoàn thành","MO: dùng CS ra lệnh"))),"")</x:f>
      </x:c>
    </x:row>
    <x:row r="25">
      <x:c r="A25" s="38" t="n">
        <x:f>ROW()-2</x:f>
        <x:v>23</x:v>
      </x:c>
      <x:c r="B25" s="142" t="str">
        <x:f>IFERROR(IF($H25="","",INDEX($L$3:$L$202,MATCH($H25,$W$3:$W$202,0))),"")</x:f>
      </x:c>
      <x:c r="C25" s="157" t="str">
        <x:f>IFERROR(IF($H25="","",INDEX($N$3:$N$202,MATCH($H25,$W$3:$W$202,0))),"")</x:f>
      </x:c>
      <x:c r="D25" s="167" t="str">
        <x:f>IFERROR(IF($H25="","",INDEX($U$3:$U$202,MATCH($H25,$W$3:$W$202,0))),"")</x:f>
      </x:c>
      <x:c r="E25" s="167" t="str">
        <x:f>IFERROR(IF($H25="","",INDEX(LENH_GOC!$H$4:$H$203,MATCH(INDEX($K$3:$K$202,MATCH($H25,$W$3:$W$202,0)),LENH_GOC!$A$4:$A$203,0))),"")</x:f>
      </x:c>
      <x:c r="F25" s="167" t="str">
        <x:f>IFERROR(IF($H25="","",INDEX($P$3:$P$202,MATCH($H25,$W$3:$W$202,0))),"")</x:f>
      </x:c>
      <x:c r="G25" s="39" t="str">
        <x:f>IFERROR(IF($H25="","",INDEX($X$3:$X$202,MATCH($H25,$W$3:$W$202,0))),"")</x:f>
      </x:c>
      <x:c r="H25" t="str">
        <x:f>IFERROR(IF(ROW()-2&lt;=CAI_DAT!$B$10,ROW()-2,""),"")</x:f>
      </x:c>
      <x:c r="J25" t="str">
        <x:f>IF(LENH_GOC!A26="","",26)</x:f>
      </x:c>
      <x:c r="K25" t="str">
        <x:f>IF(LENH_GOC!A26="","",LENH_GOC!A26)</x:f>
      </x:c>
      <x:c r="L25" t="str">
        <x:f>IF($K25="","",IFERROR(TRIM(LENH_GOC!C26),""))</x:f>
      </x:c>
      <x:c r="M25" t="str">
        <x:f>IF($K25="","",IFERROR(UPPER(TRIM(LENH_GOC!Y26)),""))</x:f>
      </x:c>
      <x:c r="N25" s="249" t="str">
        <x:f>IFERROR(IF($K25="","",IF(LENH_GOC!G26="","",IF(ISNUMBER(LENH_GOC!G26),LENH_GOC!G26,DATE(VALUE(MID(LENH_GOC!G26,7,4)),VALUE(MID(LENH_GOC!G26,4,2)),VALUE(LEFT(LENH_GOC!G26,2)))+TIME(VALUE(MID(LENH_GOC!G26,12,2)),VALUE(MID(LENH_GOC!G26,15,2)),VALUE(MID(LENH_GOC!G26,18,2)))))), "")</x:f>
      </x:c>
      <x:c r="O25" t="str">
        <x:f>IF($K25="","",IF(LENH_GOC!E26="","",LENH_GOC!E26))</x:f>
      </x:c>
      <x:c r="P25" t="str">
        <x:f>IF($K25="","",IF(LENH_GOC!F26="","",LENH_GOC!F26))</x:f>
      </x:c>
      <x:c r="Q25" t="str">
        <x:f>IFERROR(IF($K25="","",IF(LENH_GOC!P26="","",IFERROR(VALUE(LENH_GOC!P26),IF(OR(LENH_GOC!P26=TRUE,UPPER(TRIM(LENH_GOC!P26))="TRUE"),1,0)))),"")</x:f>
      </x:c>
      <x:c r="R25" t="str">
        <x:f>IF($K25="","",IF(LENH_GOC!Q26="","",LENH_GOC!Q26))</x:f>
      </x:c>
      <x:c r="S25" s="249" t="str">
        <x:f>IF($K25="","",IF(LENH_GOC!R26="","",LENH_GOC!R26))</x:f>
      </x:c>
      <x:c r="T25" t="n">
        <x:f>IFERROR(IF($K25="",0,IF(AND(ISNUMBER($N25),INT($N25)=CAI_DAT!$B$4,LEFT(UPPER(TRIM($L25)),2)=LEFT(UPPER(TRIM(CAI_DAT!$B$5)),2),$Q25=1,OR(AND($M25="SO",ISNUMBER($P25),$P25&gt;0),AND($M25="MO",ISNUMBER($O25),$O25&gt;0))),1,0)),0)</x:f>
        <x:v>0</x:v>
      </x:c>
      <x:c r="U25" t="str">
        <x:f>IFERROR(IF($T25=0,"",IF($M25="SO",$P25,IF(AND($M25="MO",OR($R25=TRUE,$R25="TRUE"),ISNUMBER($P25),$P25&gt;0),$P25,$O25))),"")</x:f>
      </x:c>
      <x:c r="V25" t="str">
        <x:f>IFERROR(IF($T25=0,"",MOD($N25,1)*86400),"")</x:f>
      </x:c>
      <x:c r="W25" t="str">
        <x:f>IFERROR(IF($T25=0,"",COUNTIFS($T$3:$T$202,1,$V$3:$V$202,"&lt;"&amp;$V25)+COUNTIFS($T$3:$T25,1,$V$3:$V25,$V25)),"")</x:f>
      </x:c>
      <x:c r="X25" t="str">
        <x:f>IFERROR(IF($T25=0,"",IF($M25="SO","SO: dùng CS hoàn thành",IF(AND($M25="MO",OR($R25=TRUE,$R25="TRUE"),ISNUMBER($P25),$P25&gt;0),"MO dừng sớm: dùng CS hoàn thành","MO: dùng CS ra lệnh"))),"")</x:f>
      </x:c>
    </x:row>
    <x:row r="26">
      <x:c r="A26" s="38" t="n">
        <x:f>ROW()-2</x:f>
        <x:v>24</x:v>
      </x:c>
      <x:c r="B26" s="142" t="str">
        <x:f>IFERROR(IF($H26="","",INDEX($L$3:$L$202,MATCH($H26,$W$3:$W$202,0))),"")</x:f>
      </x:c>
      <x:c r="C26" s="157" t="str">
        <x:f>IFERROR(IF($H26="","",INDEX($N$3:$N$202,MATCH($H26,$W$3:$W$202,0))),"")</x:f>
      </x:c>
      <x:c r="D26" s="167" t="str">
        <x:f>IFERROR(IF($H26="","",INDEX($U$3:$U$202,MATCH($H26,$W$3:$W$202,0))),"")</x:f>
      </x:c>
      <x:c r="E26" s="167" t="str">
        <x:f>IFERROR(IF($H26="","",INDEX(LENH_GOC!$H$4:$H$203,MATCH(INDEX($K$3:$K$202,MATCH($H26,$W$3:$W$202,0)),LENH_GOC!$A$4:$A$203,0))),"")</x:f>
      </x:c>
      <x:c r="F26" s="167" t="str">
        <x:f>IFERROR(IF($H26="","",INDEX($P$3:$P$202,MATCH($H26,$W$3:$W$202,0))),"")</x:f>
      </x:c>
      <x:c r="G26" s="39" t="str">
        <x:f>IFERROR(IF($H26="","",INDEX($X$3:$X$202,MATCH($H26,$W$3:$W$202,0))),"")</x:f>
      </x:c>
      <x:c r="H26" t="str">
        <x:f>IFERROR(IF(ROW()-2&lt;=CAI_DAT!$B$10,ROW()-2,""),"")</x:f>
      </x:c>
      <x:c r="J26" t="str">
        <x:f>IF(LENH_GOC!A27="","",27)</x:f>
      </x:c>
      <x:c r="K26" t="str">
        <x:f>IF(LENH_GOC!A27="","",LENH_GOC!A27)</x:f>
      </x:c>
      <x:c r="L26" t="str">
        <x:f>IF($K26="","",IFERROR(TRIM(LENH_GOC!C27),""))</x:f>
      </x:c>
      <x:c r="M26" t="str">
        <x:f>IF($K26="","",IFERROR(UPPER(TRIM(LENH_GOC!Y27)),""))</x:f>
      </x:c>
      <x:c r="N26" s="249" t="str">
        <x:f>IFERROR(IF($K26="","",IF(LENH_GOC!G27="","",IF(ISNUMBER(LENH_GOC!G27),LENH_GOC!G27,DATE(VALUE(MID(LENH_GOC!G27,7,4)),VALUE(MID(LENH_GOC!G27,4,2)),VALUE(LEFT(LENH_GOC!G27,2)))+TIME(VALUE(MID(LENH_GOC!G27,12,2)),VALUE(MID(LENH_GOC!G27,15,2)),VALUE(MID(LENH_GOC!G27,18,2)))))), "")</x:f>
      </x:c>
      <x:c r="O26" t="str">
        <x:f>IF($K26="","",IF(LENH_GOC!E27="","",LENH_GOC!E27))</x:f>
      </x:c>
      <x:c r="P26" t="str">
        <x:f>IF($K26="","",IF(LENH_GOC!F27="","",LENH_GOC!F27))</x:f>
      </x:c>
      <x:c r="Q26" t="str">
        <x:f>IFERROR(IF($K26="","",IF(LENH_GOC!P27="","",IFERROR(VALUE(LENH_GOC!P27),IF(OR(LENH_GOC!P27=TRUE,UPPER(TRIM(LENH_GOC!P27))="TRUE"),1,0)))),"")</x:f>
      </x:c>
      <x:c r="R26" t="str">
        <x:f>IF($K26="","",IF(LENH_GOC!Q27="","",LENH_GOC!Q27))</x:f>
      </x:c>
      <x:c r="S26" s="249" t="str">
        <x:f>IF($K26="","",IF(LENH_GOC!R27="","",LENH_GOC!R27))</x:f>
      </x:c>
      <x:c r="T26" t="n">
        <x:f>IFERROR(IF($K26="",0,IF(AND(ISNUMBER($N26),INT($N26)=CAI_DAT!$B$4,LEFT(UPPER(TRIM($L26)),2)=LEFT(UPPER(TRIM(CAI_DAT!$B$5)),2),$Q26=1,OR(AND($M26="SO",ISNUMBER($P26),$P26&gt;0),AND($M26="MO",ISNUMBER($O26),$O26&gt;0))),1,0)),0)</x:f>
        <x:v>0</x:v>
      </x:c>
      <x:c r="U26" t="str">
        <x:f>IFERROR(IF($T26=0,"",IF($M26="SO",$P26,IF(AND($M26="MO",OR($R26=TRUE,$R26="TRUE"),ISNUMBER($P26),$P26&gt;0),$P26,$O26))),"")</x:f>
      </x:c>
      <x:c r="V26" t="str">
        <x:f>IFERROR(IF($T26=0,"",MOD($N26,1)*86400),"")</x:f>
      </x:c>
      <x:c r="W26" t="str">
        <x:f>IFERROR(IF($T26=0,"",COUNTIFS($T$3:$T$202,1,$V$3:$V$202,"&lt;"&amp;$V26)+COUNTIFS($T$3:$T26,1,$V$3:$V26,$V26)),"")</x:f>
      </x:c>
      <x:c r="X26" t="str">
        <x:f>IFERROR(IF($T26=0,"",IF($M26="SO","SO: dùng CS hoàn thành",IF(AND($M26="MO",OR($R26=TRUE,$R26="TRUE"),ISNUMBER($P26),$P26&gt;0),"MO dừng sớm: dùng CS hoàn thành","MO: dùng CS ra lệnh"))),"")</x:f>
      </x:c>
    </x:row>
    <x:row r="27">
      <x:c r="A27" s="38" t="n">
        <x:f>ROW()-2</x:f>
        <x:v>25</x:v>
      </x:c>
      <x:c r="B27" s="142" t="str">
        <x:f>IFERROR(IF($H27="","",INDEX($L$3:$L$202,MATCH($H27,$W$3:$W$202,0))),"")</x:f>
      </x:c>
      <x:c r="C27" s="157" t="str">
        <x:f>IFERROR(IF($H27="","",INDEX($N$3:$N$202,MATCH($H27,$W$3:$W$202,0))),"")</x:f>
      </x:c>
      <x:c r="D27" s="167" t="str">
        <x:f>IFERROR(IF($H27="","",INDEX($U$3:$U$202,MATCH($H27,$W$3:$W$202,0))),"")</x:f>
      </x:c>
      <x:c r="E27" s="167" t="str">
        <x:f>IFERROR(IF($H27="","",INDEX(LENH_GOC!$H$4:$H$203,MATCH(INDEX($K$3:$K$202,MATCH($H27,$W$3:$W$202,0)),LENH_GOC!$A$4:$A$203,0))),"")</x:f>
      </x:c>
      <x:c r="F27" s="167" t="str">
        <x:f>IFERROR(IF($H27="","",INDEX($P$3:$P$202,MATCH($H27,$W$3:$W$202,0))),"")</x:f>
      </x:c>
      <x:c r="G27" s="39" t="str">
        <x:f>IFERROR(IF($H27="","",INDEX($X$3:$X$202,MATCH($H27,$W$3:$W$202,0))),"")</x:f>
      </x:c>
      <x:c r="H27" t="str">
        <x:f>IFERROR(IF(ROW()-2&lt;=CAI_DAT!$B$10,ROW()-2,""),"")</x:f>
      </x:c>
      <x:c r="J27" t="str">
        <x:f>IF(LENH_GOC!A28="","",28)</x:f>
      </x:c>
      <x:c r="K27" t="str">
        <x:f>IF(LENH_GOC!A28="","",LENH_GOC!A28)</x:f>
      </x:c>
      <x:c r="L27" t="str">
        <x:f>IF($K27="","",IFERROR(TRIM(LENH_GOC!C28),""))</x:f>
      </x:c>
      <x:c r="M27" t="str">
        <x:f>IF($K27="","",IFERROR(UPPER(TRIM(LENH_GOC!Y28)),""))</x:f>
      </x:c>
      <x:c r="N27" s="249" t="str">
        <x:f>IFERROR(IF($K27="","",IF(LENH_GOC!G28="","",IF(ISNUMBER(LENH_GOC!G28),LENH_GOC!G28,DATE(VALUE(MID(LENH_GOC!G28,7,4)),VALUE(MID(LENH_GOC!G28,4,2)),VALUE(LEFT(LENH_GOC!G28,2)))+TIME(VALUE(MID(LENH_GOC!G28,12,2)),VALUE(MID(LENH_GOC!G28,15,2)),VALUE(MID(LENH_GOC!G28,18,2)))))), "")</x:f>
      </x:c>
      <x:c r="O27" t="str">
        <x:f>IF($K27="","",IF(LENH_GOC!E28="","",LENH_GOC!E28))</x:f>
      </x:c>
      <x:c r="P27" t="str">
        <x:f>IF($K27="","",IF(LENH_GOC!F28="","",LENH_GOC!F28))</x:f>
      </x:c>
      <x:c r="Q27" t="str">
        <x:f>IFERROR(IF($K27="","",IF(LENH_GOC!P28="","",IFERROR(VALUE(LENH_GOC!P28),IF(OR(LENH_GOC!P28=TRUE,UPPER(TRIM(LENH_GOC!P28))="TRUE"),1,0)))),"")</x:f>
      </x:c>
      <x:c r="R27" t="str">
        <x:f>IF($K27="","",IF(LENH_GOC!Q28="","",LENH_GOC!Q28))</x:f>
      </x:c>
      <x:c r="S27" s="249" t="str">
        <x:f>IF($K27="","",IF(LENH_GOC!R28="","",LENH_GOC!R28))</x:f>
      </x:c>
      <x:c r="T27" t="n">
        <x:f>IFERROR(IF($K27="",0,IF(AND(ISNUMBER($N27),INT($N27)=CAI_DAT!$B$4,LEFT(UPPER(TRIM($L27)),2)=LEFT(UPPER(TRIM(CAI_DAT!$B$5)),2),$Q27=1,OR(AND($M27="SO",ISNUMBER($P27),$P27&gt;0),AND($M27="MO",ISNUMBER($O27),$O27&gt;0))),1,0)),0)</x:f>
        <x:v>0</x:v>
      </x:c>
      <x:c r="U27" t="str">
        <x:f>IFERROR(IF($T27=0,"",IF($M27="SO",$P27,IF(AND($M27="MO",OR($R27=TRUE,$R27="TRUE"),ISNUMBER($P27),$P27&gt;0),$P27,$O27))),"")</x:f>
      </x:c>
      <x:c r="V27" t="str">
        <x:f>IFERROR(IF($T27=0,"",MOD($N27,1)*86400),"")</x:f>
      </x:c>
      <x:c r="W27" t="str">
        <x:f>IFERROR(IF($T27=0,"",COUNTIFS($T$3:$T$202,1,$V$3:$V$202,"&lt;"&amp;$V27)+COUNTIFS($T$3:$T27,1,$V$3:$V27,$V27)),"")</x:f>
      </x:c>
      <x:c r="X27" t="str">
        <x:f>IFERROR(IF($T27=0,"",IF($M27="SO","SO: dùng CS hoàn thành",IF(AND($M27="MO",OR($R27=TRUE,$R27="TRUE"),ISNUMBER($P27),$P27&gt;0),"MO dừng sớm: dùng CS hoàn thành","MO: dùng CS ra lệnh"))),"")</x:f>
      </x:c>
    </x:row>
    <x:row r="28">
      <x:c r="A28" s="38" t="n">
        <x:f>ROW()-2</x:f>
        <x:v>26</x:v>
      </x:c>
      <x:c r="B28" s="142" t="str">
        <x:f>IFERROR(IF($H28="","",INDEX($L$3:$L$202,MATCH($H28,$W$3:$W$202,0))),"")</x:f>
      </x:c>
      <x:c r="C28" s="157" t="str">
        <x:f>IFERROR(IF($H28="","",INDEX($N$3:$N$202,MATCH($H28,$W$3:$W$202,0))),"")</x:f>
      </x:c>
      <x:c r="D28" s="167" t="str">
        <x:f>IFERROR(IF($H28="","",INDEX($U$3:$U$202,MATCH($H28,$W$3:$W$202,0))),"")</x:f>
      </x:c>
      <x:c r="E28" s="167" t="str">
        <x:f>IFERROR(IF($H28="","",INDEX(LENH_GOC!$H$4:$H$203,MATCH(INDEX($K$3:$K$202,MATCH($H28,$W$3:$W$202,0)),LENH_GOC!$A$4:$A$203,0))),"")</x:f>
      </x:c>
      <x:c r="F28" s="167" t="str">
        <x:f>IFERROR(IF($H28="","",INDEX($P$3:$P$202,MATCH($H28,$W$3:$W$202,0))),"")</x:f>
      </x:c>
      <x:c r="G28" s="39" t="str">
        <x:f>IFERROR(IF($H28="","",INDEX($X$3:$X$202,MATCH($H28,$W$3:$W$202,0))),"")</x:f>
      </x:c>
      <x:c r="H28" t="str">
        <x:f>IFERROR(IF(ROW()-2&lt;=CAI_DAT!$B$10,ROW()-2,""),"")</x:f>
      </x:c>
      <x:c r="J28" t="str">
        <x:f>IF(LENH_GOC!A29="","",29)</x:f>
      </x:c>
      <x:c r="K28" t="str">
        <x:f>IF(LENH_GOC!A29="","",LENH_GOC!A29)</x:f>
      </x:c>
      <x:c r="L28" t="str">
        <x:f>IF($K28="","",IFERROR(TRIM(LENH_GOC!C29),""))</x:f>
      </x:c>
      <x:c r="M28" t="str">
        <x:f>IF($K28="","",IFERROR(UPPER(TRIM(LENH_GOC!Y29)),""))</x:f>
      </x:c>
      <x:c r="N28" s="249" t="str">
        <x:f>IFERROR(IF($K28="","",IF(LENH_GOC!G29="","",IF(ISNUMBER(LENH_GOC!G29),LENH_GOC!G29,DATE(VALUE(MID(LENH_GOC!G29,7,4)),VALUE(MID(LENH_GOC!G29,4,2)),VALUE(LEFT(LENH_GOC!G29,2)))+TIME(VALUE(MID(LENH_GOC!G29,12,2)),VALUE(MID(LENH_GOC!G29,15,2)),VALUE(MID(LENH_GOC!G29,18,2)))))), "")</x:f>
      </x:c>
      <x:c r="O28" t="str">
        <x:f>IF($K28="","",IF(LENH_GOC!E29="","",LENH_GOC!E29))</x:f>
      </x:c>
      <x:c r="P28" t="str">
        <x:f>IF($K28="","",IF(LENH_GOC!F29="","",LENH_GOC!F29))</x:f>
      </x:c>
      <x:c r="Q28" t="str">
        <x:f>IFERROR(IF($K28="","",IF(LENH_GOC!P29="","",IFERROR(VALUE(LENH_GOC!P29),IF(OR(LENH_GOC!P29=TRUE,UPPER(TRIM(LENH_GOC!P29))="TRUE"),1,0)))),"")</x:f>
      </x:c>
      <x:c r="R28" t="str">
        <x:f>IF($K28="","",IF(LENH_GOC!Q29="","",LENH_GOC!Q29))</x:f>
      </x:c>
      <x:c r="S28" s="249" t="str">
        <x:f>IF($K28="","",IF(LENH_GOC!R29="","",LENH_GOC!R29))</x:f>
      </x:c>
      <x:c r="T28" t="n">
        <x:f>IFERROR(IF($K28="",0,IF(AND(ISNUMBER($N28),INT($N28)=CAI_DAT!$B$4,LEFT(UPPER(TRIM($L28)),2)=LEFT(UPPER(TRIM(CAI_DAT!$B$5)),2),$Q28=1,OR(AND($M28="SO",ISNUMBER($P28),$P28&gt;0),AND($M28="MO",ISNUMBER($O28),$O28&gt;0))),1,0)),0)</x:f>
        <x:v>0</x:v>
      </x:c>
      <x:c r="U28" t="str">
        <x:f>IFERROR(IF($T28=0,"",IF($M28="SO",$P28,IF(AND($M28="MO",OR($R28=TRUE,$R28="TRUE"),ISNUMBER($P28),$P28&gt;0),$P28,$O28))),"")</x:f>
      </x:c>
      <x:c r="V28" t="str">
        <x:f>IFERROR(IF($T28=0,"",MOD($N28,1)*86400),"")</x:f>
      </x:c>
      <x:c r="W28" t="str">
        <x:f>IFERROR(IF($T28=0,"",COUNTIFS($T$3:$T$202,1,$V$3:$V$202,"&lt;"&amp;$V28)+COUNTIFS($T$3:$T28,1,$V$3:$V28,$V28)),"")</x:f>
      </x:c>
      <x:c r="X28" t="str">
        <x:f>IFERROR(IF($T28=0,"",IF($M28="SO","SO: dùng CS hoàn thành",IF(AND($M28="MO",OR($R28=TRUE,$R28="TRUE"),ISNUMBER($P28),$P28&gt;0),"MO dừng sớm: dùng CS hoàn thành","MO: dùng CS ra lệnh"))),"")</x:f>
      </x:c>
    </x:row>
    <x:row r="29">
      <x:c r="A29" s="38" t="n">
        <x:f>ROW()-2</x:f>
        <x:v>27</x:v>
      </x:c>
      <x:c r="B29" s="142" t="str">
        <x:f>IFERROR(IF($H29="","",INDEX($L$3:$L$202,MATCH($H29,$W$3:$W$202,0))),"")</x:f>
      </x:c>
      <x:c r="C29" s="157" t="str">
        <x:f>IFERROR(IF($H29="","",INDEX($N$3:$N$202,MATCH($H29,$W$3:$W$202,0))),"")</x:f>
      </x:c>
      <x:c r="D29" s="167" t="str">
        <x:f>IFERROR(IF($H29="","",INDEX($U$3:$U$202,MATCH($H29,$W$3:$W$202,0))),"")</x:f>
      </x:c>
      <x:c r="E29" s="167" t="str">
        <x:f>IFERROR(IF($H29="","",INDEX(LENH_GOC!$H$4:$H$203,MATCH(INDEX($K$3:$K$202,MATCH($H29,$W$3:$W$202,0)),LENH_GOC!$A$4:$A$203,0))),"")</x:f>
      </x:c>
      <x:c r="F29" s="167" t="str">
        <x:f>IFERROR(IF($H29="","",INDEX($P$3:$P$202,MATCH($H29,$W$3:$W$202,0))),"")</x:f>
      </x:c>
      <x:c r="G29" s="39" t="str">
        <x:f>IFERROR(IF($H29="","",INDEX($X$3:$X$202,MATCH($H29,$W$3:$W$202,0))),"")</x:f>
      </x:c>
      <x:c r="H29" t="str">
        <x:f>IFERROR(IF(ROW()-2&lt;=CAI_DAT!$B$10,ROW()-2,""),"")</x:f>
      </x:c>
      <x:c r="J29" t="str">
        <x:f>IF(LENH_GOC!A30="","",30)</x:f>
      </x:c>
      <x:c r="K29" t="str">
        <x:f>IF(LENH_GOC!A30="","",LENH_GOC!A30)</x:f>
      </x:c>
      <x:c r="L29" t="str">
        <x:f>IF($K29="","",IFERROR(TRIM(LENH_GOC!C30),""))</x:f>
      </x:c>
      <x:c r="M29" t="str">
        <x:f>IF($K29="","",IFERROR(UPPER(TRIM(LENH_GOC!Y30)),""))</x:f>
      </x:c>
      <x:c r="N29" s="249" t="str">
        <x:f>IFERROR(IF($K29="","",IF(LENH_GOC!G30="","",IF(ISNUMBER(LENH_GOC!G30),LENH_GOC!G30,DATE(VALUE(MID(LENH_GOC!G30,7,4)),VALUE(MID(LENH_GOC!G30,4,2)),VALUE(LEFT(LENH_GOC!G30,2)))+TIME(VALUE(MID(LENH_GOC!G30,12,2)),VALUE(MID(LENH_GOC!G30,15,2)),VALUE(MID(LENH_GOC!G30,18,2)))))), "")</x:f>
      </x:c>
      <x:c r="O29" t="str">
        <x:f>IF($K29="","",IF(LENH_GOC!E30="","",LENH_GOC!E30))</x:f>
      </x:c>
      <x:c r="P29" t="str">
        <x:f>IF($K29="","",IF(LENH_GOC!F30="","",LENH_GOC!F30))</x:f>
      </x:c>
      <x:c r="Q29" t="str">
        <x:f>IFERROR(IF($K29="","",IF(LENH_GOC!P30="","",IFERROR(VALUE(LENH_GOC!P30),IF(OR(LENH_GOC!P30=TRUE,UPPER(TRIM(LENH_GOC!P30))="TRUE"),1,0)))),"")</x:f>
      </x:c>
      <x:c r="R29" t="str">
        <x:f>IF($K29="","",IF(LENH_GOC!Q30="","",LENH_GOC!Q30))</x:f>
      </x:c>
      <x:c r="S29" s="249" t="str">
        <x:f>IF($K29="","",IF(LENH_GOC!R30="","",LENH_GOC!R30))</x:f>
      </x:c>
      <x:c r="T29" t="n">
        <x:f>IFERROR(IF($K29="",0,IF(AND(ISNUMBER($N29),INT($N29)=CAI_DAT!$B$4,LEFT(UPPER(TRIM($L29)),2)=LEFT(UPPER(TRIM(CAI_DAT!$B$5)),2),$Q29=1,OR(AND($M29="SO",ISNUMBER($P29),$P29&gt;0),AND($M29="MO",ISNUMBER($O29),$O29&gt;0))),1,0)),0)</x:f>
        <x:v>0</x:v>
      </x:c>
      <x:c r="U29" t="str">
        <x:f>IFERROR(IF($T29=0,"",IF($M29="SO",$P29,IF(AND($M29="MO",OR($R29=TRUE,$R29="TRUE"),ISNUMBER($P29),$P29&gt;0),$P29,$O29))),"")</x:f>
      </x:c>
      <x:c r="V29" t="str">
        <x:f>IFERROR(IF($T29=0,"",MOD($N29,1)*86400),"")</x:f>
      </x:c>
      <x:c r="W29" t="str">
        <x:f>IFERROR(IF($T29=0,"",COUNTIFS($T$3:$T$202,1,$V$3:$V$202,"&lt;"&amp;$V29)+COUNTIFS($T$3:$T29,1,$V$3:$V29,$V29)),"")</x:f>
      </x:c>
      <x:c r="X29" t="str">
        <x:f>IFERROR(IF($T29=0,"",IF($M29="SO","SO: dùng CS hoàn thành",IF(AND($M29="MO",OR($R29=TRUE,$R29="TRUE"),ISNUMBER($P29),$P29&gt;0),"MO dừng sớm: dùng CS hoàn thành","MO: dùng CS ra lệnh"))),"")</x:f>
      </x:c>
    </x:row>
    <x:row r="30">
      <x:c r="A30" s="38" t="n">
        <x:f>ROW()-2</x:f>
        <x:v>28</x:v>
      </x:c>
      <x:c r="B30" s="142" t="str">
        <x:f>IFERROR(IF($H30="","",INDEX($L$3:$L$202,MATCH($H30,$W$3:$W$202,0))),"")</x:f>
      </x:c>
      <x:c r="C30" s="157" t="str">
        <x:f>IFERROR(IF($H30="","",INDEX($N$3:$N$202,MATCH($H30,$W$3:$W$202,0))),"")</x:f>
      </x:c>
      <x:c r="D30" s="167" t="str">
        <x:f>IFERROR(IF($H30="","",INDEX($U$3:$U$202,MATCH($H30,$W$3:$W$202,0))),"")</x:f>
      </x:c>
      <x:c r="E30" s="167" t="str">
        <x:f>IFERROR(IF($H30="","",INDEX(LENH_GOC!$H$4:$H$203,MATCH(INDEX($K$3:$K$202,MATCH($H30,$W$3:$W$202,0)),LENH_GOC!$A$4:$A$203,0))),"")</x:f>
      </x:c>
      <x:c r="F30" s="167" t="str">
        <x:f>IFERROR(IF($H30="","",INDEX($P$3:$P$202,MATCH($H30,$W$3:$W$202,0))),"")</x:f>
      </x:c>
      <x:c r="G30" s="39" t="str">
        <x:f>IFERROR(IF($H30="","",INDEX($X$3:$X$202,MATCH($H30,$W$3:$W$202,0))),"")</x:f>
      </x:c>
      <x:c r="H30" t="str">
        <x:f>IFERROR(IF(ROW()-2&lt;=CAI_DAT!$B$10,ROW()-2,""),"")</x:f>
      </x:c>
      <x:c r="J30" t="str">
        <x:f>IF(LENH_GOC!A31="","",31)</x:f>
      </x:c>
      <x:c r="K30" t="str">
        <x:f>IF(LENH_GOC!A31="","",LENH_GOC!A31)</x:f>
      </x:c>
      <x:c r="L30" t="str">
        <x:f>IF($K30="","",IFERROR(TRIM(LENH_GOC!C31),""))</x:f>
      </x:c>
      <x:c r="M30" t="str">
        <x:f>IF($K30="","",IFERROR(UPPER(TRIM(LENH_GOC!Y31)),""))</x:f>
      </x:c>
      <x:c r="N30" s="249" t="str">
        <x:f>IFERROR(IF($K30="","",IF(LENH_GOC!G31="","",IF(ISNUMBER(LENH_GOC!G31),LENH_GOC!G31,DATE(VALUE(MID(LENH_GOC!G31,7,4)),VALUE(MID(LENH_GOC!G31,4,2)),VALUE(LEFT(LENH_GOC!G31,2)))+TIME(VALUE(MID(LENH_GOC!G31,12,2)),VALUE(MID(LENH_GOC!G31,15,2)),VALUE(MID(LENH_GOC!G31,18,2)))))), "")</x:f>
      </x:c>
      <x:c r="O30" t="str">
        <x:f>IF($K30="","",IF(LENH_GOC!E31="","",LENH_GOC!E31))</x:f>
      </x:c>
      <x:c r="P30" t="str">
        <x:f>IF($K30="","",IF(LENH_GOC!F31="","",LENH_GOC!F31))</x:f>
      </x:c>
      <x:c r="Q30" t="str">
        <x:f>IFERROR(IF($K30="","",IF(LENH_GOC!P31="","",IFERROR(VALUE(LENH_GOC!P31),IF(OR(LENH_GOC!P31=TRUE,UPPER(TRIM(LENH_GOC!P31))="TRUE"),1,0)))),"")</x:f>
      </x:c>
      <x:c r="R30" t="str">
        <x:f>IF($K30="","",IF(LENH_GOC!Q31="","",LENH_GOC!Q31))</x:f>
      </x:c>
      <x:c r="S30" s="249" t="str">
        <x:f>IF($K30="","",IF(LENH_GOC!R31="","",LENH_GOC!R31))</x:f>
      </x:c>
      <x:c r="T30" t="n">
        <x:f>IFERROR(IF($K30="",0,IF(AND(ISNUMBER($N30),INT($N30)=CAI_DAT!$B$4,LEFT(UPPER(TRIM($L30)),2)=LEFT(UPPER(TRIM(CAI_DAT!$B$5)),2),$Q30=1,OR(AND($M30="SO",ISNUMBER($P30),$P30&gt;0),AND($M30="MO",ISNUMBER($O30),$O30&gt;0))),1,0)),0)</x:f>
        <x:v>0</x:v>
      </x:c>
      <x:c r="U30" t="str">
        <x:f>IFERROR(IF($T30=0,"",IF($M30="SO",$P30,IF(AND($M30="MO",OR($R30=TRUE,$R30="TRUE"),ISNUMBER($P30),$P30&gt;0),$P30,$O30))),"")</x:f>
      </x:c>
      <x:c r="V30" t="str">
        <x:f>IFERROR(IF($T30=0,"",MOD($N30,1)*86400),"")</x:f>
      </x:c>
      <x:c r="W30" t="str">
        <x:f>IFERROR(IF($T30=0,"",COUNTIFS($T$3:$T$202,1,$V$3:$V$202,"&lt;"&amp;$V30)+COUNTIFS($T$3:$T30,1,$V$3:$V30,$V30)),"")</x:f>
      </x:c>
      <x:c r="X30" t="str">
        <x:f>IFERROR(IF($T30=0,"",IF($M30="SO","SO: dùng CS hoàn thành",IF(AND($M30="MO",OR($R30=TRUE,$R30="TRUE"),ISNUMBER($P30),$P30&gt;0),"MO dừng sớm: dùng CS hoàn thành","MO: dùng CS ra lệnh"))),"")</x:f>
      </x:c>
    </x:row>
    <x:row r="31">
      <x:c r="A31" s="38" t="n">
        <x:f>ROW()-2</x:f>
        <x:v>29</x:v>
      </x:c>
      <x:c r="B31" s="142" t="str">
        <x:f>IFERROR(IF($H31="","",INDEX($L$3:$L$202,MATCH($H31,$W$3:$W$202,0))),"")</x:f>
      </x:c>
      <x:c r="C31" s="157" t="str">
        <x:f>IFERROR(IF($H31="","",INDEX($N$3:$N$202,MATCH($H31,$W$3:$W$202,0))),"")</x:f>
      </x:c>
      <x:c r="D31" s="167" t="str">
        <x:f>IFERROR(IF($H31="","",INDEX($U$3:$U$202,MATCH($H31,$W$3:$W$202,0))),"")</x:f>
      </x:c>
      <x:c r="E31" s="167" t="str">
        <x:f>IFERROR(IF($H31="","",INDEX(LENH_GOC!$H$4:$H$203,MATCH(INDEX($K$3:$K$202,MATCH($H31,$W$3:$W$202,0)),LENH_GOC!$A$4:$A$203,0))),"")</x:f>
      </x:c>
      <x:c r="F31" s="167" t="str">
        <x:f>IFERROR(IF($H31="","",INDEX($P$3:$P$202,MATCH($H31,$W$3:$W$202,0))),"")</x:f>
      </x:c>
      <x:c r="G31" s="39" t="str">
        <x:f>IFERROR(IF($H31="","",INDEX($X$3:$X$202,MATCH($H31,$W$3:$W$202,0))),"")</x:f>
      </x:c>
      <x:c r="H31" t="str">
        <x:f>IFERROR(IF(ROW()-2&lt;=CAI_DAT!$B$10,ROW()-2,""),"")</x:f>
      </x:c>
      <x:c r="J31" t="str">
        <x:f>IF(LENH_GOC!A32="","",32)</x:f>
      </x:c>
      <x:c r="K31" t="str">
        <x:f>IF(LENH_GOC!A32="","",LENH_GOC!A32)</x:f>
      </x:c>
      <x:c r="L31" t="str">
        <x:f>IF($K31="","",IFERROR(TRIM(LENH_GOC!C32),""))</x:f>
      </x:c>
      <x:c r="M31" t="str">
        <x:f>IF($K31="","",IFERROR(UPPER(TRIM(LENH_GOC!Y32)),""))</x:f>
      </x:c>
      <x:c r="N31" s="249" t="str">
        <x:f>IFERROR(IF($K31="","",IF(LENH_GOC!G32="","",IF(ISNUMBER(LENH_GOC!G32),LENH_GOC!G32,DATE(VALUE(MID(LENH_GOC!G32,7,4)),VALUE(MID(LENH_GOC!G32,4,2)),VALUE(LEFT(LENH_GOC!G32,2)))+TIME(VALUE(MID(LENH_GOC!G32,12,2)),VALUE(MID(LENH_GOC!G32,15,2)),VALUE(MID(LENH_GOC!G32,18,2)))))), "")</x:f>
      </x:c>
      <x:c r="O31" t="str">
        <x:f>IF($K31="","",IF(LENH_GOC!E32="","",LENH_GOC!E32))</x:f>
      </x:c>
      <x:c r="P31" t="str">
        <x:f>IF($K31="","",IF(LENH_GOC!F32="","",LENH_GOC!F32))</x:f>
      </x:c>
      <x:c r="Q31" t="str">
        <x:f>IFERROR(IF($K31="","",IF(LENH_GOC!P32="","",IFERROR(VALUE(LENH_GOC!P32),IF(OR(LENH_GOC!P32=TRUE,UPPER(TRIM(LENH_GOC!P32))="TRUE"),1,0)))),"")</x:f>
      </x:c>
      <x:c r="R31" t="str">
        <x:f>IF($K31="","",IF(LENH_GOC!Q32="","",LENH_GOC!Q32))</x:f>
      </x:c>
      <x:c r="S31" s="249" t="str">
        <x:f>IF($K31="","",IF(LENH_GOC!R32="","",LENH_GOC!R32))</x:f>
      </x:c>
      <x:c r="T31" t="n">
        <x:f>IFERROR(IF($K31="",0,IF(AND(ISNUMBER($N31),INT($N31)=CAI_DAT!$B$4,LEFT(UPPER(TRIM($L31)),2)=LEFT(UPPER(TRIM(CAI_DAT!$B$5)),2),$Q31=1,OR(AND($M31="SO",ISNUMBER($P31),$P31&gt;0),AND($M31="MO",ISNUMBER($O31),$O31&gt;0))),1,0)),0)</x:f>
        <x:v>0</x:v>
      </x:c>
      <x:c r="U31" t="str">
        <x:f>IFERROR(IF($T31=0,"",IF($M31="SO",$P31,IF(AND($M31="MO",OR($R31=TRUE,$R31="TRUE"),ISNUMBER($P31),$P31&gt;0),$P31,$O31))),"")</x:f>
      </x:c>
      <x:c r="V31" t="str">
        <x:f>IFERROR(IF($T31=0,"",MOD($N31,1)*86400),"")</x:f>
      </x:c>
      <x:c r="W31" t="str">
        <x:f>IFERROR(IF($T31=0,"",COUNTIFS($T$3:$T$202,1,$V$3:$V$202,"&lt;"&amp;$V31)+COUNTIFS($T$3:$T31,1,$V$3:$V31,$V31)),"")</x:f>
      </x:c>
      <x:c r="X31" t="str">
        <x:f>IFERROR(IF($T31=0,"",IF($M31="SO","SO: dùng CS hoàn thành",IF(AND($M31="MO",OR($R31=TRUE,$R31="TRUE"),ISNUMBER($P31),$P31&gt;0),"MO dừng sớm: dùng CS hoàn thành","MO: dùng CS ra lệnh"))),"")</x:f>
      </x:c>
    </x:row>
    <x:row r="32">
      <x:c r="A32" s="38" t="n">
        <x:f>ROW()-2</x:f>
        <x:v>30</x:v>
      </x:c>
      <x:c r="B32" s="142" t="str">
        <x:f>IFERROR(IF($H32="","",INDEX($L$3:$L$202,MATCH($H32,$W$3:$W$202,0))),"")</x:f>
      </x:c>
      <x:c r="C32" s="157" t="str">
        <x:f>IFERROR(IF($H32="","",INDEX($N$3:$N$202,MATCH($H32,$W$3:$W$202,0))),"")</x:f>
      </x:c>
      <x:c r="D32" s="167" t="str">
        <x:f>IFERROR(IF($H32="","",INDEX($U$3:$U$202,MATCH($H32,$W$3:$W$202,0))),"")</x:f>
      </x:c>
      <x:c r="E32" s="167" t="str">
        <x:f>IFERROR(IF($H32="","",INDEX(LENH_GOC!$H$4:$H$203,MATCH(INDEX($K$3:$K$202,MATCH($H32,$W$3:$W$202,0)),LENH_GOC!$A$4:$A$203,0))),"")</x:f>
      </x:c>
      <x:c r="F32" s="167" t="str">
        <x:f>IFERROR(IF($H32="","",INDEX($P$3:$P$202,MATCH($H32,$W$3:$W$202,0))),"")</x:f>
      </x:c>
      <x:c r="G32" s="39" t="str">
        <x:f>IFERROR(IF($H32="","",INDEX($X$3:$X$202,MATCH($H32,$W$3:$W$202,0))),"")</x:f>
      </x:c>
      <x:c r="H32" t="str">
        <x:f>IFERROR(IF(ROW()-2&lt;=CAI_DAT!$B$10,ROW()-2,""),"")</x:f>
      </x:c>
      <x:c r="J32" t="str">
        <x:f>IF(LENH_GOC!A33="","",33)</x:f>
      </x:c>
      <x:c r="K32" t="str">
        <x:f>IF(LENH_GOC!A33="","",LENH_GOC!A33)</x:f>
      </x:c>
      <x:c r="L32" t="str">
        <x:f>IF($K32="","",IFERROR(TRIM(LENH_GOC!C33),""))</x:f>
      </x:c>
      <x:c r="M32" t="str">
        <x:f>IF($K32="","",IFERROR(UPPER(TRIM(LENH_GOC!Y33)),""))</x:f>
      </x:c>
      <x:c r="N32" s="249" t="str">
        <x:f>IFERROR(IF($K32="","",IF(LENH_GOC!G33="","",IF(ISNUMBER(LENH_GOC!G33),LENH_GOC!G33,DATE(VALUE(MID(LENH_GOC!G33,7,4)),VALUE(MID(LENH_GOC!G33,4,2)),VALUE(LEFT(LENH_GOC!G33,2)))+TIME(VALUE(MID(LENH_GOC!G33,12,2)),VALUE(MID(LENH_GOC!G33,15,2)),VALUE(MID(LENH_GOC!G33,18,2)))))), "")</x:f>
      </x:c>
      <x:c r="O32" t="str">
        <x:f>IF($K32="","",IF(LENH_GOC!E33="","",LENH_GOC!E33))</x:f>
      </x:c>
      <x:c r="P32" t="str">
        <x:f>IF($K32="","",IF(LENH_GOC!F33="","",LENH_GOC!F33))</x:f>
      </x:c>
      <x:c r="Q32" t="str">
        <x:f>IFERROR(IF($K32="","",IF(LENH_GOC!P33="","",IFERROR(VALUE(LENH_GOC!P33),IF(OR(LENH_GOC!P33=TRUE,UPPER(TRIM(LENH_GOC!P33))="TRUE"),1,0)))),"")</x:f>
      </x:c>
      <x:c r="R32" t="str">
        <x:f>IF($K32="","",IF(LENH_GOC!Q33="","",LENH_GOC!Q33))</x:f>
      </x:c>
      <x:c r="S32" s="249" t="str">
        <x:f>IF($K32="","",IF(LENH_GOC!R33="","",LENH_GOC!R33))</x:f>
      </x:c>
      <x:c r="T32" t="n">
        <x:f>IFERROR(IF($K32="",0,IF(AND(ISNUMBER($N32),INT($N32)=CAI_DAT!$B$4,LEFT(UPPER(TRIM($L32)),2)=LEFT(UPPER(TRIM(CAI_DAT!$B$5)),2),$Q32=1,OR(AND($M32="SO",ISNUMBER($P32),$P32&gt;0),AND($M32="MO",ISNUMBER($O32),$O32&gt;0))),1,0)),0)</x:f>
        <x:v>0</x:v>
      </x:c>
      <x:c r="U32" t="str">
        <x:f>IFERROR(IF($T32=0,"",IF($M32="SO",$P32,IF(AND($M32="MO",OR($R32=TRUE,$R32="TRUE"),ISNUMBER($P32),$P32&gt;0),$P32,$O32))),"")</x:f>
      </x:c>
      <x:c r="V32" t="str">
        <x:f>IFERROR(IF($T32=0,"",MOD($N32,1)*86400),"")</x:f>
      </x:c>
      <x:c r="W32" t="str">
        <x:f>IFERROR(IF($T32=0,"",COUNTIFS($T$3:$T$202,1,$V$3:$V$202,"&lt;"&amp;$V32)+COUNTIFS($T$3:$T32,1,$V$3:$V32,$V32)),"")</x:f>
      </x:c>
      <x:c r="X32" t="str">
        <x:f>IFERROR(IF($T32=0,"",IF($M32="SO","SO: dùng CS hoàn thành",IF(AND($M32="MO",OR($R32=TRUE,$R32="TRUE"),ISNUMBER($P32),$P32&gt;0),"MO dừng sớm: dùng CS hoàn thành","MO: dùng CS ra lệnh"))),"")</x:f>
      </x:c>
    </x:row>
    <x:row r="33">
      <x:c r="A33" s="38" t="n">
        <x:f>ROW()-2</x:f>
        <x:v>31</x:v>
      </x:c>
      <x:c r="B33" s="142" t="str">
        <x:f>IFERROR(IF($H33="","",INDEX($L$3:$L$202,MATCH($H33,$W$3:$W$202,0))),"")</x:f>
      </x:c>
      <x:c r="C33" s="157" t="str">
        <x:f>IFERROR(IF($H33="","",INDEX($N$3:$N$202,MATCH($H33,$W$3:$W$202,0))),"")</x:f>
      </x:c>
      <x:c r="D33" s="167" t="str">
        <x:f>IFERROR(IF($H33="","",INDEX($U$3:$U$202,MATCH($H33,$W$3:$W$202,0))),"")</x:f>
      </x:c>
      <x:c r="E33" s="167" t="str">
        <x:f>IFERROR(IF($H33="","",INDEX(LENH_GOC!$H$4:$H$203,MATCH(INDEX($K$3:$K$202,MATCH($H33,$W$3:$W$202,0)),LENH_GOC!$A$4:$A$203,0))),"")</x:f>
      </x:c>
      <x:c r="F33" s="167" t="str">
        <x:f>IFERROR(IF($H33="","",INDEX($P$3:$P$202,MATCH($H33,$W$3:$W$202,0))),"")</x:f>
      </x:c>
      <x:c r="G33" s="39" t="str">
        <x:f>IFERROR(IF($H33="","",INDEX($X$3:$X$202,MATCH($H33,$W$3:$W$202,0))),"")</x:f>
      </x:c>
      <x:c r="H33" t="str">
        <x:f>IFERROR(IF(ROW()-2&lt;=CAI_DAT!$B$10,ROW()-2,""),"")</x:f>
      </x:c>
      <x:c r="J33" t="str">
        <x:f>IF(LENH_GOC!A34="","",34)</x:f>
      </x:c>
      <x:c r="K33" t="str">
        <x:f>IF(LENH_GOC!A34="","",LENH_GOC!A34)</x:f>
      </x:c>
      <x:c r="L33" t="str">
        <x:f>IF($K33="","",IFERROR(TRIM(LENH_GOC!C34),""))</x:f>
      </x:c>
      <x:c r="M33" t="str">
        <x:f>IF($K33="","",IFERROR(UPPER(TRIM(LENH_GOC!Y34)),""))</x:f>
      </x:c>
      <x:c r="N33" s="249" t="str">
        <x:f>IFERROR(IF($K33="","",IF(LENH_GOC!G34="","",IF(ISNUMBER(LENH_GOC!G34),LENH_GOC!G34,DATE(VALUE(MID(LENH_GOC!G34,7,4)),VALUE(MID(LENH_GOC!G34,4,2)),VALUE(LEFT(LENH_GOC!G34,2)))+TIME(VALUE(MID(LENH_GOC!G34,12,2)),VALUE(MID(LENH_GOC!G34,15,2)),VALUE(MID(LENH_GOC!G34,18,2)))))), "")</x:f>
      </x:c>
      <x:c r="O33" t="str">
        <x:f>IF($K33="","",IF(LENH_GOC!E34="","",LENH_GOC!E34))</x:f>
      </x:c>
      <x:c r="P33" t="str">
        <x:f>IF($K33="","",IF(LENH_GOC!F34="","",LENH_GOC!F34))</x:f>
      </x:c>
      <x:c r="Q33" t="str">
        <x:f>IFERROR(IF($K33="","",IF(LENH_GOC!P34="","",IFERROR(VALUE(LENH_GOC!P34),IF(OR(LENH_GOC!P34=TRUE,UPPER(TRIM(LENH_GOC!P34))="TRUE"),1,0)))),"")</x:f>
      </x:c>
      <x:c r="R33" t="str">
        <x:f>IF($K33="","",IF(LENH_GOC!Q34="","",LENH_GOC!Q34))</x:f>
      </x:c>
      <x:c r="S33" s="249" t="str">
        <x:f>IF($K33="","",IF(LENH_GOC!R34="","",LENH_GOC!R34))</x:f>
      </x:c>
      <x:c r="T33" t="n">
        <x:f>IFERROR(IF($K33="",0,IF(AND(ISNUMBER($N33),INT($N33)=CAI_DAT!$B$4,LEFT(UPPER(TRIM($L33)),2)=LEFT(UPPER(TRIM(CAI_DAT!$B$5)),2),$Q33=1,OR(AND($M33="SO",ISNUMBER($P33),$P33&gt;0),AND($M33="MO",ISNUMBER($O33),$O33&gt;0))),1,0)),0)</x:f>
        <x:v>0</x:v>
      </x:c>
      <x:c r="U33" t="str">
        <x:f>IFERROR(IF($T33=0,"",IF($M33="SO",$P33,IF(AND($M33="MO",OR($R33=TRUE,$R33="TRUE"),ISNUMBER($P33),$P33&gt;0),$P33,$O33))),"")</x:f>
      </x:c>
      <x:c r="V33" t="str">
        <x:f>IFERROR(IF($T33=0,"",MOD($N33,1)*86400),"")</x:f>
      </x:c>
      <x:c r="W33" t="str">
        <x:f>IFERROR(IF($T33=0,"",COUNTIFS($T$3:$T$202,1,$V$3:$V$202,"&lt;"&amp;$V33)+COUNTIFS($T$3:$T33,1,$V$3:$V33,$V33)),"")</x:f>
      </x:c>
      <x:c r="X33" t="str">
        <x:f>IFERROR(IF($T33=0,"",IF($M33="SO","SO: dùng CS hoàn thành",IF(AND($M33="MO",OR($R33=TRUE,$R33="TRUE"),ISNUMBER($P33),$P33&gt;0),"MO dừng sớm: dùng CS hoàn thành","MO: dùng CS ra lệnh"))),"")</x:f>
      </x:c>
    </x:row>
    <x:row r="34">
      <x:c r="A34" s="38" t="n">
        <x:f>ROW()-2</x:f>
        <x:v>32</x:v>
      </x:c>
      <x:c r="B34" s="142" t="str">
        <x:f>IFERROR(IF($H34="","",INDEX($L$3:$L$202,MATCH($H34,$W$3:$W$202,0))),"")</x:f>
      </x:c>
      <x:c r="C34" s="157" t="str">
        <x:f>IFERROR(IF($H34="","",INDEX($N$3:$N$202,MATCH($H34,$W$3:$W$202,0))),"")</x:f>
      </x:c>
      <x:c r="D34" s="167" t="str">
        <x:f>IFERROR(IF($H34="","",INDEX($U$3:$U$202,MATCH($H34,$W$3:$W$202,0))),"")</x:f>
      </x:c>
      <x:c r="E34" s="167" t="str">
        <x:f>IFERROR(IF($H34="","",INDEX(LENH_GOC!$H$4:$H$203,MATCH(INDEX($K$3:$K$202,MATCH($H34,$W$3:$W$202,0)),LENH_GOC!$A$4:$A$203,0))),"")</x:f>
      </x:c>
      <x:c r="F34" s="167" t="str">
        <x:f>IFERROR(IF($H34="","",INDEX($P$3:$P$202,MATCH($H34,$W$3:$W$202,0))),"")</x:f>
      </x:c>
      <x:c r="G34" s="39" t="str">
        <x:f>IFERROR(IF($H34="","",INDEX($X$3:$X$202,MATCH($H34,$W$3:$W$202,0))),"")</x:f>
      </x:c>
      <x:c r="H34" t="str">
        <x:f>IFERROR(IF(ROW()-2&lt;=CAI_DAT!$B$10,ROW()-2,""),"")</x:f>
      </x:c>
      <x:c r="J34" t="str">
        <x:f>IF(LENH_GOC!A35="","",35)</x:f>
      </x:c>
      <x:c r="K34" t="str">
        <x:f>IF(LENH_GOC!A35="","",LENH_GOC!A35)</x:f>
      </x:c>
      <x:c r="L34" t="str">
        <x:f>IF($K34="","",IFERROR(TRIM(LENH_GOC!C35),""))</x:f>
      </x:c>
      <x:c r="M34" t="str">
        <x:f>IF($K34="","",IFERROR(UPPER(TRIM(LENH_GOC!Y35)),""))</x:f>
      </x:c>
      <x:c r="N34" s="249" t="str">
        <x:f>IFERROR(IF($K34="","",IF(LENH_GOC!G35="","",IF(ISNUMBER(LENH_GOC!G35),LENH_GOC!G35,DATE(VALUE(MID(LENH_GOC!G35,7,4)),VALUE(MID(LENH_GOC!G35,4,2)),VALUE(LEFT(LENH_GOC!G35,2)))+TIME(VALUE(MID(LENH_GOC!G35,12,2)),VALUE(MID(LENH_GOC!G35,15,2)),VALUE(MID(LENH_GOC!G35,18,2)))))), "")</x:f>
      </x:c>
      <x:c r="O34" t="str">
        <x:f>IF($K34="","",IF(LENH_GOC!E35="","",LENH_GOC!E35))</x:f>
      </x:c>
      <x:c r="P34" t="str">
        <x:f>IF($K34="","",IF(LENH_GOC!F35="","",LENH_GOC!F35))</x:f>
      </x:c>
      <x:c r="Q34" t="str">
        <x:f>IFERROR(IF($K34="","",IF(LENH_GOC!P35="","",IFERROR(VALUE(LENH_GOC!P35),IF(OR(LENH_GOC!P35=TRUE,UPPER(TRIM(LENH_GOC!P35))="TRUE"),1,0)))),"")</x:f>
      </x:c>
      <x:c r="R34" t="str">
        <x:f>IF($K34="","",IF(LENH_GOC!Q35="","",LENH_GOC!Q35))</x:f>
      </x:c>
      <x:c r="S34" s="249" t="str">
        <x:f>IF($K34="","",IF(LENH_GOC!R35="","",LENH_GOC!R35))</x:f>
      </x:c>
      <x:c r="T34" t="n">
        <x:f>IFERROR(IF($K34="",0,IF(AND(ISNUMBER($N34),INT($N34)=CAI_DAT!$B$4,LEFT(UPPER(TRIM($L34)),2)=LEFT(UPPER(TRIM(CAI_DAT!$B$5)),2),$Q34=1,OR(AND($M34="SO",ISNUMBER($P34),$P34&gt;0),AND($M34="MO",ISNUMBER($O34),$O34&gt;0))),1,0)),0)</x:f>
        <x:v>0</x:v>
      </x:c>
      <x:c r="U34" t="str">
        <x:f>IFERROR(IF($T34=0,"",IF($M34="SO",$P34,IF(AND($M34="MO",OR($R34=TRUE,$R34="TRUE"),ISNUMBER($P34),$P34&gt;0),$P34,$O34))),"")</x:f>
      </x:c>
      <x:c r="V34" t="str">
        <x:f>IFERROR(IF($T34=0,"",MOD($N34,1)*86400),"")</x:f>
      </x:c>
      <x:c r="W34" t="str">
        <x:f>IFERROR(IF($T34=0,"",COUNTIFS($T$3:$T$202,1,$V$3:$V$202,"&lt;"&amp;$V34)+COUNTIFS($T$3:$T34,1,$V$3:$V34,$V34)),"")</x:f>
      </x:c>
      <x:c r="X34" t="str">
        <x:f>IFERROR(IF($T34=0,"",IF($M34="SO","SO: dùng CS hoàn thành",IF(AND($M34="MO",OR($R34=TRUE,$R34="TRUE"),ISNUMBER($P34),$P34&gt;0),"MO dừng sớm: dùng CS hoàn thành","MO: dùng CS ra lệnh"))),"")</x:f>
      </x:c>
    </x:row>
    <x:row r="35">
      <x:c r="A35" s="38" t="n">
        <x:f>ROW()-2</x:f>
        <x:v>33</x:v>
      </x:c>
      <x:c r="B35" s="142" t="str">
        <x:f>IFERROR(IF($H35="","",INDEX($L$3:$L$202,MATCH($H35,$W$3:$W$202,0))),"")</x:f>
      </x:c>
      <x:c r="C35" s="157" t="str">
        <x:f>IFERROR(IF($H35="","",INDEX($N$3:$N$202,MATCH($H35,$W$3:$W$202,0))),"")</x:f>
      </x:c>
      <x:c r="D35" s="167" t="str">
        <x:f>IFERROR(IF($H35="","",INDEX($U$3:$U$202,MATCH($H35,$W$3:$W$202,0))),"")</x:f>
      </x:c>
      <x:c r="E35" s="167" t="str">
        <x:f>IFERROR(IF($H35="","",INDEX(LENH_GOC!$H$4:$H$203,MATCH(INDEX($K$3:$K$202,MATCH($H35,$W$3:$W$202,0)),LENH_GOC!$A$4:$A$203,0))),"")</x:f>
      </x:c>
      <x:c r="F35" s="167" t="str">
        <x:f>IFERROR(IF($H35="","",INDEX($P$3:$P$202,MATCH($H35,$W$3:$W$202,0))),"")</x:f>
      </x:c>
      <x:c r="G35" s="39" t="str">
        <x:f>IFERROR(IF($H35="","",INDEX($X$3:$X$202,MATCH($H35,$W$3:$W$202,0))),"")</x:f>
      </x:c>
      <x:c r="H35" t="str">
        <x:f>IFERROR(IF(ROW()-2&lt;=CAI_DAT!$B$10,ROW()-2,""),"")</x:f>
      </x:c>
      <x:c r="J35" t="str">
        <x:f>IF(LENH_GOC!A36="","",36)</x:f>
      </x:c>
      <x:c r="K35" t="str">
        <x:f>IF(LENH_GOC!A36="","",LENH_GOC!A36)</x:f>
      </x:c>
      <x:c r="L35" t="str">
        <x:f>IF($K35="","",IFERROR(TRIM(LENH_GOC!C36),""))</x:f>
      </x:c>
      <x:c r="M35" t="str">
        <x:f>IF($K35="","",IFERROR(UPPER(TRIM(LENH_GOC!Y36)),""))</x:f>
      </x:c>
      <x:c r="N35" s="249" t="str">
        <x:f>IFERROR(IF($K35="","",IF(LENH_GOC!G36="","",IF(ISNUMBER(LENH_GOC!G36),LENH_GOC!G36,DATE(VALUE(MID(LENH_GOC!G36,7,4)),VALUE(MID(LENH_GOC!G36,4,2)),VALUE(LEFT(LENH_GOC!G36,2)))+TIME(VALUE(MID(LENH_GOC!G36,12,2)),VALUE(MID(LENH_GOC!G36,15,2)),VALUE(MID(LENH_GOC!G36,18,2)))))), "")</x:f>
      </x:c>
      <x:c r="O35" t="str">
        <x:f>IF($K35="","",IF(LENH_GOC!E36="","",LENH_GOC!E36))</x:f>
      </x:c>
      <x:c r="P35" t="str">
        <x:f>IF($K35="","",IF(LENH_GOC!F36="","",LENH_GOC!F36))</x:f>
      </x:c>
      <x:c r="Q35" t="str">
        <x:f>IFERROR(IF($K35="","",IF(LENH_GOC!P36="","",IFERROR(VALUE(LENH_GOC!P36),IF(OR(LENH_GOC!P36=TRUE,UPPER(TRIM(LENH_GOC!P36))="TRUE"),1,0)))),"")</x:f>
      </x:c>
      <x:c r="R35" t="str">
        <x:f>IF($K35="","",IF(LENH_GOC!Q36="","",LENH_GOC!Q36))</x:f>
      </x:c>
      <x:c r="S35" s="249" t="str">
        <x:f>IF($K35="","",IF(LENH_GOC!R36="","",LENH_GOC!R36))</x:f>
      </x:c>
      <x:c r="T35" t="n">
        <x:f>IFERROR(IF($K35="",0,IF(AND(ISNUMBER($N35),INT($N35)=CAI_DAT!$B$4,LEFT(UPPER(TRIM($L35)),2)=LEFT(UPPER(TRIM(CAI_DAT!$B$5)),2),$Q35=1,OR(AND($M35="SO",ISNUMBER($P35),$P35&gt;0),AND($M35="MO",ISNUMBER($O35),$O35&gt;0))),1,0)),0)</x:f>
        <x:v>0</x:v>
      </x:c>
      <x:c r="U35" t="str">
        <x:f>IFERROR(IF($T35=0,"",IF($M35="SO",$P35,IF(AND($M35="MO",OR($R35=TRUE,$R35="TRUE"),ISNUMBER($P35),$P35&gt;0),$P35,$O35))),"")</x:f>
      </x:c>
      <x:c r="V35" t="str">
        <x:f>IFERROR(IF($T35=0,"",MOD($N35,1)*86400),"")</x:f>
      </x:c>
      <x:c r="W35" t="str">
        <x:f>IFERROR(IF($T35=0,"",COUNTIFS($T$3:$T$202,1,$V$3:$V$202,"&lt;"&amp;$V35)+COUNTIFS($T$3:$T35,1,$V$3:$V35,$V35)),"")</x:f>
      </x:c>
      <x:c r="X35" t="str">
        <x:f>IFERROR(IF($T35=0,"",IF($M35="SO","SO: dùng CS hoàn thành",IF(AND($M35="MO",OR($R35=TRUE,$R35="TRUE"),ISNUMBER($P35),$P35&gt;0),"MO dừng sớm: dùng CS hoàn thành","MO: dùng CS ra lệnh"))),"")</x:f>
      </x:c>
    </x:row>
    <x:row r="36">
      <x:c r="A36" s="38" t="n">
        <x:f>ROW()-2</x:f>
        <x:v>34</x:v>
      </x:c>
      <x:c r="B36" s="142" t="str">
        <x:f>IFERROR(IF($H36="","",INDEX($L$3:$L$202,MATCH($H36,$W$3:$W$202,0))),"")</x:f>
      </x:c>
      <x:c r="C36" s="157" t="str">
        <x:f>IFERROR(IF($H36="","",INDEX($N$3:$N$202,MATCH($H36,$W$3:$W$202,0))),"")</x:f>
      </x:c>
      <x:c r="D36" s="167" t="str">
        <x:f>IFERROR(IF($H36="","",INDEX($U$3:$U$202,MATCH($H36,$W$3:$W$202,0))),"")</x:f>
      </x:c>
      <x:c r="E36" s="167" t="str">
        <x:f>IFERROR(IF($H36="","",INDEX(LENH_GOC!$H$4:$H$203,MATCH(INDEX($K$3:$K$202,MATCH($H36,$W$3:$W$202,0)),LENH_GOC!$A$4:$A$203,0))),"")</x:f>
      </x:c>
      <x:c r="F36" s="167" t="str">
        <x:f>IFERROR(IF($H36="","",INDEX($P$3:$P$202,MATCH($H36,$W$3:$W$202,0))),"")</x:f>
      </x:c>
      <x:c r="G36" s="39" t="str">
        <x:f>IFERROR(IF($H36="","",INDEX($X$3:$X$202,MATCH($H36,$W$3:$W$202,0))),"")</x:f>
      </x:c>
      <x:c r="H36" t="str">
        <x:f>IFERROR(IF(ROW()-2&lt;=CAI_DAT!$B$10,ROW()-2,""),"")</x:f>
      </x:c>
      <x:c r="J36" t="str">
        <x:f>IF(LENH_GOC!A37="","",37)</x:f>
      </x:c>
      <x:c r="K36" t="str">
        <x:f>IF(LENH_GOC!A37="","",LENH_GOC!A37)</x:f>
      </x:c>
      <x:c r="L36" t="str">
        <x:f>IF($K36="","",IFERROR(TRIM(LENH_GOC!C37),""))</x:f>
      </x:c>
      <x:c r="M36" t="str">
        <x:f>IF($K36="","",IFERROR(UPPER(TRIM(LENH_GOC!Y37)),""))</x:f>
      </x:c>
      <x:c r="N36" s="249" t="str">
        <x:f>IFERROR(IF($K36="","",IF(LENH_GOC!G37="","",IF(ISNUMBER(LENH_GOC!G37),LENH_GOC!G37,DATE(VALUE(MID(LENH_GOC!G37,7,4)),VALUE(MID(LENH_GOC!G37,4,2)),VALUE(LEFT(LENH_GOC!G37,2)))+TIME(VALUE(MID(LENH_GOC!G37,12,2)),VALUE(MID(LENH_GOC!G37,15,2)),VALUE(MID(LENH_GOC!G37,18,2)))))), "")</x:f>
      </x:c>
      <x:c r="O36" t="str">
        <x:f>IF($K36="","",IF(LENH_GOC!E37="","",LENH_GOC!E37))</x:f>
      </x:c>
      <x:c r="P36" t="str">
        <x:f>IF($K36="","",IF(LENH_GOC!F37="","",LENH_GOC!F37))</x:f>
      </x:c>
      <x:c r="Q36" t="str">
        <x:f>IFERROR(IF($K36="","",IF(LENH_GOC!P37="","",IFERROR(VALUE(LENH_GOC!P37),IF(OR(LENH_GOC!P37=TRUE,UPPER(TRIM(LENH_GOC!P37))="TRUE"),1,0)))),"")</x:f>
      </x:c>
      <x:c r="R36" t="str">
        <x:f>IF($K36="","",IF(LENH_GOC!Q37="","",LENH_GOC!Q37))</x:f>
      </x:c>
      <x:c r="S36" s="249" t="str">
        <x:f>IF($K36="","",IF(LENH_GOC!R37="","",LENH_GOC!R37))</x:f>
      </x:c>
      <x:c r="T36" t="n">
        <x:f>IFERROR(IF($K36="",0,IF(AND(ISNUMBER($N36),INT($N36)=CAI_DAT!$B$4,LEFT(UPPER(TRIM($L36)),2)=LEFT(UPPER(TRIM(CAI_DAT!$B$5)),2),$Q36=1,OR(AND($M36="SO",ISNUMBER($P36),$P36&gt;0),AND($M36="MO",ISNUMBER($O36),$O36&gt;0))),1,0)),0)</x:f>
        <x:v>0</x:v>
      </x:c>
      <x:c r="U36" t="str">
        <x:f>IFERROR(IF($T36=0,"",IF($M36="SO",$P36,IF(AND($M36="MO",OR($R36=TRUE,$R36="TRUE"),ISNUMBER($P36),$P36&gt;0),$P36,$O36))),"")</x:f>
      </x:c>
      <x:c r="V36" t="str">
        <x:f>IFERROR(IF($T36=0,"",MOD($N36,1)*86400),"")</x:f>
      </x:c>
      <x:c r="W36" t="str">
        <x:f>IFERROR(IF($T36=0,"",COUNTIFS($T$3:$T$202,1,$V$3:$V$202,"&lt;"&amp;$V36)+COUNTIFS($T$3:$T36,1,$V$3:$V36,$V36)),"")</x:f>
      </x:c>
      <x:c r="X36" t="str">
        <x:f>IFERROR(IF($T36=0,"",IF($M36="SO","SO: dùng CS hoàn thành",IF(AND($M36="MO",OR($R36=TRUE,$R36="TRUE"),ISNUMBER($P36),$P36&gt;0),"MO dừng sớm: dùng CS hoàn thành","MO: dùng CS ra lệnh"))),"")</x:f>
      </x:c>
    </x:row>
    <x:row r="37">
      <x:c r="A37" s="38" t="n">
        <x:f>ROW()-2</x:f>
        <x:v>35</x:v>
      </x:c>
      <x:c r="B37" s="142" t="str">
        <x:f>IFERROR(IF($H37="","",INDEX($L$3:$L$202,MATCH($H37,$W$3:$W$202,0))),"")</x:f>
      </x:c>
      <x:c r="C37" s="157" t="str">
        <x:f>IFERROR(IF($H37="","",INDEX($N$3:$N$202,MATCH($H37,$W$3:$W$202,0))),"")</x:f>
      </x:c>
      <x:c r="D37" s="167" t="str">
        <x:f>IFERROR(IF($H37="","",INDEX($U$3:$U$202,MATCH($H37,$W$3:$W$202,0))),"")</x:f>
      </x:c>
      <x:c r="E37" s="167" t="str">
        <x:f>IFERROR(IF($H37="","",INDEX(LENH_GOC!$H$4:$H$203,MATCH(INDEX($K$3:$K$202,MATCH($H37,$W$3:$W$202,0)),LENH_GOC!$A$4:$A$203,0))),"")</x:f>
      </x:c>
      <x:c r="F37" s="167" t="str">
        <x:f>IFERROR(IF($H37="","",INDEX($P$3:$P$202,MATCH($H37,$W$3:$W$202,0))),"")</x:f>
      </x:c>
      <x:c r="G37" s="39" t="str">
        <x:f>IFERROR(IF($H37="","",INDEX($X$3:$X$202,MATCH($H37,$W$3:$W$202,0))),"")</x:f>
      </x:c>
      <x:c r="H37" t="str">
        <x:f>IFERROR(IF(ROW()-2&lt;=CAI_DAT!$B$10,ROW()-2,""),"")</x:f>
      </x:c>
      <x:c r="J37" t="str">
        <x:f>IF(LENH_GOC!A38="","",38)</x:f>
      </x:c>
      <x:c r="K37" t="str">
        <x:f>IF(LENH_GOC!A38="","",LENH_GOC!A38)</x:f>
      </x:c>
      <x:c r="L37" t="str">
        <x:f>IF($K37="","",IFERROR(TRIM(LENH_GOC!C38),""))</x:f>
      </x:c>
      <x:c r="M37" t="str">
        <x:f>IF($K37="","",IFERROR(UPPER(TRIM(LENH_GOC!Y38)),""))</x:f>
      </x:c>
      <x:c r="N37" s="249" t="str">
        <x:f>IFERROR(IF($K37="","",IF(LENH_GOC!G38="","",IF(ISNUMBER(LENH_GOC!G38),LENH_GOC!G38,DATE(VALUE(MID(LENH_GOC!G38,7,4)),VALUE(MID(LENH_GOC!G38,4,2)),VALUE(LEFT(LENH_GOC!G38,2)))+TIME(VALUE(MID(LENH_GOC!G38,12,2)),VALUE(MID(LENH_GOC!G38,15,2)),VALUE(MID(LENH_GOC!G38,18,2)))))), "")</x:f>
      </x:c>
      <x:c r="O37" t="str">
        <x:f>IF($K37="","",IF(LENH_GOC!E38="","",LENH_GOC!E38))</x:f>
      </x:c>
      <x:c r="P37" t="str">
        <x:f>IF($K37="","",IF(LENH_GOC!F38="","",LENH_GOC!F38))</x:f>
      </x:c>
      <x:c r="Q37" t="str">
        <x:f>IFERROR(IF($K37="","",IF(LENH_GOC!P38="","",IFERROR(VALUE(LENH_GOC!P38),IF(OR(LENH_GOC!P38=TRUE,UPPER(TRIM(LENH_GOC!P38))="TRUE"),1,0)))),"")</x:f>
      </x:c>
      <x:c r="R37" t="str">
        <x:f>IF($K37="","",IF(LENH_GOC!Q38="","",LENH_GOC!Q38))</x:f>
      </x:c>
      <x:c r="S37" s="249" t="str">
        <x:f>IF($K37="","",IF(LENH_GOC!R38="","",LENH_GOC!R38))</x:f>
      </x:c>
      <x:c r="T37" t="n">
        <x:f>IFERROR(IF($K37="",0,IF(AND(ISNUMBER($N37),INT($N37)=CAI_DAT!$B$4,LEFT(UPPER(TRIM($L37)),2)=LEFT(UPPER(TRIM(CAI_DAT!$B$5)),2),$Q37=1,OR(AND($M37="SO",ISNUMBER($P37),$P37&gt;0),AND($M37="MO",ISNUMBER($O37),$O37&gt;0))),1,0)),0)</x:f>
        <x:v>0</x:v>
      </x:c>
      <x:c r="U37" t="str">
        <x:f>IFERROR(IF($T37=0,"",IF($M37="SO",$P37,IF(AND($M37="MO",OR($R37=TRUE,$R37="TRUE"),ISNUMBER($P37),$P37&gt;0),$P37,$O37))),"")</x:f>
      </x:c>
      <x:c r="V37" t="str">
        <x:f>IFERROR(IF($T37=0,"",MOD($N37,1)*86400),"")</x:f>
      </x:c>
      <x:c r="W37" t="str">
        <x:f>IFERROR(IF($T37=0,"",COUNTIFS($T$3:$T$202,1,$V$3:$V$202,"&lt;"&amp;$V37)+COUNTIFS($T$3:$T37,1,$V$3:$V37,$V37)),"")</x:f>
      </x:c>
      <x:c r="X37" t="str">
        <x:f>IFERROR(IF($T37=0,"",IF($M37="SO","SO: dùng CS hoàn thành",IF(AND($M37="MO",OR($R37=TRUE,$R37="TRUE"),ISNUMBER($P37),$P37&gt;0),"MO dừng sớm: dùng CS hoàn thành","MO: dùng CS ra lệnh"))),"")</x:f>
      </x:c>
    </x:row>
    <x:row r="38">
      <x:c r="A38" s="38" t="n">
        <x:f>ROW()-2</x:f>
        <x:v>36</x:v>
      </x:c>
      <x:c r="B38" s="142" t="str">
        <x:f>IFERROR(IF($H38="","",INDEX($L$3:$L$202,MATCH($H38,$W$3:$W$202,0))),"")</x:f>
      </x:c>
      <x:c r="C38" s="157" t="str">
        <x:f>IFERROR(IF($H38="","",INDEX($N$3:$N$202,MATCH($H38,$W$3:$W$202,0))),"")</x:f>
      </x:c>
      <x:c r="D38" s="167" t="str">
        <x:f>IFERROR(IF($H38="","",INDEX($U$3:$U$202,MATCH($H38,$W$3:$W$202,0))),"")</x:f>
      </x:c>
      <x:c r="E38" s="167" t="str">
        <x:f>IFERROR(IF($H38="","",INDEX(LENH_GOC!$H$4:$H$203,MATCH(INDEX($K$3:$K$202,MATCH($H38,$W$3:$W$202,0)),LENH_GOC!$A$4:$A$203,0))),"")</x:f>
      </x:c>
      <x:c r="F38" s="167" t="str">
        <x:f>IFERROR(IF($H38="","",INDEX($P$3:$P$202,MATCH($H38,$W$3:$W$202,0))),"")</x:f>
      </x:c>
      <x:c r="G38" s="39" t="str">
        <x:f>IFERROR(IF($H38="","",INDEX($X$3:$X$202,MATCH($H38,$W$3:$W$202,0))),"")</x:f>
      </x:c>
      <x:c r="H38" t="str">
        <x:f>IFERROR(IF(ROW()-2&lt;=CAI_DAT!$B$10,ROW()-2,""),"")</x:f>
      </x:c>
      <x:c r="J38" t="str">
        <x:f>IF(LENH_GOC!A39="","",39)</x:f>
      </x:c>
      <x:c r="K38" t="str">
        <x:f>IF(LENH_GOC!A39="","",LENH_GOC!A39)</x:f>
      </x:c>
      <x:c r="L38" t="str">
        <x:f>IF($K38="","",IFERROR(TRIM(LENH_GOC!C39),""))</x:f>
      </x:c>
      <x:c r="M38" t="str">
        <x:f>IF($K38="","",IFERROR(UPPER(TRIM(LENH_GOC!Y39)),""))</x:f>
      </x:c>
      <x:c r="N38" s="249" t="str">
        <x:f>IFERROR(IF($K38="","",IF(LENH_GOC!G39="","",IF(ISNUMBER(LENH_GOC!G39),LENH_GOC!G39,DATE(VALUE(MID(LENH_GOC!G39,7,4)),VALUE(MID(LENH_GOC!G39,4,2)),VALUE(LEFT(LENH_GOC!G39,2)))+TIME(VALUE(MID(LENH_GOC!G39,12,2)),VALUE(MID(LENH_GOC!G39,15,2)),VALUE(MID(LENH_GOC!G39,18,2)))))), "")</x:f>
      </x:c>
      <x:c r="O38" t="str">
        <x:f>IF($K38="","",IF(LENH_GOC!E39="","",LENH_GOC!E39))</x:f>
      </x:c>
      <x:c r="P38" t="str">
        <x:f>IF($K38="","",IF(LENH_GOC!F39="","",LENH_GOC!F39))</x:f>
      </x:c>
      <x:c r="Q38" t="str">
        <x:f>IFERROR(IF($K38="","",IF(LENH_GOC!P39="","",IFERROR(VALUE(LENH_GOC!P39),IF(OR(LENH_GOC!P39=TRUE,UPPER(TRIM(LENH_GOC!P39))="TRUE"),1,0)))),"")</x:f>
      </x:c>
      <x:c r="R38" t="str">
        <x:f>IF($K38="","",IF(LENH_GOC!Q39="","",LENH_GOC!Q39))</x:f>
      </x:c>
      <x:c r="S38" s="249" t="str">
        <x:f>IF($K38="","",IF(LENH_GOC!R39="","",LENH_GOC!R39))</x:f>
      </x:c>
      <x:c r="T38" t="n">
        <x:f>IFERROR(IF($K38="",0,IF(AND(ISNUMBER($N38),INT($N38)=CAI_DAT!$B$4,LEFT(UPPER(TRIM($L38)),2)=LEFT(UPPER(TRIM(CAI_DAT!$B$5)),2),$Q38=1,OR(AND($M38="SO",ISNUMBER($P38),$P38&gt;0),AND($M38="MO",ISNUMBER($O38),$O38&gt;0))),1,0)),0)</x:f>
        <x:v>0</x:v>
      </x:c>
      <x:c r="U38" t="str">
        <x:f>IFERROR(IF($T38=0,"",IF($M38="SO",$P38,IF(AND($M38="MO",OR($R38=TRUE,$R38="TRUE"),ISNUMBER($P38),$P38&gt;0),$P38,$O38))),"")</x:f>
      </x:c>
      <x:c r="V38" t="str">
        <x:f>IFERROR(IF($T38=0,"",MOD($N38,1)*86400),"")</x:f>
      </x:c>
      <x:c r="W38" t="str">
        <x:f>IFERROR(IF($T38=0,"",COUNTIFS($T$3:$T$202,1,$V$3:$V$202,"&lt;"&amp;$V38)+COUNTIFS($T$3:$T38,1,$V$3:$V38,$V38)),"")</x:f>
      </x:c>
      <x:c r="X38" t="str">
        <x:f>IFERROR(IF($T38=0,"",IF($M38="SO","SO: dùng CS hoàn thành",IF(AND($M38="MO",OR($R38=TRUE,$R38="TRUE"),ISNUMBER($P38),$P38&gt;0),"MO dừng sớm: dùng CS hoàn thành","MO: dùng CS ra lệnh"))),"")</x:f>
      </x:c>
    </x:row>
    <x:row r="39">
      <x:c r="A39" s="38" t="n">
        <x:f>ROW()-2</x:f>
        <x:v>37</x:v>
      </x:c>
      <x:c r="B39" s="142" t="str">
        <x:f>IFERROR(IF($H39="","",INDEX($L$3:$L$202,MATCH($H39,$W$3:$W$202,0))),"")</x:f>
      </x:c>
      <x:c r="C39" s="157" t="str">
        <x:f>IFERROR(IF($H39="","",INDEX($N$3:$N$202,MATCH($H39,$W$3:$W$202,0))),"")</x:f>
      </x:c>
      <x:c r="D39" s="167" t="str">
        <x:f>IFERROR(IF($H39="","",INDEX($U$3:$U$202,MATCH($H39,$W$3:$W$202,0))),"")</x:f>
      </x:c>
      <x:c r="E39" s="167" t="str">
        <x:f>IFERROR(IF($H39="","",INDEX(LENH_GOC!$H$4:$H$203,MATCH(INDEX($K$3:$K$202,MATCH($H39,$W$3:$W$202,0)),LENH_GOC!$A$4:$A$203,0))),"")</x:f>
      </x:c>
      <x:c r="F39" s="167" t="str">
        <x:f>IFERROR(IF($H39="","",INDEX($P$3:$P$202,MATCH($H39,$W$3:$W$202,0))),"")</x:f>
      </x:c>
      <x:c r="G39" s="39" t="str">
        <x:f>IFERROR(IF($H39="","",INDEX($X$3:$X$202,MATCH($H39,$W$3:$W$202,0))),"")</x:f>
      </x:c>
      <x:c r="H39" t="str">
        <x:f>IFERROR(IF(ROW()-2&lt;=CAI_DAT!$B$10,ROW()-2,""),"")</x:f>
      </x:c>
      <x:c r="J39" t="str">
        <x:f>IF(LENH_GOC!A40="","",40)</x:f>
      </x:c>
      <x:c r="K39" t="str">
        <x:f>IF(LENH_GOC!A40="","",LENH_GOC!A40)</x:f>
      </x:c>
      <x:c r="L39" t="str">
        <x:f>IF($K39="","",IFERROR(TRIM(LENH_GOC!C40),""))</x:f>
      </x:c>
      <x:c r="M39" t="str">
        <x:f>IF($K39="","",IFERROR(UPPER(TRIM(LENH_GOC!Y40)),""))</x:f>
      </x:c>
      <x:c r="N39" s="249" t="str">
        <x:f>IFERROR(IF($K39="","",IF(LENH_GOC!G40="","",IF(ISNUMBER(LENH_GOC!G40),LENH_GOC!G40,DATE(VALUE(MID(LENH_GOC!G40,7,4)),VALUE(MID(LENH_GOC!G40,4,2)),VALUE(LEFT(LENH_GOC!G40,2)))+TIME(VALUE(MID(LENH_GOC!G40,12,2)),VALUE(MID(LENH_GOC!G40,15,2)),VALUE(MID(LENH_GOC!G40,18,2)))))), "")</x:f>
      </x:c>
      <x:c r="O39" t="str">
        <x:f>IF($K39="","",IF(LENH_GOC!E40="","",LENH_GOC!E40))</x:f>
      </x:c>
      <x:c r="P39" t="str">
        <x:f>IF($K39="","",IF(LENH_GOC!F40="","",LENH_GOC!F40))</x:f>
      </x:c>
      <x:c r="Q39" t="str">
        <x:f>IFERROR(IF($K39="","",IF(LENH_GOC!P40="","",IFERROR(VALUE(LENH_GOC!P40),IF(OR(LENH_GOC!P40=TRUE,UPPER(TRIM(LENH_GOC!P40))="TRUE"),1,0)))),"")</x:f>
      </x:c>
      <x:c r="R39" t="str">
        <x:f>IF($K39="","",IF(LENH_GOC!Q40="","",LENH_GOC!Q40))</x:f>
      </x:c>
      <x:c r="S39" s="249" t="str">
        <x:f>IF($K39="","",IF(LENH_GOC!R40="","",LENH_GOC!R40))</x:f>
      </x:c>
      <x:c r="T39" t="n">
        <x:f>IFERROR(IF($K39="",0,IF(AND(ISNUMBER($N39),INT($N39)=CAI_DAT!$B$4,LEFT(UPPER(TRIM($L39)),2)=LEFT(UPPER(TRIM(CAI_DAT!$B$5)),2),$Q39=1,OR(AND($M39="SO",ISNUMBER($P39),$P39&gt;0),AND($M39="MO",ISNUMBER($O39),$O39&gt;0))),1,0)),0)</x:f>
        <x:v>0</x:v>
      </x:c>
      <x:c r="U39" t="str">
        <x:f>IFERROR(IF($T39=0,"",IF($M39="SO",$P39,IF(AND($M39="MO",OR($R39=TRUE,$R39="TRUE"),ISNUMBER($P39),$P39&gt;0),$P39,$O39))),"")</x:f>
      </x:c>
      <x:c r="V39" t="str">
        <x:f>IFERROR(IF($T39=0,"",MOD($N39,1)*86400),"")</x:f>
      </x:c>
      <x:c r="W39" t="str">
        <x:f>IFERROR(IF($T39=0,"",COUNTIFS($T$3:$T$202,1,$V$3:$V$202,"&lt;"&amp;$V39)+COUNTIFS($T$3:$T39,1,$V$3:$V39,$V39)),"")</x:f>
      </x:c>
      <x:c r="X39" t="str">
        <x:f>IFERROR(IF($T39=0,"",IF($M39="SO","SO: dùng CS hoàn thành",IF(AND($M39="MO",OR($R39=TRUE,$R39="TRUE"),ISNUMBER($P39),$P39&gt;0),"MO dừng sớm: dùng CS hoàn thành","MO: dùng CS ra lệnh"))),"")</x:f>
      </x:c>
    </x:row>
    <x:row r="40">
      <x:c r="A40" s="38" t="n">
        <x:f>ROW()-2</x:f>
        <x:v>38</x:v>
      </x:c>
      <x:c r="B40" s="142" t="str">
        <x:f>IFERROR(IF($H40="","",INDEX($L$3:$L$202,MATCH($H40,$W$3:$W$202,0))),"")</x:f>
      </x:c>
      <x:c r="C40" s="157" t="str">
        <x:f>IFERROR(IF($H40="","",INDEX($N$3:$N$202,MATCH($H40,$W$3:$W$202,0))),"")</x:f>
      </x:c>
      <x:c r="D40" s="167" t="str">
        <x:f>IFERROR(IF($H40="","",INDEX($U$3:$U$202,MATCH($H40,$W$3:$W$202,0))),"")</x:f>
      </x:c>
      <x:c r="E40" s="167" t="str">
        <x:f>IFERROR(IF($H40="","",INDEX(LENH_GOC!$H$4:$H$203,MATCH(INDEX($K$3:$K$202,MATCH($H40,$W$3:$W$202,0)),LENH_GOC!$A$4:$A$203,0))),"")</x:f>
      </x:c>
      <x:c r="F40" s="167" t="str">
        <x:f>IFERROR(IF($H40="","",INDEX($P$3:$P$202,MATCH($H40,$W$3:$W$202,0))),"")</x:f>
      </x:c>
      <x:c r="G40" s="39" t="str">
        <x:f>IFERROR(IF($H40="","",INDEX($X$3:$X$202,MATCH($H40,$W$3:$W$202,0))),"")</x:f>
      </x:c>
      <x:c r="H40" t="str">
        <x:f>IFERROR(IF(ROW()-2&lt;=CAI_DAT!$B$10,ROW()-2,""),"")</x:f>
      </x:c>
      <x:c r="J40" t="str">
        <x:f>IF(LENH_GOC!A41="","",41)</x:f>
      </x:c>
      <x:c r="K40" t="str">
        <x:f>IF(LENH_GOC!A41="","",LENH_GOC!A41)</x:f>
      </x:c>
      <x:c r="L40" t="str">
        <x:f>IF($K40="","",IFERROR(TRIM(LENH_GOC!C41),""))</x:f>
      </x:c>
      <x:c r="M40" t="str">
        <x:f>IF($K40="","",IFERROR(UPPER(TRIM(LENH_GOC!Y41)),""))</x:f>
      </x:c>
      <x:c r="N40" s="249" t="str">
        <x:f>IFERROR(IF($K40="","",IF(LENH_GOC!G41="","",IF(ISNUMBER(LENH_GOC!G41),LENH_GOC!G41,DATE(VALUE(MID(LENH_GOC!G41,7,4)),VALUE(MID(LENH_GOC!G41,4,2)),VALUE(LEFT(LENH_GOC!G41,2)))+TIME(VALUE(MID(LENH_GOC!G41,12,2)),VALUE(MID(LENH_GOC!G41,15,2)),VALUE(MID(LENH_GOC!G41,18,2)))))), "")</x:f>
      </x:c>
      <x:c r="O40" t="str">
        <x:f>IF($K40="","",IF(LENH_GOC!E41="","",LENH_GOC!E41))</x:f>
      </x:c>
      <x:c r="P40" t="str">
        <x:f>IF($K40="","",IF(LENH_GOC!F41="","",LENH_GOC!F41))</x:f>
      </x:c>
      <x:c r="Q40" t="str">
        <x:f>IFERROR(IF($K40="","",IF(LENH_GOC!P41="","",IFERROR(VALUE(LENH_GOC!P41),IF(OR(LENH_GOC!P41=TRUE,UPPER(TRIM(LENH_GOC!P41))="TRUE"),1,0)))),"")</x:f>
      </x:c>
      <x:c r="R40" t="str">
        <x:f>IF($K40="","",IF(LENH_GOC!Q41="","",LENH_GOC!Q41))</x:f>
      </x:c>
      <x:c r="S40" s="249" t="str">
        <x:f>IF($K40="","",IF(LENH_GOC!R41="","",LENH_GOC!R41))</x:f>
      </x:c>
      <x:c r="T40" t="n">
        <x:f>IFERROR(IF($K40="",0,IF(AND(ISNUMBER($N40),INT($N40)=CAI_DAT!$B$4,LEFT(UPPER(TRIM($L40)),2)=LEFT(UPPER(TRIM(CAI_DAT!$B$5)),2),$Q40=1,OR(AND($M40="SO",ISNUMBER($P40),$P40&gt;0),AND($M40="MO",ISNUMBER($O40),$O40&gt;0))),1,0)),0)</x:f>
        <x:v>0</x:v>
      </x:c>
      <x:c r="U40" t="str">
        <x:f>IFERROR(IF($T40=0,"",IF($M40="SO",$P40,IF(AND($M40="MO",OR($R40=TRUE,$R40="TRUE"),ISNUMBER($P40),$P40&gt;0),$P40,$O40))),"")</x:f>
      </x:c>
      <x:c r="V40" t="str">
        <x:f>IFERROR(IF($T40=0,"",MOD($N40,1)*86400),"")</x:f>
      </x:c>
      <x:c r="W40" t="str">
        <x:f>IFERROR(IF($T40=0,"",COUNTIFS($T$3:$T$202,1,$V$3:$V$202,"&lt;"&amp;$V40)+COUNTIFS($T$3:$T40,1,$V$3:$V40,$V40)),"")</x:f>
      </x:c>
      <x:c r="X40" t="str">
        <x:f>IFERROR(IF($T40=0,"",IF($M40="SO","SO: dùng CS hoàn thành",IF(AND($M40="MO",OR($R40=TRUE,$R40="TRUE"),ISNUMBER($P40),$P40&gt;0),"MO dừng sớm: dùng CS hoàn thành","MO: dùng CS ra lệnh"))),"")</x:f>
      </x:c>
    </x:row>
    <x:row r="41">
      <x:c r="A41" s="38" t="n">
        <x:f>ROW()-2</x:f>
        <x:v>39</x:v>
      </x:c>
      <x:c r="B41" s="142" t="str">
        <x:f>IFERROR(IF($H41="","",INDEX($L$3:$L$202,MATCH($H41,$W$3:$W$202,0))),"")</x:f>
      </x:c>
      <x:c r="C41" s="157" t="str">
        <x:f>IFERROR(IF($H41="","",INDEX($N$3:$N$202,MATCH($H41,$W$3:$W$202,0))),"")</x:f>
      </x:c>
      <x:c r="D41" s="167" t="str">
        <x:f>IFERROR(IF($H41="","",INDEX($U$3:$U$202,MATCH($H41,$W$3:$W$202,0))),"")</x:f>
      </x:c>
      <x:c r="E41" s="167" t="str">
        <x:f>IFERROR(IF($H41="","",INDEX(LENH_GOC!$H$4:$H$203,MATCH(INDEX($K$3:$K$202,MATCH($H41,$W$3:$W$202,0)),LENH_GOC!$A$4:$A$203,0))),"")</x:f>
      </x:c>
      <x:c r="F41" s="167" t="str">
        <x:f>IFERROR(IF($H41="","",INDEX($P$3:$P$202,MATCH($H41,$W$3:$W$202,0))),"")</x:f>
      </x:c>
      <x:c r="G41" s="39" t="str">
        <x:f>IFERROR(IF($H41="","",INDEX($X$3:$X$202,MATCH($H41,$W$3:$W$202,0))),"")</x:f>
      </x:c>
      <x:c r="H41" t="str">
        <x:f>IFERROR(IF(ROW()-2&lt;=CAI_DAT!$B$10,ROW()-2,""),"")</x:f>
      </x:c>
      <x:c r="J41" t="str">
        <x:f>IF(LENH_GOC!A42="","",42)</x:f>
      </x:c>
      <x:c r="K41" t="str">
        <x:f>IF(LENH_GOC!A42="","",LENH_GOC!A42)</x:f>
      </x:c>
      <x:c r="L41" t="str">
        <x:f>IF($K41="","",IFERROR(TRIM(LENH_GOC!C42),""))</x:f>
      </x:c>
      <x:c r="M41" t="str">
        <x:f>IF($K41="","",IFERROR(UPPER(TRIM(LENH_GOC!Y42)),""))</x:f>
      </x:c>
      <x:c r="N41" s="249" t="str">
        <x:f>IFERROR(IF($K41="","",IF(LENH_GOC!G42="","",IF(ISNUMBER(LENH_GOC!G42),LENH_GOC!G42,DATE(VALUE(MID(LENH_GOC!G42,7,4)),VALUE(MID(LENH_GOC!G42,4,2)),VALUE(LEFT(LENH_GOC!G42,2)))+TIME(VALUE(MID(LENH_GOC!G42,12,2)),VALUE(MID(LENH_GOC!G42,15,2)),VALUE(MID(LENH_GOC!G42,18,2)))))), "")</x:f>
      </x:c>
      <x:c r="O41" t="str">
        <x:f>IF($K41="","",IF(LENH_GOC!E42="","",LENH_GOC!E42))</x:f>
      </x:c>
      <x:c r="P41" t="str">
        <x:f>IF($K41="","",IF(LENH_GOC!F42="","",LENH_GOC!F42))</x:f>
      </x:c>
      <x:c r="Q41" t="str">
        <x:f>IFERROR(IF($K41="","",IF(LENH_GOC!P42="","",IFERROR(VALUE(LENH_GOC!P42),IF(OR(LENH_GOC!P42=TRUE,UPPER(TRIM(LENH_GOC!P42))="TRUE"),1,0)))),"")</x:f>
      </x:c>
      <x:c r="R41" t="str">
        <x:f>IF($K41="","",IF(LENH_GOC!Q42="","",LENH_GOC!Q42))</x:f>
      </x:c>
      <x:c r="S41" s="249" t="str">
        <x:f>IF($K41="","",IF(LENH_GOC!R42="","",LENH_GOC!R42))</x:f>
      </x:c>
      <x:c r="T41" t="n">
        <x:f>IFERROR(IF($K41="",0,IF(AND(ISNUMBER($N41),INT($N41)=CAI_DAT!$B$4,LEFT(UPPER(TRIM($L41)),2)=LEFT(UPPER(TRIM(CAI_DAT!$B$5)),2),$Q41=1,OR(AND($M41="SO",ISNUMBER($P41),$P41&gt;0),AND($M41="MO",ISNUMBER($O41),$O41&gt;0))),1,0)),0)</x:f>
        <x:v>0</x:v>
      </x:c>
      <x:c r="U41" t="str">
        <x:f>IFERROR(IF($T41=0,"",IF($M41="SO",$P41,IF(AND($M41="MO",OR($R41=TRUE,$R41="TRUE"),ISNUMBER($P41),$P41&gt;0),$P41,$O41))),"")</x:f>
      </x:c>
      <x:c r="V41" t="str">
        <x:f>IFERROR(IF($T41=0,"",MOD($N41,1)*86400),"")</x:f>
      </x:c>
      <x:c r="W41" t="str">
        <x:f>IFERROR(IF($T41=0,"",COUNTIFS($T$3:$T$202,1,$V$3:$V$202,"&lt;"&amp;$V41)+COUNTIFS($T$3:$T41,1,$V$3:$V41,$V41)),"")</x:f>
      </x:c>
      <x:c r="X41" t="str">
        <x:f>IFERROR(IF($T41=0,"",IF($M41="SO","SO: dùng CS hoàn thành",IF(AND($M41="MO",OR($R41=TRUE,$R41="TRUE"),ISNUMBER($P41),$P41&gt;0),"MO dừng sớm: dùng CS hoàn thành","MO: dùng CS ra lệnh"))),"")</x:f>
      </x:c>
    </x:row>
    <x:row r="42">
      <x:c r="A42" s="38" t="n">
        <x:f>ROW()-2</x:f>
        <x:v>40</x:v>
      </x:c>
      <x:c r="B42" s="142" t="str">
        <x:f>IFERROR(IF($H42="","",INDEX($L$3:$L$202,MATCH($H42,$W$3:$W$202,0))),"")</x:f>
      </x:c>
      <x:c r="C42" s="157" t="str">
        <x:f>IFERROR(IF($H42="","",INDEX($N$3:$N$202,MATCH($H42,$W$3:$W$202,0))),"")</x:f>
      </x:c>
      <x:c r="D42" s="167" t="str">
        <x:f>IFERROR(IF($H42="","",INDEX($U$3:$U$202,MATCH($H42,$W$3:$W$202,0))),"")</x:f>
      </x:c>
      <x:c r="E42" s="167" t="str">
        <x:f>IFERROR(IF($H42="","",INDEX(LENH_GOC!$H$4:$H$203,MATCH(INDEX($K$3:$K$202,MATCH($H42,$W$3:$W$202,0)),LENH_GOC!$A$4:$A$203,0))),"")</x:f>
      </x:c>
      <x:c r="F42" s="167" t="str">
        <x:f>IFERROR(IF($H42="","",INDEX($P$3:$P$202,MATCH($H42,$W$3:$W$202,0))),"")</x:f>
      </x:c>
      <x:c r="G42" s="39" t="str">
        <x:f>IFERROR(IF($H42="","",INDEX($X$3:$X$202,MATCH($H42,$W$3:$W$202,0))),"")</x:f>
      </x:c>
      <x:c r="H42" t="str">
        <x:f>IFERROR(IF(ROW()-2&lt;=CAI_DAT!$B$10,ROW()-2,""),"")</x:f>
      </x:c>
      <x:c r="J42" t="str">
        <x:f>IF(LENH_GOC!A43="","",43)</x:f>
      </x:c>
      <x:c r="K42" t="str">
        <x:f>IF(LENH_GOC!A43="","",LENH_GOC!A43)</x:f>
      </x:c>
      <x:c r="L42" t="str">
        <x:f>IF($K42="","",IFERROR(TRIM(LENH_GOC!C43),""))</x:f>
      </x:c>
      <x:c r="M42" t="str">
        <x:f>IF($K42="","",IFERROR(UPPER(TRIM(LENH_GOC!Y43)),""))</x:f>
      </x:c>
      <x:c r="N42" s="249" t="str">
        <x:f>IFERROR(IF($K42="","",IF(LENH_GOC!G43="","",IF(ISNUMBER(LENH_GOC!G43),LENH_GOC!G43,DATE(VALUE(MID(LENH_GOC!G43,7,4)),VALUE(MID(LENH_GOC!G43,4,2)),VALUE(LEFT(LENH_GOC!G43,2)))+TIME(VALUE(MID(LENH_GOC!G43,12,2)),VALUE(MID(LENH_GOC!G43,15,2)),VALUE(MID(LENH_GOC!G43,18,2)))))), "")</x:f>
      </x:c>
      <x:c r="O42" t="str">
        <x:f>IF($K42="","",IF(LENH_GOC!E43="","",LENH_GOC!E43))</x:f>
      </x:c>
      <x:c r="P42" t="str">
        <x:f>IF($K42="","",IF(LENH_GOC!F43="","",LENH_GOC!F43))</x:f>
      </x:c>
      <x:c r="Q42" t="str">
        <x:f>IFERROR(IF($K42="","",IF(LENH_GOC!P43="","",IFERROR(VALUE(LENH_GOC!P43),IF(OR(LENH_GOC!P43=TRUE,UPPER(TRIM(LENH_GOC!P43))="TRUE"),1,0)))),"")</x:f>
      </x:c>
      <x:c r="R42" t="str">
        <x:f>IF($K42="","",IF(LENH_GOC!Q43="","",LENH_GOC!Q43))</x:f>
      </x:c>
      <x:c r="S42" s="249" t="str">
        <x:f>IF($K42="","",IF(LENH_GOC!R43="","",LENH_GOC!R43))</x:f>
      </x:c>
      <x:c r="T42" t="n">
        <x:f>IFERROR(IF($K42="",0,IF(AND(ISNUMBER($N42),INT($N42)=CAI_DAT!$B$4,LEFT(UPPER(TRIM($L42)),2)=LEFT(UPPER(TRIM(CAI_DAT!$B$5)),2),$Q42=1,OR(AND($M42="SO",ISNUMBER($P42),$P42&gt;0),AND($M42="MO",ISNUMBER($O42),$O42&gt;0))),1,0)),0)</x:f>
        <x:v>0</x:v>
      </x:c>
      <x:c r="U42" t="str">
        <x:f>IFERROR(IF($T42=0,"",IF($M42="SO",$P42,IF(AND($M42="MO",OR($R42=TRUE,$R42="TRUE"),ISNUMBER($P42),$P42&gt;0),$P42,$O42))),"")</x:f>
      </x:c>
      <x:c r="V42" t="str">
        <x:f>IFERROR(IF($T42=0,"",MOD($N42,1)*86400),"")</x:f>
      </x:c>
      <x:c r="W42" t="str">
        <x:f>IFERROR(IF($T42=0,"",COUNTIFS($T$3:$T$202,1,$V$3:$V$202,"&lt;"&amp;$V42)+COUNTIFS($T$3:$T42,1,$V$3:$V42,$V42)),"")</x:f>
      </x:c>
      <x:c r="X42" t="str">
        <x:f>IFERROR(IF($T42=0,"",IF($M42="SO","SO: dùng CS hoàn thành",IF(AND($M42="MO",OR($R42=TRUE,$R42="TRUE"),ISNUMBER($P42),$P42&gt;0),"MO dừng sớm: dùng CS hoàn thành","MO: dùng CS ra lệnh"))),"")</x:f>
      </x:c>
    </x:row>
    <x:row r="43">
      <x:c r="A43" s="38" t="n">
        <x:f>ROW()-2</x:f>
        <x:v>41</x:v>
      </x:c>
      <x:c r="B43" s="142" t="str">
        <x:f>IFERROR(IF($H43="","",INDEX($L$3:$L$202,MATCH($H43,$W$3:$W$202,0))),"")</x:f>
      </x:c>
      <x:c r="C43" s="157" t="str">
        <x:f>IFERROR(IF($H43="","",INDEX($N$3:$N$202,MATCH($H43,$W$3:$W$202,0))),"")</x:f>
      </x:c>
      <x:c r="D43" s="167" t="str">
        <x:f>IFERROR(IF($H43="","",INDEX($U$3:$U$202,MATCH($H43,$W$3:$W$202,0))),"")</x:f>
      </x:c>
      <x:c r="E43" s="167" t="str">
        <x:f>IFERROR(IF($H43="","",INDEX(LENH_GOC!$H$4:$H$203,MATCH(INDEX($K$3:$K$202,MATCH($H43,$W$3:$W$202,0)),LENH_GOC!$A$4:$A$203,0))),"")</x:f>
      </x:c>
      <x:c r="F43" s="167" t="str">
        <x:f>IFERROR(IF($H43="","",INDEX($P$3:$P$202,MATCH($H43,$W$3:$W$202,0))),"")</x:f>
      </x:c>
      <x:c r="G43" s="39" t="str">
        <x:f>IFERROR(IF($H43="","",INDEX($X$3:$X$202,MATCH($H43,$W$3:$W$202,0))),"")</x:f>
      </x:c>
      <x:c r="H43" t="str">
        <x:f>IFERROR(IF(ROW()-2&lt;=CAI_DAT!$B$10,ROW()-2,""),"")</x:f>
      </x:c>
      <x:c r="J43" t="str">
        <x:f>IF(LENH_GOC!A44="","",44)</x:f>
      </x:c>
      <x:c r="K43" t="str">
        <x:f>IF(LENH_GOC!A44="","",LENH_GOC!A44)</x:f>
      </x:c>
      <x:c r="L43" t="str">
        <x:f>IF($K43="","",IFERROR(TRIM(LENH_GOC!C44),""))</x:f>
      </x:c>
      <x:c r="M43" t="str">
        <x:f>IF($K43="","",IFERROR(UPPER(TRIM(LENH_GOC!Y44)),""))</x:f>
      </x:c>
      <x:c r="N43" s="249" t="str">
        <x:f>IFERROR(IF($K43="","",IF(LENH_GOC!G44="","",IF(ISNUMBER(LENH_GOC!G44),LENH_GOC!G44,DATE(VALUE(MID(LENH_GOC!G44,7,4)),VALUE(MID(LENH_GOC!G44,4,2)),VALUE(LEFT(LENH_GOC!G44,2)))+TIME(VALUE(MID(LENH_GOC!G44,12,2)),VALUE(MID(LENH_GOC!G44,15,2)),VALUE(MID(LENH_GOC!G44,18,2)))))), "")</x:f>
      </x:c>
      <x:c r="O43" t="str">
        <x:f>IF($K43="","",IF(LENH_GOC!E44="","",LENH_GOC!E44))</x:f>
      </x:c>
      <x:c r="P43" t="str">
        <x:f>IF($K43="","",IF(LENH_GOC!F44="","",LENH_GOC!F44))</x:f>
      </x:c>
      <x:c r="Q43" t="str">
        <x:f>IFERROR(IF($K43="","",IF(LENH_GOC!P44="","",IFERROR(VALUE(LENH_GOC!P44),IF(OR(LENH_GOC!P44=TRUE,UPPER(TRIM(LENH_GOC!P44))="TRUE"),1,0)))),"")</x:f>
      </x:c>
      <x:c r="R43" t="str">
        <x:f>IF($K43="","",IF(LENH_GOC!Q44="","",LENH_GOC!Q44))</x:f>
      </x:c>
      <x:c r="S43" s="249" t="str">
        <x:f>IF($K43="","",IF(LENH_GOC!R44="","",LENH_GOC!R44))</x:f>
      </x:c>
      <x:c r="T43" t="n">
        <x:f>IFERROR(IF($K43="",0,IF(AND(ISNUMBER($N43),INT($N43)=CAI_DAT!$B$4,LEFT(UPPER(TRIM($L43)),2)=LEFT(UPPER(TRIM(CAI_DAT!$B$5)),2),$Q43=1,OR(AND($M43="SO",ISNUMBER($P43),$P43&gt;0),AND($M43="MO",ISNUMBER($O43),$O43&gt;0))),1,0)),0)</x:f>
        <x:v>0</x:v>
      </x:c>
      <x:c r="U43" t="str">
        <x:f>IFERROR(IF($T43=0,"",IF($M43="SO",$P43,IF(AND($M43="MO",OR($R43=TRUE,$R43="TRUE"),ISNUMBER($P43),$P43&gt;0),$P43,$O43))),"")</x:f>
      </x:c>
      <x:c r="V43" t="str">
        <x:f>IFERROR(IF($T43=0,"",MOD($N43,1)*86400),"")</x:f>
      </x:c>
      <x:c r="W43" t="str">
        <x:f>IFERROR(IF($T43=0,"",COUNTIFS($T$3:$T$202,1,$V$3:$V$202,"&lt;"&amp;$V43)+COUNTIFS($T$3:$T43,1,$V$3:$V43,$V43)),"")</x:f>
      </x:c>
      <x:c r="X43" t="str">
        <x:f>IFERROR(IF($T43=0,"",IF($M43="SO","SO: dùng CS hoàn thành",IF(AND($M43="MO",OR($R43=TRUE,$R43="TRUE"),ISNUMBER($P43),$P43&gt;0),"MO dừng sớm: dùng CS hoàn thành","MO: dùng CS ra lệnh"))),"")</x:f>
      </x:c>
    </x:row>
    <x:row r="44">
      <x:c r="A44" s="38" t="n">
        <x:f>ROW()-2</x:f>
        <x:v>42</x:v>
      </x:c>
      <x:c r="B44" s="142" t="str">
        <x:f>IFERROR(IF($H44="","",INDEX($L$3:$L$202,MATCH($H44,$W$3:$W$202,0))),"")</x:f>
      </x:c>
      <x:c r="C44" s="157" t="str">
        <x:f>IFERROR(IF($H44="","",INDEX($N$3:$N$202,MATCH($H44,$W$3:$W$202,0))),"")</x:f>
      </x:c>
      <x:c r="D44" s="167" t="str">
        <x:f>IFERROR(IF($H44="","",INDEX($U$3:$U$202,MATCH($H44,$W$3:$W$202,0))),"")</x:f>
      </x:c>
      <x:c r="E44" s="167" t="str">
        <x:f>IFERROR(IF($H44="","",INDEX(LENH_GOC!$H$4:$H$203,MATCH(INDEX($K$3:$K$202,MATCH($H44,$W$3:$W$202,0)),LENH_GOC!$A$4:$A$203,0))),"")</x:f>
      </x:c>
      <x:c r="F44" s="167" t="str">
        <x:f>IFERROR(IF($H44="","",INDEX($P$3:$P$202,MATCH($H44,$W$3:$W$202,0))),"")</x:f>
      </x:c>
      <x:c r="G44" s="39" t="str">
        <x:f>IFERROR(IF($H44="","",INDEX($X$3:$X$202,MATCH($H44,$W$3:$W$202,0))),"")</x:f>
      </x:c>
      <x:c r="H44" t="str">
        <x:f>IFERROR(IF(ROW()-2&lt;=CAI_DAT!$B$10,ROW()-2,""),"")</x:f>
      </x:c>
      <x:c r="J44" t="str">
        <x:f>IF(LENH_GOC!A45="","",45)</x:f>
      </x:c>
      <x:c r="K44" t="str">
        <x:f>IF(LENH_GOC!A45="","",LENH_GOC!A45)</x:f>
      </x:c>
      <x:c r="L44" t="str">
        <x:f>IF($K44="","",IFERROR(TRIM(LENH_GOC!C45),""))</x:f>
      </x:c>
      <x:c r="M44" t="str">
        <x:f>IF($K44="","",IFERROR(UPPER(TRIM(LENH_GOC!Y45)),""))</x:f>
      </x:c>
      <x:c r="N44" s="249" t="str">
        <x:f>IFERROR(IF($K44="","",IF(LENH_GOC!G45="","",IF(ISNUMBER(LENH_GOC!G45),LENH_GOC!G45,DATE(VALUE(MID(LENH_GOC!G45,7,4)),VALUE(MID(LENH_GOC!G45,4,2)),VALUE(LEFT(LENH_GOC!G45,2)))+TIME(VALUE(MID(LENH_GOC!G45,12,2)),VALUE(MID(LENH_GOC!G45,15,2)),VALUE(MID(LENH_GOC!G45,18,2)))))), "")</x:f>
      </x:c>
      <x:c r="O44" t="str">
        <x:f>IF($K44="","",IF(LENH_GOC!E45="","",LENH_GOC!E45))</x:f>
      </x:c>
      <x:c r="P44" t="str">
        <x:f>IF($K44="","",IF(LENH_GOC!F45="","",LENH_GOC!F45))</x:f>
      </x:c>
      <x:c r="Q44" t="str">
        <x:f>IFERROR(IF($K44="","",IF(LENH_GOC!P45="","",IFERROR(VALUE(LENH_GOC!P45),IF(OR(LENH_GOC!P45=TRUE,UPPER(TRIM(LENH_GOC!P45))="TRUE"),1,0)))),"")</x:f>
      </x:c>
      <x:c r="R44" t="str">
        <x:f>IF($K44="","",IF(LENH_GOC!Q45="","",LENH_GOC!Q45))</x:f>
      </x:c>
      <x:c r="S44" s="249" t="str">
        <x:f>IF($K44="","",IF(LENH_GOC!R45="","",LENH_GOC!R45))</x:f>
      </x:c>
      <x:c r="T44" t="n">
        <x:f>IFERROR(IF($K44="",0,IF(AND(ISNUMBER($N44),INT($N44)=CAI_DAT!$B$4,LEFT(UPPER(TRIM($L44)),2)=LEFT(UPPER(TRIM(CAI_DAT!$B$5)),2),$Q44=1,OR(AND($M44="SO",ISNUMBER($P44),$P44&gt;0),AND($M44="MO",ISNUMBER($O44),$O44&gt;0))),1,0)),0)</x:f>
        <x:v>0</x:v>
      </x:c>
      <x:c r="U44" t="str">
        <x:f>IFERROR(IF($T44=0,"",IF($M44="SO",$P44,IF(AND($M44="MO",OR($R44=TRUE,$R44="TRUE"),ISNUMBER($P44),$P44&gt;0),$P44,$O44))),"")</x:f>
      </x:c>
      <x:c r="V44" t="str">
        <x:f>IFERROR(IF($T44=0,"",MOD($N44,1)*86400),"")</x:f>
      </x:c>
      <x:c r="W44" t="str">
        <x:f>IFERROR(IF($T44=0,"",COUNTIFS($T$3:$T$202,1,$V$3:$V$202,"&lt;"&amp;$V44)+COUNTIFS($T$3:$T44,1,$V$3:$V44,$V44)),"")</x:f>
      </x:c>
      <x:c r="X44" t="str">
        <x:f>IFERROR(IF($T44=0,"",IF($M44="SO","SO: dùng CS hoàn thành",IF(AND($M44="MO",OR($R44=TRUE,$R44="TRUE"),ISNUMBER($P44),$P44&gt;0),"MO dừng sớm: dùng CS hoàn thành","MO: dùng CS ra lệnh"))),"")</x:f>
      </x:c>
    </x:row>
    <x:row r="45">
      <x:c r="A45" s="38" t="n">
        <x:f>ROW()-2</x:f>
        <x:v>43</x:v>
      </x:c>
      <x:c r="B45" s="142" t="str">
        <x:f>IFERROR(IF($H45="","",INDEX($L$3:$L$202,MATCH($H45,$W$3:$W$202,0))),"")</x:f>
      </x:c>
      <x:c r="C45" s="157" t="str">
        <x:f>IFERROR(IF($H45="","",INDEX($N$3:$N$202,MATCH($H45,$W$3:$W$202,0))),"")</x:f>
      </x:c>
      <x:c r="D45" s="167" t="str">
        <x:f>IFERROR(IF($H45="","",INDEX($U$3:$U$202,MATCH($H45,$W$3:$W$202,0))),"")</x:f>
      </x:c>
      <x:c r="E45" s="167" t="str">
        <x:f>IFERROR(IF($H45="","",INDEX(LENH_GOC!$H$4:$H$203,MATCH(INDEX($K$3:$K$202,MATCH($H45,$W$3:$W$202,0)),LENH_GOC!$A$4:$A$203,0))),"")</x:f>
      </x:c>
      <x:c r="F45" s="167" t="str">
        <x:f>IFERROR(IF($H45="","",INDEX($P$3:$P$202,MATCH($H45,$W$3:$W$202,0))),"")</x:f>
      </x:c>
      <x:c r="G45" s="39" t="str">
        <x:f>IFERROR(IF($H45="","",INDEX($X$3:$X$202,MATCH($H45,$W$3:$W$202,0))),"")</x:f>
      </x:c>
      <x:c r="H45" t="str">
        <x:f>IFERROR(IF(ROW()-2&lt;=CAI_DAT!$B$10,ROW()-2,""),"")</x:f>
      </x:c>
      <x:c r="J45" t="str">
        <x:f>IF(LENH_GOC!A46="","",46)</x:f>
      </x:c>
      <x:c r="K45" t="str">
        <x:f>IF(LENH_GOC!A46="","",LENH_GOC!A46)</x:f>
      </x:c>
      <x:c r="L45" t="str">
        <x:f>IF($K45="","",IFERROR(TRIM(LENH_GOC!C46),""))</x:f>
      </x:c>
      <x:c r="M45" t="str">
        <x:f>IF($K45="","",IFERROR(UPPER(TRIM(LENH_GOC!Y46)),""))</x:f>
      </x:c>
      <x:c r="N45" s="249" t="str">
        <x:f>IFERROR(IF($K45="","",IF(LENH_GOC!G46="","",IF(ISNUMBER(LENH_GOC!G46),LENH_GOC!G46,DATE(VALUE(MID(LENH_GOC!G46,7,4)),VALUE(MID(LENH_GOC!G46,4,2)),VALUE(LEFT(LENH_GOC!G46,2)))+TIME(VALUE(MID(LENH_GOC!G46,12,2)),VALUE(MID(LENH_GOC!G46,15,2)),VALUE(MID(LENH_GOC!G46,18,2)))))), "")</x:f>
      </x:c>
      <x:c r="O45" t="str">
        <x:f>IF($K45="","",IF(LENH_GOC!E46="","",LENH_GOC!E46))</x:f>
      </x:c>
      <x:c r="P45" t="str">
        <x:f>IF($K45="","",IF(LENH_GOC!F46="","",LENH_GOC!F46))</x:f>
      </x:c>
      <x:c r="Q45" t="str">
        <x:f>IFERROR(IF($K45="","",IF(LENH_GOC!P46="","",IFERROR(VALUE(LENH_GOC!P46),IF(OR(LENH_GOC!P46=TRUE,UPPER(TRIM(LENH_GOC!P46))="TRUE"),1,0)))),"")</x:f>
      </x:c>
      <x:c r="R45" t="str">
        <x:f>IF($K45="","",IF(LENH_GOC!Q46="","",LENH_GOC!Q46))</x:f>
      </x:c>
      <x:c r="S45" s="249" t="str">
        <x:f>IF($K45="","",IF(LENH_GOC!R46="","",LENH_GOC!R46))</x:f>
      </x:c>
      <x:c r="T45" t="n">
        <x:f>IFERROR(IF($K45="",0,IF(AND(ISNUMBER($N45),INT($N45)=CAI_DAT!$B$4,LEFT(UPPER(TRIM($L45)),2)=LEFT(UPPER(TRIM(CAI_DAT!$B$5)),2),$Q45=1,OR(AND($M45="SO",ISNUMBER($P45),$P45&gt;0),AND($M45="MO",ISNUMBER($O45),$O45&gt;0))),1,0)),0)</x:f>
        <x:v>0</x:v>
      </x:c>
      <x:c r="U45" t="str">
        <x:f>IFERROR(IF($T45=0,"",IF($M45="SO",$P45,IF(AND($M45="MO",OR($R45=TRUE,$R45="TRUE"),ISNUMBER($P45),$P45&gt;0),$P45,$O45))),"")</x:f>
      </x:c>
      <x:c r="V45" t="str">
        <x:f>IFERROR(IF($T45=0,"",MOD($N45,1)*86400),"")</x:f>
      </x:c>
      <x:c r="W45" t="str">
        <x:f>IFERROR(IF($T45=0,"",COUNTIFS($T$3:$T$202,1,$V$3:$V$202,"&lt;"&amp;$V45)+COUNTIFS($T$3:$T45,1,$V$3:$V45,$V45)),"")</x:f>
      </x:c>
      <x:c r="X45" t="str">
        <x:f>IFERROR(IF($T45=0,"",IF($M45="SO","SO: dùng CS hoàn thành",IF(AND($M45="MO",OR($R45=TRUE,$R45="TRUE"),ISNUMBER($P45),$P45&gt;0),"MO dừng sớm: dùng CS hoàn thành","MO: dùng CS ra lệnh"))),"")</x:f>
      </x:c>
    </x:row>
    <x:row r="46">
      <x:c r="A46" s="38" t="n">
        <x:f>ROW()-2</x:f>
        <x:v>44</x:v>
      </x:c>
      <x:c r="B46" s="142" t="str">
        <x:f>IFERROR(IF($H46="","",INDEX($L$3:$L$202,MATCH($H46,$W$3:$W$202,0))),"")</x:f>
      </x:c>
      <x:c r="C46" s="157" t="str">
        <x:f>IFERROR(IF($H46="","",INDEX($N$3:$N$202,MATCH($H46,$W$3:$W$202,0))),"")</x:f>
      </x:c>
      <x:c r="D46" s="167" t="str">
        <x:f>IFERROR(IF($H46="","",INDEX($U$3:$U$202,MATCH($H46,$W$3:$W$202,0))),"")</x:f>
      </x:c>
      <x:c r="E46" s="167" t="str">
        <x:f>IFERROR(IF($H46="","",INDEX(LENH_GOC!$H$4:$H$203,MATCH(INDEX($K$3:$K$202,MATCH($H46,$W$3:$W$202,0)),LENH_GOC!$A$4:$A$203,0))),"")</x:f>
      </x:c>
      <x:c r="F46" s="167" t="str">
        <x:f>IFERROR(IF($H46="","",INDEX($P$3:$P$202,MATCH($H46,$W$3:$W$202,0))),"")</x:f>
      </x:c>
      <x:c r="G46" s="39" t="str">
        <x:f>IFERROR(IF($H46="","",INDEX($X$3:$X$202,MATCH($H46,$W$3:$W$202,0))),"")</x:f>
      </x:c>
      <x:c r="H46" t="str">
        <x:f>IFERROR(IF(ROW()-2&lt;=CAI_DAT!$B$10,ROW()-2,""),"")</x:f>
      </x:c>
      <x:c r="J46" t="str">
        <x:f>IF(LENH_GOC!A47="","",47)</x:f>
      </x:c>
      <x:c r="K46" t="str">
        <x:f>IF(LENH_GOC!A47="","",LENH_GOC!A47)</x:f>
      </x:c>
      <x:c r="L46" t="str">
        <x:f>IF($K46="","",IFERROR(TRIM(LENH_GOC!C47),""))</x:f>
      </x:c>
      <x:c r="M46" t="str">
        <x:f>IF($K46="","",IFERROR(UPPER(TRIM(LENH_GOC!Y47)),""))</x:f>
      </x:c>
      <x:c r="N46" s="249" t="str">
        <x:f>IFERROR(IF($K46="","",IF(LENH_GOC!G47="","",IF(ISNUMBER(LENH_GOC!G47),LENH_GOC!G47,DATE(VALUE(MID(LENH_GOC!G47,7,4)),VALUE(MID(LENH_GOC!G47,4,2)),VALUE(LEFT(LENH_GOC!G47,2)))+TIME(VALUE(MID(LENH_GOC!G47,12,2)),VALUE(MID(LENH_GOC!G47,15,2)),VALUE(MID(LENH_GOC!G47,18,2)))))), "")</x:f>
      </x:c>
      <x:c r="O46" t="str">
        <x:f>IF($K46="","",IF(LENH_GOC!E47="","",LENH_GOC!E47))</x:f>
      </x:c>
      <x:c r="P46" t="str">
        <x:f>IF($K46="","",IF(LENH_GOC!F47="","",LENH_GOC!F47))</x:f>
      </x:c>
      <x:c r="Q46" t="str">
        <x:f>IFERROR(IF($K46="","",IF(LENH_GOC!P47="","",IFERROR(VALUE(LENH_GOC!P47),IF(OR(LENH_GOC!P47=TRUE,UPPER(TRIM(LENH_GOC!P47))="TRUE"),1,0)))),"")</x:f>
      </x:c>
      <x:c r="R46" t="str">
        <x:f>IF($K46="","",IF(LENH_GOC!Q47="","",LENH_GOC!Q47))</x:f>
      </x:c>
      <x:c r="S46" s="249" t="str">
        <x:f>IF($K46="","",IF(LENH_GOC!R47="","",LENH_GOC!R47))</x:f>
      </x:c>
      <x:c r="T46" t="n">
        <x:f>IFERROR(IF($K46="",0,IF(AND(ISNUMBER($N46),INT($N46)=CAI_DAT!$B$4,LEFT(UPPER(TRIM($L46)),2)=LEFT(UPPER(TRIM(CAI_DAT!$B$5)),2),$Q46=1,OR(AND($M46="SO",ISNUMBER($P46),$P46&gt;0),AND($M46="MO",ISNUMBER($O46),$O46&gt;0))),1,0)),0)</x:f>
        <x:v>0</x:v>
      </x:c>
      <x:c r="U46" t="str">
        <x:f>IFERROR(IF($T46=0,"",IF($M46="SO",$P46,IF(AND($M46="MO",OR($R46=TRUE,$R46="TRUE"),ISNUMBER($P46),$P46&gt;0),$P46,$O46))),"")</x:f>
      </x:c>
      <x:c r="V46" t="str">
        <x:f>IFERROR(IF($T46=0,"",MOD($N46,1)*86400),"")</x:f>
      </x:c>
      <x:c r="W46" t="str">
        <x:f>IFERROR(IF($T46=0,"",COUNTIFS($T$3:$T$202,1,$V$3:$V$202,"&lt;"&amp;$V46)+COUNTIFS($T$3:$T46,1,$V$3:$V46,$V46)),"")</x:f>
      </x:c>
      <x:c r="X46" t="str">
        <x:f>IFERROR(IF($T46=0,"",IF($M46="SO","SO: dùng CS hoàn thành",IF(AND($M46="MO",OR($R46=TRUE,$R46="TRUE"),ISNUMBER($P46),$P46&gt;0),"MO dừng sớm: dùng CS hoàn thành","MO: dùng CS ra lệnh"))),"")</x:f>
      </x:c>
    </x:row>
    <x:row r="47">
      <x:c r="A47" s="38" t="n">
        <x:f>ROW()-2</x:f>
        <x:v>45</x:v>
      </x:c>
      <x:c r="B47" s="142" t="str">
        <x:f>IFERROR(IF($H47="","",INDEX($L$3:$L$202,MATCH($H47,$W$3:$W$202,0))),"")</x:f>
      </x:c>
      <x:c r="C47" s="157" t="str">
        <x:f>IFERROR(IF($H47="","",INDEX($N$3:$N$202,MATCH($H47,$W$3:$W$202,0))),"")</x:f>
      </x:c>
      <x:c r="D47" s="167" t="str">
        <x:f>IFERROR(IF($H47="","",INDEX($U$3:$U$202,MATCH($H47,$W$3:$W$202,0))),"")</x:f>
      </x:c>
      <x:c r="E47" s="167" t="str">
        <x:f>IFERROR(IF($H47="","",INDEX(LENH_GOC!$H$4:$H$203,MATCH(INDEX($K$3:$K$202,MATCH($H47,$W$3:$W$202,0)),LENH_GOC!$A$4:$A$203,0))),"")</x:f>
      </x:c>
      <x:c r="F47" s="167" t="str">
        <x:f>IFERROR(IF($H47="","",INDEX($P$3:$P$202,MATCH($H47,$W$3:$W$202,0))),"")</x:f>
      </x:c>
      <x:c r="G47" s="39" t="str">
        <x:f>IFERROR(IF($H47="","",INDEX($X$3:$X$202,MATCH($H47,$W$3:$W$202,0))),"")</x:f>
      </x:c>
      <x:c r="H47" t="str">
        <x:f>IFERROR(IF(ROW()-2&lt;=CAI_DAT!$B$10,ROW()-2,""),"")</x:f>
      </x:c>
      <x:c r="J47" t="str">
        <x:f>IF(LENH_GOC!A48="","",48)</x:f>
      </x:c>
      <x:c r="K47" t="str">
        <x:f>IF(LENH_GOC!A48="","",LENH_GOC!A48)</x:f>
      </x:c>
      <x:c r="L47" t="str">
        <x:f>IF($K47="","",IFERROR(TRIM(LENH_GOC!C48),""))</x:f>
      </x:c>
      <x:c r="M47" t="str">
        <x:f>IF($K47="","",IFERROR(UPPER(TRIM(LENH_GOC!Y48)),""))</x:f>
      </x:c>
      <x:c r="N47" s="249" t="str">
        <x:f>IFERROR(IF($K47="","",IF(LENH_GOC!G48="","",IF(ISNUMBER(LENH_GOC!G48),LENH_GOC!G48,DATE(VALUE(MID(LENH_GOC!G48,7,4)),VALUE(MID(LENH_GOC!G48,4,2)),VALUE(LEFT(LENH_GOC!G48,2)))+TIME(VALUE(MID(LENH_GOC!G48,12,2)),VALUE(MID(LENH_GOC!G48,15,2)),VALUE(MID(LENH_GOC!G48,18,2)))))), "")</x:f>
      </x:c>
      <x:c r="O47" t="str">
        <x:f>IF($K47="","",IF(LENH_GOC!E48="","",LENH_GOC!E48))</x:f>
      </x:c>
      <x:c r="P47" t="str">
        <x:f>IF($K47="","",IF(LENH_GOC!F48="","",LENH_GOC!F48))</x:f>
      </x:c>
      <x:c r="Q47" t="str">
        <x:f>IFERROR(IF($K47="","",IF(LENH_GOC!P48="","",IFERROR(VALUE(LENH_GOC!P48),IF(OR(LENH_GOC!P48=TRUE,UPPER(TRIM(LENH_GOC!P48))="TRUE"),1,0)))),"")</x:f>
      </x:c>
      <x:c r="R47" t="str">
        <x:f>IF($K47="","",IF(LENH_GOC!Q48="","",LENH_GOC!Q48))</x:f>
      </x:c>
      <x:c r="S47" s="249" t="str">
        <x:f>IF($K47="","",IF(LENH_GOC!R48="","",LENH_GOC!R48))</x:f>
      </x:c>
      <x:c r="T47" t="n">
        <x:f>IFERROR(IF($K47="",0,IF(AND(ISNUMBER($N47),INT($N47)=CAI_DAT!$B$4,LEFT(UPPER(TRIM($L47)),2)=LEFT(UPPER(TRIM(CAI_DAT!$B$5)),2),$Q47=1,OR(AND($M47="SO",ISNUMBER($P47),$P47&gt;0),AND($M47="MO",ISNUMBER($O47),$O47&gt;0))),1,0)),0)</x:f>
        <x:v>0</x:v>
      </x:c>
      <x:c r="U47" t="str">
        <x:f>IFERROR(IF($T47=0,"",IF($M47="SO",$P47,IF(AND($M47="MO",OR($R47=TRUE,$R47="TRUE"),ISNUMBER($P47),$P47&gt;0),$P47,$O47))),"")</x:f>
      </x:c>
      <x:c r="V47" t="str">
        <x:f>IFERROR(IF($T47=0,"",MOD($N47,1)*86400),"")</x:f>
      </x:c>
      <x:c r="W47" t="str">
        <x:f>IFERROR(IF($T47=0,"",COUNTIFS($T$3:$T$202,1,$V$3:$V$202,"&lt;"&amp;$V47)+COUNTIFS($T$3:$T47,1,$V$3:$V47,$V47)),"")</x:f>
      </x:c>
      <x:c r="X47" t="str">
        <x:f>IFERROR(IF($T47=0,"",IF($M47="SO","SO: dùng CS hoàn thành",IF(AND($M47="MO",OR($R47=TRUE,$R47="TRUE"),ISNUMBER($P47),$P47&gt;0),"MO dừng sớm: dùng CS hoàn thành","MO: dùng CS ra lệnh"))),"")</x:f>
      </x:c>
    </x:row>
    <x:row r="48">
      <x:c r="A48" s="38" t="n">
        <x:f>ROW()-2</x:f>
        <x:v>46</x:v>
      </x:c>
      <x:c r="B48" s="142" t="str">
        <x:f>IFERROR(IF($H48="","",INDEX($L$3:$L$202,MATCH($H48,$W$3:$W$202,0))),"")</x:f>
      </x:c>
      <x:c r="C48" s="157" t="str">
        <x:f>IFERROR(IF($H48="","",INDEX($N$3:$N$202,MATCH($H48,$W$3:$W$202,0))),"")</x:f>
      </x:c>
      <x:c r="D48" s="167" t="str">
        <x:f>IFERROR(IF($H48="","",INDEX($U$3:$U$202,MATCH($H48,$W$3:$W$202,0))),"")</x:f>
      </x:c>
      <x:c r="E48" s="167" t="str">
        <x:f>IFERROR(IF($H48="","",INDEX(LENH_GOC!$H$4:$H$203,MATCH(INDEX($K$3:$K$202,MATCH($H48,$W$3:$W$202,0)),LENH_GOC!$A$4:$A$203,0))),"")</x:f>
      </x:c>
      <x:c r="F48" s="167" t="str">
        <x:f>IFERROR(IF($H48="","",INDEX($P$3:$P$202,MATCH($H48,$W$3:$W$202,0))),"")</x:f>
      </x:c>
      <x:c r="G48" s="39" t="str">
        <x:f>IFERROR(IF($H48="","",INDEX($X$3:$X$202,MATCH($H48,$W$3:$W$202,0))),"")</x:f>
      </x:c>
      <x:c r="H48" t="str">
        <x:f>IFERROR(IF(ROW()-2&lt;=CAI_DAT!$B$10,ROW()-2,""),"")</x:f>
      </x:c>
      <x:c r="J48" t="str">
        <x:f>IF(LENH_GOC!A49="","",49)</x:f>
      </x:c>
      <x:c r="K48" t="str">
        <x:f>IF(LENH_GOC!A49="","",LENH_GOC!A49)</x:f>
      </x:c>
      <x:c r="L48" t="str">
        <x:f>IF($K48="","",IFERROR(TRIM(LENH_GOC!C49),""))</x:f>
      </x:c>
      <x:c r="M48" t="str">
        <x:f>IF($K48="","",IFERROR(UPPER(TRIM(LENH_GOC!Y49)),""))</x:f>
      </x:c>
      <x:c r="N48" s="249" t="str">
        <x:f>IFERROR(IF($K48="","",IF(LENH_GOC!G49="","",IF(ISNUMBER(LENH_GOC!G49),LENH_GOC!G49,DATE(VALUE(MID(LENH_GOC!G49,7,4)),VALUE(MID(LENH_GOC!G49,4,2)),VALUE(LEFT(LENH_GOC!G49,2)))+TIME(VALUE(MID(LENH_GOC!G49,12,2)),VALUE(MID(LENH_GOC!G49,15,2)),VALUE(MID(LENH_GOC!G49,18,2)))))), "")</x:f>
      </x:c>
      <x:c r="O48" t="str">
        <x:f>IF($K48="","",IF(LENH_GOC!E49="","",LENH_GOC!E49))</x:f>
      </x:c>
      <x:c r="P48" t="str">
        <x:f>IF($K48="","",IF(LENH_GOC!F49="","",LENH_GOC!F49))</x:f>
      </x:c>
      <x:c r="Q48" t="str">
        <x:f>IFERROR(IF($K48="","",IF(LENH_GOC!P49="","",IFERROR(VALUE(LENH_GOC!P49),IF(OR(LENH_GOC!P49=TRUE,UPPER(TRIM(LENH_GOC!P49))="TRUE"),1,0)))),"")</x:f>
      </x:c>
      <x:c r="R48" t="str">
        <x:f>IF($K48="","",IF(LENH_GOC!Q49="","",LENH_GOC!Q49))</x:f>
      </x:c>
      <x:c r="S48" s="249" t="str">
        <x:f>IF($K48="","",IF(LENH_GOC!R49="","",LENH_GOC!R49))</x:f>
      </x:c>
      <x:c r="T48" t="n">
        <x:f>IFERROR(IF($K48="",0,IF(AND(ISNUMBER($N48),INT($N48)=CAI_DAT!$B$4,LEFT(UPPER(TRIM($L48)),2)=LEFT(UPPER(TRIM(CAI_DAT!$B$5)),2),$Q48=1,OR(AND($M48="SO",ISNUMBER($P48),$P48&gt;0),AND($M48="MO",ISNUMBER($O48),$O48&gt;0))),1,0)),0)</x:f>
        <x:v>0</x:v>
      </x:c>
      <x:c r="U48" t="str">
        <x:f>IFERROR(IF($T48=0,"",IF($M48="SO",$P48,IF(AND($M48="MO",OR($R48=TRUE,$R48="TRUE"),ISNUMBER($P48),$P48&gt;0),$P48,$O48))),"")</x:f>
      </x:c>
      <x:c r="V48" t="str">
        <x:f>IFERROR(IF($T48=0,"",MOD($N48,1)*86400),"")</x:f>
      </x:c>
      <x:c r="W48" t="str">
        <x:f>IFERROR(IF($T48=0,"",COUNTIFS($T$3:$T$202,1,$V$3:$V$202,"&lt;"&amp;$V48)+COUNTIFS($T$3:$T48,1,$V$3:$V48,$V48)),"")</x:f>
      </x:c>
      <x:c r="X48" t="str">
        <x:f>IFERROR(IF($T48=0,"",IF($M48="SO","SO: dùng CS hoàn thành",IF(AND($M48="MO",OR($R48=TRUE,$R48="TRUE"),ISNUMBER($P48),$P48&gt;0),"MO dừng sớm: dùng CS hoàn thành","MO: dùng CS ra lệnh"))),"")</x:f>
      </x:c>
    </x:row>
    <x:row r="49">
      <x:c r="A49" s="38" t="n">
        <x:f>ROW()-2</x:f>
        <x:v>47</x:v>
      </x:c>
      <x:c r="B49" s="142" t="str">
        <x:f>IFERROR(IF($H49="","",INDEX($L$3:$L$202,MATCH($H49,$W$3:$W$202,0))),"")</x:f>
      </x:c>
      <x:c r="C49" s="157" t="str">
        <x:f>IFERROR(IF($H49="","",INDEX($N$3:$N$202,MATCH($H49,$W$3:$W$202,0))),"")</x:f>
      </x:c>
      <x:c r="D49" s="167" t="str">
        <x:f>IFERROR(IF($H49="","",INDEX($U$3:$U$202,MATCH($H49,$W$3:$W$202,0))),"")</x:f>
      </x:c>
      <x:c r="E49" s="167" t="str">
        <x:f>IFERROR(IF($H49="","",INDEX(LENH_GOC!$H$4:$H$203,MATCH(INDEX($K$3:$K$202,MATCH($H49,$W$3:$W$202,0)),LENH_GOC!$A$4:$A$203,0))),"")</x:f>
      </x:c>
      <x:c r="F49" s="167" t="str">
        <x:f>IFERROR(IF($H49="","",INDEX($P$3:$P$202,MATCH($H49,$W$3:$W$202,0))),"")</x:f>
      </x:c>
      <x:c r="G49" s="39" t="str">
        <x:f>IFERROR(IF($H49="","",INDEX($X$3:$X$202,MATCH($H49,$W$3:$W$202,0))),"")</x:f>
      </x:c>
      <x:c r="H49" t="str">
        <x:f>IFERROR(IF(ROW()-2&lt;=CAI_DAT!$B$10,ROW()-2,""),"")</x:f>
      </x:c>
      <x:c r="J49" t="str">
        <x:f>IF(LENH_GOC!A50="","",50)</x:f>
      </x:c>
      <x:c r="K49" t="str">
        <x:f>IF(LENH_GOC!A50="","",LENH_GOC!A50)</x:f>
      </x:c>
      <x:c r="L49" t="str">
        <x:f>IF($K49="","",IFERROR(TRIM(LENH_GOC!C50),""))</x:f>
      </x:c>
      <x:c r="M49" t="str">
        <x:f>IF($K49="","",IFERROR(UPPER(TRIM(LENH_GOC!Y50)),""))</x:f>
      </x:c>
      <x:c r="N49" s="249" t="str">
        <x:f>IFERROR(IF($K49="","",IF(LENH_GOC!G50="","",IF(ISNUMBER(LENH_GOC!G50),LENH_GOC!G50,DATE(VALUE(MID(LENH_GOC!G50,7,4)),VALUE(MID(LENH_GOC!G50,4,2)),VALUE(LEFT(LENH_GOC!G50,2)))+TIME(VALUE(MID(LENH_GOC!G50,12,2)),VALUE(MID(LENH_GOC!G50,15,2)),VALUE(MID(LENH_GOC!G50,18,2)))))), "")</x:f>
      </x:c>
      <x:c r="O49" t="str">
        <x:f>IF($K49="","",IF(LENH_GOC!E50="","",LENH_GOC!E50))</x:f>
      </x:c>
      <x:c r="P49" t="str">
        <x:f>IF($K49="","",IF(LENH_GOC!F50="","",LENH_GOC!F50))</x:f>
      </x:c>
      <x:c r="Q49" t="str">
        <x:f>IFERROR(IF($K49="","",IF(LENH_GOC!P50="","",IFERROR(VALUE(LENH_GOC!P50),IF(OR(LENH_GOC!P50=TRUE,UPPER(TRIM(LENH_GOC!P50))="TRUE"),1,0)))),"")</x:f>
      </x:c>
      <x:c r="R49" t="str">
        <x:f>IF($K49="","",IF(LENH_GOC!Q50="","",LENH_GOC!Q50))</x:f>
      </x:c>
      <x:c r="S49" s="249" t="str">
        <x:f>IF($K49="","",IF(LENH_GOC!R50="","",LENH_GOC!R50))</x:f>
      </x:c>
      <x:c r="T49" t="n">
        <x:f>IFERROR(IF($K49="",0,IF(AND(ISNUMBER($N49),INT($N49)=CAI_DAT!$B$4,LEFT(UPPER(TRIM($L49)),2)=LEFT(UPPER(TRIM(CAI_DAT!$B$5)),2),$Q49=1,OR(AND($M49="SO",ISNUMBER($P49),$P49&gt;0),AND($M49="MO",ISNUMBER($O49),$O49&gt;0))),1,0)),0)</x:f>
        <x:v>0</x:v>
      </x:c>
      <x:c r="U49" t="str">
        <x:f>IFERROR(IF($T49=0,"",IF($M49="SO",$P49,IF(AND($M49="MO",OR($R49=TRUE,$R49="TRUE"),ISNUMBER($P49),$P49&gt;0),$P49,$O49))),"")</x:f>
      </x:c>
      <x:c r="V49" t="str">
        <x:f>IFERROR(IF($T49=0,"",MOD($N49,1)*86400),"")</x:f>
      </x:c>
      <x:c r="W49" t="str">
        <x:f>IFERROR(IF($T49=0,"",COUNTIFS($T$3:$T$202,1,$V$3:$V$202,"&lt;"&amp;$V49)+COUNTIFS($T$3:$T49,1,$V$3:$V49,$V49)),"")</x:f>
      </x:c>
      <x:c r="X49" t="str">
        <x:f>IFERROR(IF($T49=0,"",IF($M49="SO","SO: dùng CS hoàn thành",IF(AND($M49="MO",OR($R49=TRUE,$R49="TRUE"),ISNUMBER($P49),$P49&gt;0),"MO dừng sớm: dùng CS hoàn thành","MO: dùng CS ra lệnh"))),"")</x:f>
      </x:c>
    </x:row>
    <x:row r="50">
      <x:c r="A50" s="38" t="n">
        <x:f>ROW()-2</x:f>
        <x:v>48</x:v>
      </x:c>
      <x:c r="B50" s="142" t="str">
        <x:f>IFERROR(IF($H50="","",INDEX($L$3:$L$202,MATCH($H50,$W$3:$W$202,0))),"")</x:f>
      </x:c>
      <x:c r="C50" s="157" t="str">
        <x:f>IFERROR(IF($H50="","",INDEX($N$3:$N$202,MATCH($H50,$W$3:$W$202,0))),"")</x:f>
      </x:c>
      <x:c r="D50" s="167" t="str">
        <x:f>IFERROR(IF($H50="","",INDEX($U$3:$U$202,MATCH($H50,$W$3:$W$202,0))),"")</x:f>
      </x:c>
      <x:c r="E50" s="167" t="str">
        <x:f>IFERROR(IF($H50="","",INDEX(LENH_GOC!$H$4:$H$203,MATCH(INDEX($K$3:$K$202,MATCH($H50,$W$3:$W$202,0)),LENH_GOC!$A$4:$A$203,0))),"")</x:f>
      </x:c>
      <x:c r="F50" s="167" t="str">
        <x:f>IFERROR(IF($H50="","",INDEX($P$3:$P$202,MATCH($H50,$W$3:$W$202,0))),"")</x:f>
      </x:c>
      <x:c r="G50" s="39" t="str">
        <x:f>IFERROR(IF($H50="","",INDEX($X$3:$X$202,MATCH($H50,$W$3:$W$202,0))),"")</x:f>
      </x:c>
      <x:c r="H50" t="str">
        <x:f>IFERROR(IF(ROW()-2&lt;=CAI_DAT!$B$10,ROW()-2,""),"")</x:f>
      </x:c>
      <x:c r="J50" t="str">
        <x:f>IF(LENH_GOC!A51="","",51)</x:f>
      </x:c>
      <x:c r="K50" t="str">
        <x:f>IF(LENH_GOC!A51="","",LENH_GOC!A51)</x:f>
      </x:c>
      <x:c r="L50" t="str">
        <x:f>IF($K50="","",IFERROR(TRIM(LENH_GOC!C51),""))</x:f>
      </x:c>
      <x:c r="M50" t="str">
        <x:f>IF($K50="","",IFERROR(UPPER(TRIM(LENH_GOC!Y51)),""))</x:f>
      </x:c>
      <x:c r="N50" s="249" t="str">
        <x:f>IFERROR(IF($K50="","",IF(LENH_GOC!G51="","",IF(ISNUMBER(LENH_GOC!G51),LENH_GOC!G51,DATE(VALUE(MID(LENH_GOC!G51,7,4)),VALUE(MID(LENH_GOC!G51,4,2)),VALUE(LEFT(LENH_GOC!G51,2)))+TIME(VALUE(MID(LENH_GOC!G51,12,2)),VALUE(MID(LENH_GOC!G51,15,2)),VALUE(MID(LENH_GOC!G51,18,2)))))), "")</x:f>
      </x:c>
      <x:c r="O50" t="str">
        <x:f>IF($K50="","",IF(LENH_GOC!E51="","",LENH_GOC!E51))</x:f>
      </x:c>
      <x:c r="P50" t="str">
        <x:f>IF($K50="","",IF(LENH_GOC!F51="","",LENH_GOC!F51))</x:f>
      </x:c>
      <x:c r="Q50" t="str">
        <x:f>IFERROR(IF($K50="","",IF(LENH_GOC!P51="","",IFERROR(VALUE(LENH_GOC!P51),IF(OR(LENH_GOC!P51=TRUE,UPPER(TRIM(LENH_GOC!P51))="TRUE"),1,0)))),"")</x:f>
      </x:c>
      <x:c r="R50" t="str">
        <x:f>IF($K50="","",IF(LENH_GOC!Q51="","",LENH_GOC!Q51))</x:f>
      </x:c>
      <x:c r="S50" s="249" t="str">
        <x:f>IF($K50="","",IF(LENH_GOC!R51="","",LENH_GOC!R51))</x:f>
      </x:c>
      <x:c r="T50" t="n">
        <x:f>IFERROR(IF($K50="",0,IF(AND(ISNUMBER($N50),INT($N50)=CAI_DAT!$B$4,LEFT(UPPER(TRIM($L50)),2)=LEFT(UPPER(TRIM(CAI_DAT!$B$5)),2),$Q50=1,OR(AND($M50="SO",ISNUMBER($P50),$P50&gt;0),AND($M50="MO",ISNUMBER($O50),$O50&gt;0))),1,0)),0)</x:f>
        <x:v>0</x:v>
      </x:c>
      <x:c r="U50" t="str">
        <x:f>IFERROR(IF($T50=0,"",IF($M50="SO",$P50,IF(AND($M50="MO",OR($R50=TRUE,$R50="TRUE"),ISNUMBER($P50),$P50&gt;0),$P50,$O50))),"")</x:f>
      </x:c>
      <x:c r="V50" t="str">
        <x:f>IFERROR(IF($T50=0,"",MOD($N50,1)*86400),"")</x:f>
      </x:c>
      <x:c r="W50" t="str">
        <x:f>IFERROR(IF($T50=0,"",COUNTIFS($T$3:$T$202,1,$V$3:$V$202,"&lt;"&amp;$V50)+COUNTIFS($T$3:$T50,1,$V$3:$V50,$V50)),"")</x:f>
      </x:c>
      <x:c r="X50" t="str">
        <x:f>IFERROR(IF($T50=0,"",IF($M50="SO","SO: dùng CS hoàn thành",IF(AND($M50="MO",OR($R50=TRUE,$R50="TRUE"),ISNUMBER($P50),$P50&gt;0),"MO dừng sớm: dùng CS hoàn thành","MO: dùng CS ra lệnh"))),"")</x:f>
      </x:c>
    </x:row>
    <x:row r="51">
      <x:c r="A51" s="38" t="n">
        <x:f>ROW()-2</x:f>
        <x:v>49</x:v>
      </x:c>
      <x:c r="B51" s="142" t="str">
        <x:f>IFERROR(IF($H51="","",INDEX($L$3:$L$202,MATCH($H51,$W$3:$W$202,0))),"")</x:f>
      </x:c>
      <x:c r="C51" s="157" t="str">
        <x:f>IFERROR(IF($H51="","",INDEX($N$3:$N$202,MATCH($H51,$W$3:$W$202,0))),"")</x:f>
      </x:c>
      <x:c r="D51" s="167" t="str">
        <x:f>IFERROR(IF($H51="","",INDEX($U$3:$U$202,MATCH($H51,$W$3:$W$202,0))),"")</x:f>
      </x:c>
      <x:c r="E51" s="167" t="str">
        <x:f>IFERROR(IF($H51="","",INDEX(LENH_GOC!$H$4:$H$203,MATCH(INDEX($K$3:$K$202,MATCH($H51,$W$3:$W$202,0)),LENH_GOC!$A$4:$A$203,0))),"")</x:f>
      </x:c>
      <x:c r="F51" s="167" t="str">
        <x:f>IFERROR(IF($H51="","",INDEX($P$3:$P$202,MATCH($H51,$W$3:$W$202,0))),"")</x:f>
      </x:c>
      <x:c r="G51" s="39" t="str">
        <x:f>IFERROR(IF($H51="","",INDEX($X$3:$X$202,MATCH($H51,$W$3:$W$202,0))),"")</x:f>
      </x:c>
      <x:c r="H51" t="str">
        <x:f>IFERROR(IF(ROW()-2&lt;=CAI_DAT!$B$10,ROW()-2,""),"")</x:f>
      </x:c>
      <x:c r="J51" t="str">
        <x:f>IF(LENH_GOC!A52="","",52)</x:f>
      </x:c>
      <x:c r="K51" t="str">
        <x:f>IF(LENH_GOC!A52="","",LENH_GOC!A52)</x:f>
      </x:c>
      <x:c r="L51" t="str">
        <x:f>IF($K51="","",IFERROR(TRIM(LENH_GOC!C52),""))</x:f>
      </x:c>
      <x:c r="M51" t="str">
        <x:f>IF($K51="","",IFERROR(UPPER(TRIM(LENH_GOC!Y52)),""))</x:f>
      </x:c>
      <x:c r="N51" s="249" t="str">
        <x:f>IFERROR(IF($K51="","",IF(LENH_GOC!G52="","",IF(ISNUMBER(LENH_GOC!G52),LENH_GOC!G52,DATE(VALUE(MID(LENH_GOC!G52,7,4)),VALUE(MID(LENH_GOC!G52,4,2)),VALUE(LEFT(LENH_GOC!G52,2)))+TIME(VALUE(MID(LENH_GOC!G52,12,2)),VALUE(MID(LENH_GOC!G52,15,2)),VALUE(MID(LENH_GOC!G52,18,2)))))), "")</x:f>
      </x:c>
      <x:c r="O51" t="str">
        <x:f>IF($K51="","",IF(LENH_GOC!E52="","",LENH_GOC!E52))</x:f>
      </x:c>
      <x:c r="P51" t="str">
        <x:f>IF($K51="","",IF(LENH_GOC!F52="","",LENH_GOC!F52))</x:f>
      </x:c>
      <x:c r="Q51" t="str">
        <x:f>IFERROR(IF($K51="","",IF(LENH_GOC!P52="","",IFERROR(VALUE(LENH_GOC!P52),IF(OR(LENH_GOC!P52=TRUE,UPPER(TRIM(LENH_GOC!P52))="TRUE"),1,0)))),"")</x:f>
      </x:c>
      <x:c r="R51" t="str">
        <x:f>IF($K51="","",IF(LENH_GOC!Q52="","",LENH_GOC!Q52))</x:f>
      </x:c>
      <x:c r="S51" s="249" t="str">
        <x:f>IF($K51="","",IF(LENH_GOC!R52="","",LENH_GOC!R52))</x:f>
      </x:c>
      <x:c r="T51" t="n">
        <x:f>IFERROR(IF($K51="",0,IF(AND(ISNUMBER($N51),INT($N51)=CAI_DAT!$B$4,LEFT(UPPER(TRIM($L51)),2)=LEFT(UPPER(TRIM(CAI_DAT!$B$5)),2),$Q51=1,OR(AND($M51="SO",ISNUMBER($P51),$P51&gt;0),AND($M51="MO",ISNUMBER($O51),$O51&gt;0))),1,0)),0)</x:f>
        <x:v>0</x:v>
      </x:c>
      <x:c r="U51" t="str">
        <x:f>IFERROR(IF($T51=0,"",IF($M51="SO",$P51,IF(AND($M51="MO",OR($R51=TRUE,$R51="TRUE"),ISNUMBER($P51),$P51&gt;0),$P51,$O51))),"")</x:f>
      </x:c>
      <x:c r="V51" t="str">
        <x:f>IFERROR(IF($T51=0,"",MOD($N51,1)*86400),"")</x:f>
      </x:c>
      <x:c r="W51" t="str">
        <x:f>IFERROR(IF($T51=0,"",COUNTIFS($T$3:$T$202,1,$V$3:$V$202,"&lt;"&amp;$V51)+COUNTIFS($T$3:$T51,1,$V$3:$V51,$V51)),"")</x:f>
      </x:c>
      <x:c r="X51" t="str">
        <x:f>IFERROR(IF($T51=0,"",IF($M51="SO","SO: dùng CS hoàn thành",IF(AND($M51="MO",OR($R51=TRUE,$R51="TRUE"),ISNUMBER($P51),$P51&gt;0),"MO dừng sớm: dùng CS hoàn thành","MO: dùng CS ra lệnh"))),"")</x:f>
      </x:c>
    </x:row>
    <x:row r="52">
      <x:c r="A52" s="38" t="n">
        <x:f>ROW()-2</x:f>
        <x:v>50</x:v>
      </x:c>
      <x:c r="B52" s="142" t="str">
        <x:f>IFERROR(IF($H52="","",INDEX($L$3:$L$202,MATCH($H52,$W$3:$W$202,0))),"")</x:f>
      </x:c>
      <x:c r="C52" s="157" t="str">
        <x:f>IFERROR(IF($H52="","",INDEX($N$3:$N$202,MATCH($H52,$W$3:$W$202,0))),"")</x:f>
      </x:c>
      <x:c r="D52" s="167" t="str">
        <x:f>IFERROR(IF($H52="","",INDEX($U$3:$U$202,MATCH($H52,$W$3:$W$202,0))),"")</x:f>
      </x:c>
      <x:c r="E52" s="167" t="str">
        <x:f>IFERROR(IF($H52="","",INDEX(LENH_GOC!$H$4:$H$203,MATCH(INDEX($K$3:$K$202,MATCH($H52,$W$3:$W$202,0)),LENH_GOC!$A$4:$A$203,0))),"")</x:f>
      </x:c>
      <x:c r="F52" s="167" t="str">
        <x:f>IFERROR(IF($H52="","",INDEX($P$3:$P$202,MATCH($H52,$W$3:$W$202,0))),"")</x:f>
      </x:c>
      <x:c r="G52" s="39" t="str">
        <x:f>IFERROR(IF($H52="","",INDEX($X$3:$X$202,MATCH($H52,$W$3:$W$202,0))),"")</x:f>
      </x:c>
      <x:c r="H52" t="str">
        <x:f>IFERROR(IF(ROW()-2&lt;=CAI_DAT!$B$10,ROW()-2,""),"")</x:f>
      </x:c>
      <x:c r="J52" t="str">
        <x:f>IF(LENH_GOC!A53="","",53)</x:f>
      </x:c>
      <x:c r="K52" t="str">
        <x:f>IF(LENH_GOC!A53="","",LENH_GOC!A53)</x:f>
      </x:c>
      <x:c r="L52" t="str">
        <x:f>IF($K52="","",IFERROR(TRIM(LENH_GOC!C53),""))</x:f>
      </x:c>
      <x:c r="M52" t="str">
        <x:f>IF($K52="","",IFERROR(UPPER(TRIM(LENH_GOC!Y53)),""))</x:f>
      </x:c>
      <x:c r="N52" s="249" t="str">
        <x:f>IFERROR(IF($K52="","",IF(LENH_GOC!G53="","",IF(ISNUMBER(LENH_GOC!G53),LENH_GOC!G53,DATE(VALUE(MID(LENH_GOC!G53,7,4)),VALUE(MID(LENH_GOC!G53,4,2)),VALUE(LEFT(LENH_GOC!G53,2)))+TIME(VALUE(MID(LENH_GOC!G53,12,2)),VALUE(MID(LENH_GOC!G53,15,2)),VALUE(MID(LENH_GOC!G53,18,2)))))), "")</x:f>
      </x:c>
      <x:c r="O52" t="str">
        <x:f>IF($K52="","",IF(LENH_GOC!E53="","",LENH_GOC!E53))</x:f>
      </x:c>
      <x:c r="P52" t="str">
        <x:f>IF($K52="","",IF(LENH_GOC!F53="","",LENH_GOC!F53))</x:f>
      </x:c>
      <x:c r="Q52" t="str">
        <x:f>IFERROR(IF($K52="","",IF(LENH_GOC!P53="","",IFERROR(VALUE(LENH_GOC!P53),IF(OR(LENH_GOC!P53=TRUE,UPPER(TRIM(LENH_GOC!P53))="TRUE"),1,0)))),"")</x:f>
      </x:c>
      <x:c r="R52" t="str">
        <x:f>IF($K52="","",IF(LENH_GOC!Q53="","",LENH_GOC!Q53))</x:f>
      </x:c>
      <x:c r="S52" s="249" t="str">
        <x:f>IF($K52="","",IF(LENH_GOC!R53="","",LENH_GOC!R53))</x:f>
      </x:c>
      <x:c r="T52" t="n">
        <x:f>IFERROR(IF($K52="",0,IF(AND(ISNUMBER($N52),INT($N52)=CAI_DAT!$B$4,LEFT(UPPER(TRIM($L52)),2)=LEFT(UPPER(TRIM(CAI_DAT!$B$5)),2),$Q52=1,OR(AND($M52="SO",ISNUMBER($P52),$P52&gt;0),AND($M52="MO",ISNUMBER($O52),$O52&gt;0))),1,0)),0)</x:f>
        <x:v>0</x:v>
      </x:c>
      <x:c r="U52" t="str">
        <x:f>IFERROR(IF($T52=0,"",IF($M52="SO",$P52,IF(AND($M52="MO",OR($R52=TRUE,$R52="TRUE"),ISNUMBER($P52),$P52&gt;0),$P52,$O52))),"")</x:f>
      </x:c>
      <x:c r="V52" t="str">
        <x:f>IFERROR(IF($T52=0,"",MOD($N52,1)*86400),"")</x:f>
      </x:c>
      <x:c r="W52" t="str">
        <x:f>IFERROR(IF($T52=0,"",COUNTIFS($T$3:$T$202,1,$V$3:$V$202,"&lt;"&amp;$V52)+COUNTIFS($T$3:$T52,1,$V$3:$V52,$V52)),"")</x:f>
      </x:c>
      <x:c r="X52" t="str">
        <x:f>IFERROR(IF($T52=0,"",IF($M52="SO","SO: dùng CS hoàn thành",IF(AND($M52="MO",OR($R52=TRUE,$R52="TRUE"),ISNUMBER($P52),$P52&gt;0),"MO dừng sớm: dùng CS hoàn thành","MO: dùng CS ra lệnh"))),"")</x:f>
      </x:c>
    </x:row>
    <x:row r="53">
      <x:c r="A53" s="38" t="n">
        <x:f>ROW()-2</x:f>
        <x:v>51</x:v>
      </x:c>
      <x:c r="B53" s="142" t="str">
        <x:f>IFERROR(IF($H53="","",INDEX($L$3:$L$202,MATCH($H53,$W$3:$W$202,0))),"")</x:f>
      </x:c>
      <x:c r="C53" s="157" t="str">
        <x:f>IFERROR(IF($H53="","",INDEX($N$3:$N$202,MATCH($H53,$W$3:$W$202,0))),"")</x:f>
      </x:c>
      <x:c r="D53" s="167" t="str">
        <x:f>IFERROR(IF($H53="","",INDEX($U$3:$U$202,MATCH($H53,$W$3:$W$202,0))),"")</x:f>
      </x:c>
      <x:c r="E53" s="167" t="str">
        <x:f>IFERROR(IF($H53="","",INDEX(LENH_GOC!$H$4:$H$203,MATCH(INDEX($K$3:$K$202,MATCH($H53,$W$3:$W$202,0)),LENH_GOC!$A$4:$A$203,0))),"")</x:f>
      </x:c>
      <x:c r="F53" s="167" t="str">
        <x:f>IFERROR(IF($H53="","",INDEX($P$3:$P$202,MATCH($H53,$W$3:$W$202,0))),"")</x:f>
      </x:c>
      <x:c r="G53" s="39" t="str">
        <x:f>IFERROR(IF($H53="","",INDEX($X$3:$X$202,MATCH($H53,$W$3:$W$202,0))),"")</x:f>
      </x:c>
      <x:c r="H53" t="str">
        <x:f>IFERROR(IF(ROW()-2&lt;=CAI_DAT!$B$10,ROW()-2,""),"")</x:f>
      </x:c>
      <x:c r="J53" t="str">
        <x:f>IF(LENH_GOC!A54="","",54)</x:f>
      </x:c>
      <x:c r="K53" t="str">
        <x:f>IF(LENH_GOC!A54="","",LENH_GOC!A54)</x:f>
      </x:c>
      <x:c r="L53" t="str">
        <x:f>IF($K53="","",IFERROR(TRIM(LENH_GOC!C54),""))</x:f>
      </x:c>
      <x:c r="M53" t="str">
        <x:f>IF($K53="","",IFERROR(UPPER(TRIM(LENH_GOC!Y54)),""))</x:f>
      </x:c>
      <x:c r="N53" s="249" t="str">
        <x:f>IFERROR(IF($K53="","",IF(LENH_GOC!G54="","",IF(ISNUMBER(LENH_GOC!G54),LENH_GOC!G54,DATE(VALUE(MID(LENH_GOC!G54,7,4)),VALUE(MID(LENH_GOC!G54,4,2)),VALUE(LEFT(LENH_GOC!G54,2)))+TIME(VALUE(MID(LENH_GOC!G54,12,2)),VALUE(MID(LENH_GOC!G54,15,2)),VALUE(MID(LENH_GOC!G54,18,2)))))), "")</x:f>
      </x:c>
      <x:c r="O53" t="str">
        <x:f>IF($K53="","",IF(LENH_GOC!E54="","",LENH_GOC!E54))</x:f>
      </x:c>
      <x:c r="P53" t="str">
        <x:f>IF($K53="","",IF(LENH_GOC!F54="","",LENH_GOC!F54))</x:f>
      </x:c>
      <x:c r="Q53" t="str">
        <x:f>IFERROR(IF($K53="","",IF(LENH_GOC!P54="","",IFERROR(VALUE(LENH_GOC!P54),IF(OR(LENH_GOC!P54=TRUE,UPPER(TRIM(LENH_GOC!P54))="TRUE"),1,0)))),"")</x:f>
      </x:c>
      <x:c r="R53" t="str">
        <x:f>IF($K53="","",IF(LENH_GOC!Q54="","",LENH_GOC!Q54))</x:f>
      </x:c>
      <x:c r="S53" s="249" t="str">
        <x:f>IF($K53="","",IF(LENH_GOC!R54="","",LENH_GOC!R54))</x:f>
      </x:c>
      <x:c r="T53" t="n">
        <x:f>IFERROR(IF($K53="",0,IF(AND(ISNUMBER($N53),INT($N53)=CAI_DAT!$B$4,LEFT(UPPER(TRIM($L53)),2)=LEFT(UPPER(TRIM(CAI_DAT!$B$5)),2),$Q53=1,OR(AND($M53="SO",ISNUMBER($P53),$P53&gt;0),AND($M53="MO",ISNUMBER($O53),$O53&gt;0))),1,0)),0)</x:f>
        <x:v>0</x:v>
      </x:c>
      <x:c r="U53" t="str">
        <x:f>IFERROR(IF($T53=0,"",IF($M53="SO",$P53,IF(AND($M53="MO",OR($R53=TRUE,$R53="TRUE"),ISNUMBER($P53),$P53&gt;0),$P53,$O53))),"")</x:f>
      </x:c>
      <x:c r="V53" t="str">
        <x:f>IFERROR(IF($T53=0,"",MOD($N53,1)*86400),"")</x:f>
      </x:c>
      <x:c r="W53" t="str">
        <x:f>IFERROR(IF($T53=0,"",COUNTIFS($T$3:$T$202,1,$V$3:$V$202,"&lt;"&amp;$V53)+COUNTIFS($T$3:$T53,1,$V$3:$V53,$V53)),"")</x:f>
      </x:c>
      <x:c r="X53" t="str">
        <x:f>IFERROR(IF($T53=0,"",IF($M53="SO","SO: dùng CS hoàn thành",IF(AND($M53="MO",OR($R53=TRUE,$R53="TRUE"),ISNUMBER($P53),$P53&gt;0),"MO dừng sớm: dùng CS hoàn thành","MO: dùng CS ra lệnh"))),"")</x:f>
      </x:c>
    </x:row>
    <x:row r="54">
      <x:c r="A54" s="38" t="n">
        <x:f>ROW()-2</x:f>
        <x:v>52</x:v>
      </x:c>
      <x:c r="B54" s="142" t="str">
        <x:f>IFERROR(IF($H54="","",INDEX($L$3:$L$202,MATCH($H54,$W$3:$W$202,0))),"")</x:f>
      </x:c>
      <x:c r="C54" s="157" t="str">
        <x:f>IFERROR(IF($H54="","",INDEX($N$3:$N$202,MATCH($H54,$W$3:$W$202,0))),"")</x:f>
      </x:c>
      <x:c r="D54" s="167" t="str">
        <x:f>IFERROR(IF($H54="","",INDEX($U$3:$U$202,MATCH($H54,$W$3:$W$202,0))),"")</x:f>
      </x:c>
      <x:c r="E54" s="167" t="str">
        <x:f>IFERROR(IF($H54="","",INDEX(LENH_GOC!$H$4:$H$203,MATCH(INDEX($K$3:$K$202,MATCH($H54,$W$3:$W$202,0)),LENH_GOC!$A$4:$A$203,0))),"")</x:f>
      </x:c>
      <x:c r="F54" s="167" t="str">
        <x:f>IFERROR(IF($H54="","",INDEX($P$3:$P$202,MATCH($H54,$W$3:$W$202,0))),"")</x:f>
      </x:c>
      <x:c r="G54" s="39" t="str">
        <x:f>IFERROR(IF($H54="","",INDEX($X$3:$X$202,MATCH($H54,$W$3:$W$202,0))),"")</x:f>
      </x:c>
      <x:c r="H54" t="str">
        <x:f>IFERROR(IF(ROW()-2&lt;=CAI_DAT!$B$10,ROW()-2,""),"")</x:f>
      </x:c>
      <x:c r="J54" t="str">
        <x:f>IF(LENH_GOC!A55="","",55)</x:f>
      </x:c>
      <x:c r="K54" t="str">
        <x:f>IF(LENH_GOC!A55="","",LENH_GOC!A55)</x:f>
      </x:c>
      <x:c r="L54" t="str">
        <x:f>IF($K54="","",IFERROR(TRIM(LENH_GOC!C55),""))</x:f>
      </x:c>
      <x:c r="M54" t="str">
        <x:f>IF($K54="","",IFERROR(UPPER(TRIM(LENH_GOC!Y55)),""))</x:f>
      </x:c>
      <x:c r="N54" s="249" t="str">
        <x:f>IFERROR(IF($K54="","",IF(LENH_GOC!G55="","",IF(ISNUMBER(LENH_GOC!G55),LENH_GOC!G55,DATE(VALUE(MID(LENH_GOC!G55,7,4)),VALUE(MID(LENH_GOC!G55,4,2)),VALUE(LEFT(LENH_GOC!G55,2)))+TIME(VALUE(MID(LENH_GOC!G55,12,2)),VALUE(MID(LENH_GOC!G55,15,2)),VALUE(MID(LENH_GOC!G55,18,2)))))), "")</x:f>
      </x:c>
      <x:c r="O54" t="str">
        <x:f>IF($K54="","",IF(LENH_GOC!E55="","",LENH_GOC!E55))</x:f>
      </x:c>
      <x:c r="P54" t="str">
        <x:f>IF($K54="","",IF(LENH_GOC!F55="","",LENH_GOC!F55))</x:f>
      </x:c>
      <x:c r="Q54" t="str">
        <x:f>IFERROR(IF($K54="","",IF(LENH_GOC!P55="","",IFERROR(VALUE(LENH_GOC!P55),IF(OR(LENH_GOC!P55=TRUE,UPPER(TRIM(LENH_GOC!P55))="TRUE"),1,0)))),"")</x:f>
      </x:c>
      <x:c r="R54" t="str">
        <x:f>IF($K54="","",IF(LENH_GOC!Q55="","",LENH_GOC!Q55))</x:f>
      </x:c>
      <x:c r="S54" s="249" t="str">
        <x:f>IF($K54="","",IF(LENH_GOC!R55="","",LENH_GOC!R55))</x:f>
      </x:c>
      <x:c r="T54" t="n">
        <x:f>IFERROR(IF($K54="",0,IF(AND(ISNUMBER($N54),INT($N54)=CAI_DAT!$B$4,LEFT(UPPER(TRIM($L54)),2)=LEFT(UPPER(TRIM(CAI_DAT!$B$5)),2),$Q54=1,OR(AND($M54="SO",ISNUMBER($P54),$P54&gt;0),AND($M54="MO",ISNUMBER($O54),$O54&gt;0))),1,0)),0)</x:f>
        <x:v>0</x:v>
      </x:c>
      <x:c r="U54" t="str">
        <x:f>IFERROR(IF($T54=0,"",IF($M54="SO",$P54,IF(AND($M54="MO",OR($R54=TRUE,$R54="TRUE"),ISNUMBER($P54),$P54&gt;0),$P54,$O54))),"")</x:f>
      </x:c>
      <x:c r="V54" t="str">
        <x:f>IFERROR(IF($T54=0,"",MOD($N54,1)*86400),"")</x:f>
      </x:c>
      <x:c r="W54" t="str">
        <x:f>IFERROR(IF($T54=0,"",COUNTIFS($T$3:$T$202,1,$V$3:$V$202,"&lt;"&amp;$V54)+COUNTIFS($T$3:$T54,1,$V$3:$V54,$V54)),"")</x:f>
      </x:c>
      <x:c r="X54" t="str">
        <x:f>IFERROR(IF($T54=0,"",IF($M54="SO","SO: dùng CS hoàn thành",IF(AND($M54="MO",OR($R54=TRUE,$R54="TRUE"),ISNUMBER($P54),$P54&gt;0),"MO dừng sớm: dùng CS hoàn thành","MO: dùng CS ra lệnh"))),"")</x:f>
      </x:c>
    </x:row>
    <x:row r="55">
      <x:c r="A55" s="38" t="n">
        <x:f>ROW()-2</x:f>
        <x:v>53</x:v>
      </x:c>
      <x:c r="B55" s="142" t="str">
        <x:f>IFERROR(IF($H55="","",INDEX($L$3:$L$202,MATCH($H55,$W$3:$W$202,0))),"")</x:f>
      </x:c>
      <x:c r="C55" s="157" t="str">
        <x:f>IFERROR(IF($H55="","",INDEX($N$3:$N$202,MATCH($H55,$W$3:$W$202,0))),"")</x:f>
      </x:c>
      <x:c r="D55" s="167" t="str">
        <x:f>IFERROR(IF($H55="","",INDEX($U$3:$U$202,MATCH($H55,$W$3:$W$202,0))),"")</x:f>
      </x:c>
      <x:c r="E55" s="167" t="str">
        <x:f>IFERROR(IF($H55="","",INDEX(LENH_GOC!$H$4:$H$203,MATCH(INDEX($K$3:$K$202,MATCH($H55,$W$3:$W$202,0)),LENH_GOC!$A$4:$A$203,0))),"")</x:f>
      </x:c>
      <x:c r="F55" s="167" t="str">
        <x:f>IFERROR(IF($H55="","",INDEX($P$3:$P$202,MATCH($H55,$W$3:$W$202,0))),"")</x:f>
      </x:c>
      <x:c r="G55" s="39" t="str">
        <x:f>IFERROR(IF($H55="","",INDEX($X$3:$X$202,MATCH($H55,$W$3:$W$202,0))),"")</x:f>
      </x:c>
      <x:c r="H55" t="str">
        <x:f>IFERROR(IF(ROW()-2&lt;=CAI_DAT!$B$10,ROW()-2,""),"")</x:f>
      </x:c>
      <x:c r="J55" t="str">
        <x:f>IF(LENH_GOC!A56="","",56)</x:f>
      </x:c>
      <x:c r="K55" t="str">
        <x:f>IF(LENH_GOC!A56="","",LENH_GOC!A56)</x:f>
      </x:c>
      <x:c r="L55" t="str">
        <x:f>IF($K55="","",IFERROR(TRIM(LENH_GOC!C56),""))</x:f>
      </x:c>
      <x:c r="M55" t="str">
        <x:f>IF($K55="","",IFERROR(UPPER(TRIM(LENH_GOC!Y56)),""))</x:f>
      </x:c>
      <x:c r="N55" s="249" t="str">
        <x:f>IFERROR(IF($K55="","",IF(LENH_GOC!G56="","",IF(ISNUMBER(LENH_GOC!G56),LENH_GOC!G56,DATE(VALUE(MID(LENH_GOC!G56,7,4)),VALUE(MID(LENH_GOC!G56,4,2)),VALUE(LEFT(LENH_GOC!G56,2)))+TIME(VALUE(MID(LENH_GOC!G56,12,2)),VALUE(MID(LENH_GOC!G56,15,2)),VALUE(MID(LENH_GOC!G56,18,2)))))), "")</x:f>
      </x:c>
      <x:c r="O55" t="str">
        <x:f>IF($K55="","",IF(LENH_GOC!E56="","",LENH_GOC!E56))</x:f>
      </x:c>
      <x:c r="P55" t="str">
        <x:f>IF($K55="","",IF(LENH_GOC!F56="","",LENH_GOC!F56))</x:f>
      </x:c>
      <x:c r="Q55" t="str">
        <x:f>IFERROR(IF($K55="","",IF(LENH_GOC!P56="","",IFERROR(VALUE(LENH_GOC!P56),IF(OR(LENH_GOC!P56=TRUE,UPPER(TRIM(LENH_GOC!P56))="TRUE"),1,0)))),"")</x:f>
      </x:c>
      <x:c r="R55" t="str">
        <x:f>IF($K55="","",IF(LENH_GOC!Q56="","",LENH_GOC!Q56))</x:f>
      </x:c>
      <x:c r="S55" s="249" t="str">
        <x:f>IF($K55="","",IF(LENH_GOC!R56="","",LENH_GOC!R56))</x:f>
      </x:c>
      <x:c r="T55" t="n">
        <x:f>IFERROR(IF($K55="",0,IF(AND(ISNUMBER($N55),INT($N55)=CAI_DAT!$B$4,LEFT(UPPER(TRIM($L55)),2)=LEFT(UPPER(TRIM(CAI_DAT!$B$5)),2),$Q55=1,OR(AND($M55="SO",ISNUMBER($P55),$P55&gt;0),AND($M55="MO",ISNUMBER($O55),$O55&gt;0))),1,0)),0)</x:f>
        <x:v>0</x:v>
      </x:c>
      <x:c r="U55" t="str">
        <x:f>IFERROR(IF($T55=0,"",IF($M55="SO",$P55,IF(AND($M55="MO",OR($R55=TRUE,$R55="TRUE"),ISNUMBER($P55),$P55&gt;0),$P55,$O55))),"")</x:f>
      </x:c>
      <x:c r="V55" t="str">
        <x:f>IFERROR(IF($T55=0,"",MOD($N55,1)*86400),"")</x:f>
      </x:c>
      <x:c r="W55" t="str">
        <x:f>IFERROR(IF($T55=0,"",COUNTIFS($T$3:$T$202,1,$V$3:$V$202,"&lt;"&amp;$V55)+COUNTIFS($T$3:$T55,1,$V$3:$V55,$V55)),"")</x:f>
      </x:c>
      <x:c r="X55" t="str">
        <x:f>IFERROR(IF($T55=0,"",IF($M55="SO","SO: dùng CS hoàn thành",IF(AND($M55="MO",OR($R55=TRUE,$R55="TRUE"),ISNUMBER($P55),$P55&gt;0),"MO dừng sớm: dùng CS hoàn thành","MO: dùng CS ra lệnh"))),"")</x:f>
      </x:c>
    </x:row>
    <x:row r="56">
      <x:c r="A56" s="38" t="n">
        <x:f>ROW()-2</x:f>
        <x:v>54</x:v>
      </x:c>
      <x:c r="B56" s="142" t="str">
        <x:f>IFERROR(IF($H56="","",INDEX($L$3:$L$202,MATCH($H56,$W$3:$W$202,0))),"")</x:f>
      </x:c>
      <x:c r="C56" s="157" t="str">
        <x:f>IFERROR(IF($H56="","",INDEX($N$3:$N$202,MATCH($H56,$W$3:$W$202,0))),"")</x:f>
      </x:c>
      <x:c r="D56" s="167" t="str">
        <x:f>IFERROR(IF($H56="","",INDEX($U$3:$U$202,MATCH($H56,$W$3:$W$202,0))),"")</x:f>
      </x:c>
      <x:c r="E56" s="167" t="str">
        <x:f>IFERROR(IF($H56="","",INDEX(LENH_GOC!$H$4:$H$203,MATCH(INDEX($K$3:$K$202,MATCH($H56,$W$3:$W$202,0)),LENH_GOC!$A$4:$A$203,0))),"")</x:f>
      </x:c>
      <x:c r="F56" s="167" t="str">
        <x:f>IFERROR(IF($H56="","",INDEX($P$3:$P$202,MATCH($H56,$W$3:$W$202,0))),"")</x:f>
      </x:c>
      <x:c r="G56" s="39" t="str">
        <x:f>IFERROR(IF($H56="","",INDEX($X$3:$X$202,MATCH($H56,$W$3:$W$202,0))),"")</x:f>
      </x:c>
      <x:c r="H56" t="str">
        <x:f>IFERROR(IF(ROW()-2&lt;=CAI_DAT!$B$10,ROW()-2,""),"")</x:f>
      </x:c>
      <x:c r="J56" t="str">
        <x:f>IF(LENH_GOC!A57="","",57)</x:f>
      </x:c>
      <x:c r="K56" t="str">
        <x:f>IF(LENH_GOC!A57="","",LENH_GOC!A57)</x:f>
      </x:c>
      <x:c r="L56" t="str">
        <x:f>IF($K56="","",IFERROR(TRIM(LENH_GOC!C57),""))</x:f>
      </x:c>
      <x:c r="M56" t="str">
        <x:f>IF($K56="","",IFERROR(UPPER(TRIM(LENH_GOC!Y57)),""))</x:f>
      </x:c>
      <x:c r="N56" s="249" t="str">
        <x:f>IFERROR(IF($K56="","",IF(LENH_GOC!G57="","",IF(ISNUMBER(LENH_GOC!G57),LENH_GOC!G57,DATE(VALUE(MID(LENH_GOC!G57,7,4)),VALUE(MID(LENH_GOC!G57,4,2)),VALUE(LEFT(LENH_GOC!G57,2)))+TIME(VALUE(MID(LENH_GOC!G57,12,2)),VALUE(MID(LENH_GOC!G57,15,2)),VALUE(MID(LENH_GOC!G57,18,2)))))), "")</x:f>
      </x:c>
      <x:c r="O56" t="str">
        <x:f>IF($K56="","",IF(LENH_GOC!E57="","",LENH_GOC!E57))</x:f>
      </x:c>
      <x:c r="P56" t="str">
        <x:f>IF($K56="","",IF(LENH_GOC!F57="","",LENH_GOC!F57))</x:f>
      </x:c>
      <x:c r="Q56" t="str">
        <x:f>IFERROR(IF($K56="","",IF(LENH_GOC!P57="","",IFERROR(VALUE(LENH_GOC!P57),IF(OR(LENH_GOC!P57=TRUE,UPPER(TRIM(LENH_GOC!P57))="TRUE"),1,0)))),"")</x:f>
      </x:c>
      <x:c r="R56" t="str">
        <x:f>IF($K56="","",IF(LENH_GOC!Q57="","",LENH_GOC!Q57))</x:f>
      </x:c>
      <x:c r="S56" s="249" t="str">
        <x:f>IF($K56="","",IF(LENH_GOC!R57="","",LENH_GOC!R57))</x:f>
      </x:c>
      <x:c r="T56" t="n">
        <x:f>IFERROR(IF($K56="",0,IF(AND(ISNUMBER($N56),INT($N56)=CAI_DAT!$B$4,LEFT(UPPER(TRIM($L56)),2)=LEFT(UPPER(TRIM(CAI_DAT!$B$5)),2),$Q56=1,OR(AND($M56="SO",ISNUMBER($P56),$P56&gt;0),AND($M56="MO",ISNUMBER($O56),$O56&gt;0))),1,0)),0)</x:f>
        <x:v>0</x:v>
      </x:c>
      <x:c r="U56" t="str">
        <x:f>IFERROR(IF($T56=0,"",IF($M56="SO",$P56,IF(AND($M56="MO",OR($R56=TRUE,$R56="TRUE"),ISNUMBER($P56),$P56&gt;0),$P56,$O56))),"")</x:f>
      </x:c>
      <x:c r="V56" t="str">
        <x:f>IFERROR(IF($T56=0,"",MOD($N56,1)*86400),"")</x:f>
      </x:c>
      <x:c r="W56" t="str">
        <x:f>IFERROR(IF($T56=0,"",COUNTIFS($T$3:$T$202,1,$V$3:$V$202,"&lt;"&amp;$V56)+COUNTIFS($T$3:$T56,1,$V$3:$V56,$V56)),"")</x:f>
      </x:c>
      <x:c r="X56" t="str">
        <x:f>IFERROR(IF($T56=0,"",IF($M56="SO","SO: dùng CS hoàn thành",IF(AND($M56="MO",OR($R56=TRUE,$R56="TRUE"),ISNUMBER($P56),$P56&gt;0),"MO dừng sớm: dùng CS hoàn thành","MO: dùng CS ra lệnh"))),"")</x:f>
      </x:c>
    </x:row>
    <x:row r="57">
      <x:c r="A57" s="38" t="n">
        <x:f>ROW()-2</x:f>
        <x:v>55</x:v>
      </x:c>
      <x:c r="B57" s="142" t="str">
        <x:f>IFERROR(IF($H57="","",INDEX($L$3:$L$202,MATCH($H57,$W$3:$W$202,0))),"")</x:f>
      </x:c>
      <x:c r="C57" s="157" t="str">
        <x:f>IFERROR(IF($H57="","",INDEX($N$3:$N$202,MATCH($H57,$W$3:$W$202,0))),"")</x:f>
      </x:c>
      <x:c r="D57" s="167" t="str">
        <x:f>IFERROR(IF($H57="","",INDEX($U$3:$U$202,MATCH($H57,$W$3:$W$202,0))),"")</x:f>
      </x:c>
      <x:c r="E57" s="167" t="str">
        <x:f>IFERROR(IF($H57="","",INDEX(LENH_GOC!$H$4:$H$203,MATCH(INDEX($K$3:$K$202,MATCH($H57,$W$3:$W$202,0)),LENH_GOC!$A$4:$A$203,0))),"")</x:f>
      </x:c>
      <x:c r="F57" s="167" t="str">
        <x:f>IFERROR(IF($H57="","",INDEX($P$3:$P$202,MATCH($H57,$W$3:$W$202,0))),"")</x:f>
      </x:c>
      <x:c r="G57" s="39" t="str">
        <x:f>IFERROR(IF($H57="","",INDEX($X$3:$X$202,MATCH($H57,$W$3:$W$202,0))),"")</x:f>
      </x:c>
      <x:c r="H57" t="str">
        <x:f>IFERROR(IF(ROW()-2&lt;=CAI_DAT!$B$10,ROW()-2,""),"")</x:f>
      </x:c>
      <x:c r="J57" t="str">
        <x:f>IF(LENH_GOC!A58="","",58)</x:f>
      </x:c>
      <x:c r="K57" t="str">
        <x:f>IF(LENH_GOC!A58="","",LENH_GOC!A58)</x:f>
      </x:c>
      <x:c r="L57" t="str">
        <x:f>IF($K57="","",IFERROR(TRIM(LENH_GOC!C58),""))</x:f>
      </x:c>
      <x:c r="M57" t="str">
        <x:f>IF($K57="","",IFERROR(UPPER(TRIM(LENH_GOC!Y58)),""))</x:f>
      </x:c>
      <x:c r="N57" s="249" t="str">
        <x:f>IFERROR(IF($K57="","",IF(LENH_GOC!G58="","",IF(ISNUMBER(LENH_GOC!G58),LENH_GOC!G58,DATE(VALUE(MID(LENH_GOC!G58,7,4)),VALUE(MID(LENH_GOC!G58,4,2)),VALUE(LEFT(LENH_GOC!G58,2)))+TIME(VALUE(MID(LENH_GOC!G58,12,2)),VALUE(MID(LENH_GOC!G58,15,2)),VALUE(MID(LENH_GOC!G58,18,2)))))), "")</x:f>
      </x:c>
      <x:c r="O57" t="str">
        <x:f>IF($K57="","",IF(LENH_GOC!E58="","",LENH_GOC!E58))</x:f>
      </x:c>
      <x:c r="P57" t="str">
        <x:f>IF($K57="","",IF(LENH_GOC!F58="","",LENH_GOC!F58))</x:f>
      </x:c>
      <x:c r="Q57" t="str">
        <x:f>IFERROR(IF($K57="","",IF(LENH_GOC!P58="","",IFERROR(VALUE(LENH_GOC!P58),IF(OR(LENH_GOC!P58=TRUE,UPPER(TRIM(LENH_GOC!P58))="TRUE"),1,0)))),"")</x:f>
      </x:c>
      <x:c r="R57" t="str">
        <x:f>IF($K57="","",IF(LENH_GOC!Q58="","",LENH_GOC!Q58))</x:f>
      </x:c>
      <x:c r="S57" s="249" t="str">
        <x:f>IF($K57="","",IF(LENH_GOC!R58="","",LENH_GOC!R58))</x:f>
      </x:c>
      <x:c r="T57" t="n">
        <x:f>IFERROR(IF($K57="",0,IF(AND(ISNUMBER($N57),INT($N57)=CAI_DAT!$B$4,LEFT(UPPER(TRIM($L57)),2)=LEFT(UPPER(TRIM(CAI_DAT!$B$5)),2),$Q57=1,OR(AND($M57="SO",ISNUMBER($P57),$P57&gt;0),AND($M57="MO",ISNUMBER($O57),$O57&gt;0))),1,0)),0)</x:f>
        <x:v>0</x:v>
      </x:c>
      <x:c r="U57" t="str">
        <x:f>IFERROR(IF($T57=0,"",IF($M57="SO",$P57,IF(AND($M57="MO",OR($R57=TRUE,$R57="TRUE"),ISNUMBER($P57),$P57&gt;0),$P57,$O57))),"")</x:f>
      </x:c>
      <x:c r="V57" t="str">
        <x:f>IFERROR(IF($T57=0,"",MOD($N57,1)*86400),"")</x:f>
      </x:c>
      <x:c r="W57" t="str">
        <x:f>IFERROR(IF($T57=0,"",COUNTIFS($T$3:$T$202,1,$V$3:$V$202,"&lt;"&amp;$V57)+COUNTIFS($T$3:$T57,1,$V$3:$V57,$V57)),"")</x:f>
      </x:c>
      <x:c r="X57" t="str">
        <x:f>IFERROR(IF($T57=0,"",IF($M57="SO","SO: dùng CS hoàn thành",IF(AND($M57="MO",OR($R57=TRUE,$R57="TRUE"),ISNUMBER($P57),$P57&gt;0),"MO dừng sớm: dùng CS hoàn thành","MO: dùng CS ra lệnh"))),"")</x:f>
      </x:c>
    </x:row>
    <x:row r="58">
      <x:c r="A58" s="38" t="n">
        <x:f>ROW()-2</x:f>
        <x:v>56</x:v>
      </x:c>
      <x:c r="B58" s="142" t="str">
        <x:f>IFERROR(IF($H58="","",INDEX($L$3:$L$202,MATCH($H58,$W$3:$W$202,0))),"")</x:f>
      </x:c>
      <x:c r="C58" s="157" t="str">
        <x:f>IFERROR(IF($H58="","",INDEX($N$3:$N$202,MATCH($H58,$W$3:$W$202,0))),"")</x:f>
      </x:c>
      <x:c r="D58" s="167" t="str">
        <x:f>IFERROR(IF($H58="","",INDEX($U$3:$U$202,MATCH($H58,$W$3:$W$202,0))),"")</x:f>
      </x:c>
      <x:c r="E58" s="167" t="str">
        <x:f>IFERROR(IF($H58="","",INDEX(LENH_GOC!$H$4:$H$203,MATCH(INDEX($K$3:$K$202,MATCH($H58,$W$3:$W$202,0)),LENH_GOC!$A$4:$A$203,0))),"")</x:f>
      </x:c>
      <x:c r="F58" s="167" t="str">
        <x:f>IFERROR(IF($H58="","",INDEX($P$3:$P$202,MATCH($H58,$W$3:$W$202,0))),"")</x:f>
      </x:c>
      <x:c r="G58" s="39" t="str">
        <x:f>IFERROR(IF($H58="","",INDEX($X$3:$X$202,MATCH($H58,$W$3:$W$202,0))),"")</x:f>
      </x:c>
      <x:c r="H58" t="str">
        <x:f>IFERROR(IF(ROW()-2&lt;=CAI_DAT!$B$10,ROW()-2,""),"")</x:f>
      </x:c>
      <x:c r="J58" t="str">
        <x:f>IF(LENH_GOC!A59="","",59)</x:f>
      </x:c>
      <x:c r="K58" t="str">
        <x:f>IF(LENH_GOC!A59="","",LENH_GOC!A59)</x:f>
      </x:c>
      <x:c r="L58" t="str">
        <x:f>IF($K58="","",IFERROR(TRIM(LENH_GOC!C59),""))</x:f>
      </x:c>
      <x:c r="M58" t="str">
        <x:f>IF($K58="","",IFERROR(UPPER(TRIM(LENH_GOC!Y59)),""))</x:f>
      </x:c>
      <x:c r="N58" s="249" t="str">
        <x:f>IFERROR(IF($K58="","",IF(LENH_GOC!G59="","",IF(ISNUMBER(LENH_GOC!G59),LENH_GOC!G59,DATE(VALUE(MID(LENH_GOC!G59,7,4)),VALUE(MID(LENH_GOC!G59,4,2)),VALUE(LEFT(LENH_GOC!G59,2)))+TIME(VALUE(MID(LENH_GOC!G59,12,2)),VALUE(MID(LENH_GOC!G59,15,2)),VALUE(MID(LENH_GOC!G59,18,2)))))), "")</x:f>
      </x:c>
      <x:c r="O58" t="str">
        <x:f>IF($K58="","",IF(LENH_GOC!E59="","",LENH_GOC!E59))</x:f>
      </x:c>
      <x:c r="P58" t="str">
        <x:f>IF($K58="","",IF(LENH_GOC!F59="","",LENH_GOC!F59))</x:f>
      </x:c>
      <x:c r="Q58" t="str">
        <x:f>IFERROR(IF($K58="","",IF(LENH_GOC!P59="","",IFERROR(VALUE(LENH_GOC!P59),IF(OR(LENH_GOC!P59=TRUE,UPPER(TRIM(LENH_GOC!P59))="TRUE"),1,0)))),"")</x:f>
      </x:c>
      <x:c r="R58" t="str">
        <x:f>IF($K58="","",IF(LENH_GOC!Q59="","",LENH_GOC!Q59))</x:f>
      </x:c>
      <x:c r="S58" s="249" t="str">
        <x:f>IF($K58="","",IF(LENH_GOC!R59="","",LENH_GOC!R59))</x:f>
      </x:c>
      <x:c r="T58" t="n">
        <x:f>IFERROR(IF($K58="",0,IF(AND(ISNUMBER($N58),INT($N58)=CAI_DAT!$B$4,LEFT(UPPER(TRIM($L58)),2)=LEFT(UPPER(TRIM(CAI_DAT!$B$5)),2),$Q58=1,OR(AND($M58="SO",ISNUMBER($P58),$P58&gt;0),AND($M58="MO",ISNUMBER($O58),$O58&gt;0))),1,0)),0)</x:f>
        <x:v>0</x:v>
      </x:c>
      <x:c r="U58" t="str">
        <x:f>IFERROR(IF($T58=0,"",IF($M58="SO",$P58,IF(AND($M58="MO",OR($R58=TRUE,$R58="TRUE"),ISNUMBER($P58),$P58&gt;0),$P58,$O58))),"")</x:f>
      </x:c>
      <x:c r="V58" t="str">
        <x:f>IFERROR(IF($T58=0,"",MOD($N58,1)*86400),"")</x:f>
      </x:c>
      <x:c r="W58" t="str">
        <x:f>IFERROR(IF($T58=0,"",COUNTIFS($T$3:$T$202,1,$V$3:$V$202,"&lt;"&amp;$V58)+COUNTIFS($T$3:$T58,1,$V$3:$V58,$V58)),"")</x:f>
      </x:c>
      <x:c r="X58" t="str">
        <x:f>IFERROR(IF($T58=0,"",IF($M58="SO","SO: dùng CS hoàn thành",IF(AND($M58="MO",OR($R58=TRUE,$R58="TRUE"),ISNUMBER($P58),$P58&gt;0),"MO dừng sớm: dùng CS hoàn thành","MO: dùng CS ra lệnh"))),"")</x:f>
      </x:c>
    </x:row>
    <x:row r="59">
      <x:c r="A59" s="38" t="n">
        <x:f>ROW()-2</x:f>
        <x:v>57</x:v>
      </x:c>
      <x:c r="B59" s="142" t="str">
        <x:f>IFERROR(IF($H59="","",INDEX($L$3:$L$202,MATCH($H59,$W$3:$W$202,0))),"")</x:f>
      </x:c>
      <x:c r="C59" s="157" t="str">
        <x:f>IFERROR(IF($H59="","",INDEX($N$3:$N$202,MATCH($H59,$W$3:$W$202,0))),"")</x:f>
      </x:c>
      <x:c r="D59" s="167" t="str">
        <x:f>IFERROR(IF($H59="","",INDEX($U$3:$U$202,MATCH($H59,$W$3:$W$202,0))),"")</x:f>
      </x:c>
      <x:c r="E59" s="167" t="str">
        <x:f>IFERROR(IF($H59="","",INDEX(LENH_GOC!$H$4:$H$203,MATCH(INDEX($K$3:$K$202,MATCH($H59,$W$3:$W$202,0)),LENH_GOC!$A$4:$A$203,0))),"")</x:f>
      </x:c>
      <x:c r="F59" s="167" t="str">
        <x:f>IFERROR(IF($H59="","",INDEX($P$3:$P$202,MATCH($H59,$W$3:$W$202,0))),"")</x:f>
      </x:c>
      <x:c r="G59" s="39" t="str">
        <x:f>IFERROR(IF($H59="","",INDEX($X$3:$X$202,MATCH($H59,$W$3:$W$202,0))),"")</x:f>
      </x:c>
      <x:c r="H59" t="str">
        <x:f>IFERROR(IF(ROW()-2&lt;=CAI_DAT!$B$10,ROW()-2,""),"")</x:f>
      </x:c>
      <x:c r="J59" t="str">
        <x:f>IF(LENH_GOC!A60="","",60)</x:f>
      </x:c>
      <x:c r="K59" t="str">
        <x:f>IF(LENH_GOC!A60="","",LENH_GOC!A60)</x:f>
      </x:c>
      <x:c r="L59" t="str">
        <x:f>IF($K59="","",IFERROR(TRIM(LENH_GOC!C60),""))</x:f>
      </x:c>
      <x:c r="M59" t="str">
        <x:f>IF($K59="","",IFERROR(UPPER(TRIM(LENH_GOC!Y60)),""))</x:f>
      </x:c>
      <x:c r="N59" s="249" t="str">
        <x:f>IFERROR(IF($K59="","",IF(LENH_GOC!G60="","",IF(ISNUMBER(LENH_GOC!G60),LENH_GOC!G60,DATE(VALUE(MID(LENH_GOC!G60,7,4)),VALUE(MID(LENH_GOC!G60,4,2)),VALUE(LEFT(LENH_GOC!G60,2)))+TIME(VALUE(MID(LENH_GOC!G60,12,2)),VALUE(MID(LENH_GOC!G60,15,2)),VALUE(MID(LENH_GOC!G60,18,2)))))), "")</x:f>
      </x:c>
      <x:c r="O59" t="str">
        <x:f>IF($K59="","",IF(LENH_GOC!E60="","",LENH_GOC!E60))</x:f>
      </x:c>
      <x:c r="P59" t="str">
        <x:f>IF($K59="","",IF(LENH_GOC!F60="","",LENH_GOC!F60))</x:f>
      </x:c>
      <x:c r="Q59" t="str">
        <x:f>IFERROR(IF($K59="","",IF(LENH_GOC!P60="","",IFERROR(VALUE(LENH_GOC!P60),IF(OR(LENH_GOC!P60=TRUE,UPPER(TRIM(LENH_GOC!P60))="TRUE"),1,0)))),"")</x:f>
      </x:c>
      <x:c r="R59" t="str">
        <x:f>IF($K59="","",IF(LENH_GOC!Q60="","",LENH_GOC!Q60))</x:f>
      </x:c>
      <x:c r="S59" s="249" t="str">
        <x:f>IF($K59="","",IF(LENH_GOC!R60="","",LENH_GOC!R60))</x:f>
      </x:c>
      <x:c r="T59" t="n">
        <x:f>IFERROR(IF($K59="",0,IF(AND(ISNUMBER($N59),INT($N59)=CAI_DAT!$B$4,LEFT(UPPER(TRIM($L59)),2)=LEFT(UPPER(TRIM(CAI_DAT!$B$5)),2),$Q59=1,OR(AND($M59="SO",ISNUMBER($P59),$P59&gt;0),AND($M59="MO",ISNUMBER($O59),$O59&gt;0))),1,0)),0)</x:f>
        <x:v>0</x:v>
      </x:c>
      <x:c r="U59" t="str">
        <x:f>IFERROR(IF($T59=0,"",IF($M59="SO",$P59,IF(AND($M59="MO",OR($R59=TRUE,$R59="TRUE"),ISNUMBER($P59),$P59&gt;0),$P59,$O59))),"")</x:f>
      </x:c>
      <x:c r="V59" t="str">
        <x:f>IFERROR(IF($T59=0,"",MOD($N59,1)*86400),"")</x:f>
      </x:c>
      <x:c r="W59" t="str">
        <x:f>IFERROR(IF($T59=0,"",COUNTIFS($T$3:$T$202,1,$V$3:$V$202,"&lt;"&amp;$V59)+COUNTIFS($T$3:$T59,1,$V$3:$V59,$V59)),"")</x:f>
      </x:c>
      <x:c r="X59" t="str">
        <x:f>IFERROR(IF($T59=0,"",IF($M59="SO","SO: dùng CS hoàn thành",IF(AND($M59="MO",OR($R59=TRUE,$R59="TRUE"),ISNUMBER($P59),$P59&gt;0),"MO dừng sớm: dùng CS hoàn thành","MO: dùng CS ra lệnh"))),"")</x:f>
      </x:c>
    </x:row>
    <x:row r="60">
      <x:c r="A60" s="38" t="n">
        <x:f>ROW()-2</x:f>
        <x:v>58</x:v>
      </x:c>
      <x:c r="B60" s="142" t="str">
        <x:f>IFERROR(IF($H60="","",INDEX($L$3:$L$202,MATCH($H60,$W$3:$W$202,0))),"")</x:f>
      </x:c>
      <x:c r="C60" s="157" t="str">
        <x:f>IFERROR(IF($H60="","",INDEX($N$3:$N$202,MATCH($H60,$W$3:$W$202,0))),"")</x:f>
      </x:c>
      <x:c r="D60" s="167" t="str">
        <x:f>IFERROR(IF($H60="","",INDEX($U$3:$U$202,MATCH($H60,$W$3:$W$202,0))),"")</x:f>
      </x:c>
      <x:c r="E60" s="167" t="str">
        <x:f>IFERROR(IF($H60="","",INDEX(LENH_GOC!$H$4:$H$203,MATCH(INDEX($K$3:$K$202,MATCH($H60,$W$3:$W$202,0)),LENH_GOC!$A$4:$A$203,0))),"")</x:f>
      </x:c>
      <x:c r="F60" s="167" t="str">
        <x:f>IFERROR(IF($H60="","",INDEX($P$3:$P$202,MATCH($H60,$W$3:$W$202,0))),"")</x:f>
      </x:c>
      <x:c r="G60" s="39" t="str">
        <x:f>IFERROR(IF($H60="","",INDEX($X$3:$X$202,MATCH($H60,$W$3:$W$202,0))),"")</x:f>
      </x:c>
      <x:c r="H60" t="str">
        <x:f>IFERROR(IF(ROW()-2&lt;=CAI_DAT!$B$10,ROW()-2,""),"")</x:f>
      </x:c>
      <x:c r="J60" t="str">
        <x:f>IF(LENH_GOC!A61="","",61)</x:f>
      </x:c>
      <x:c r="K60" t="str">
        <x:f>IF(LENH_GOC!A61="","",LENH_GOC!A61)</x:f>
      </x:c>
      <x:c r="L60" t="str">
        <x:f>IF($K60="","",IFERROR(TRIM(LENH_GOC!C61),""))</x:f>
      </x:c>
      <x:c r="M60" t="str">
        <x:f>IF($K60="","",IFERROR(UPPER(TRIM(LENH_GOC!Y61)),""))</x:f>
      </x:c>
      <x:c r="N60" s="249" t="str">
        <x:f>IFERROR(IF($K60="","",IF(LENH_GOC!G61="","",IF(ISNUMBER(LENH_GOC!G61),LENH_GOC!G61,DATE(VALUE(MID(LENH_GOC!G61,7,4)),VALUE(MID(LENH_GOC!G61,4,2)),VALUE(LEFT(LENH_GOC!G61,2)))+TIME(VALUE(MID(LENH_GOC!G61,12,2)),VALUE(MID(LENH_GOC!G61,15,2)),VALUE(MID(LENH_GOC!G61,18,2)))))), "")</x:f>
      </x:c>
      <x:c r="O60" t="str">
        <x:f>IF($K60="","",IF(LENH_GOC!E61="","",LENH_GOC!E61))</x:f>
      </x:c>
      <x:c r="P60" t="str">
        <x:f>IF($K60="","",IF(LENH_GOC!F61="","",LENH_GOC!F61))</x:f>
      </x:c>
      <x:c r="Q60" t="str">
        <x:f>IFERROR(IF($K60="","",IF(LENH_GOC!P61="","",IFERROR(VALUE(LENH_GOC!P61),IF(OR(LENH_GOC!P61=TRUE,UPPER(TRIM(LENH_GOC!P61))="TRUE"),1,0)))),"")</x:f>
      </x:c>
      <x:c r="R60" t="str">
        <x:f>IF($K60="","",IF(LENH_GOC!Q61="","",LENH_GOC!Q61))</x:f>
      </x:c>
      <x:c r="S60" s="249" t="str">
        <x:f>IF($K60="","",IF(LENH_GOC!R61="","",LENH_GOC!R61))</x:f>
      </x:c>
      <x:c r="T60" t="n">
        <x:f>IFERROR(IF($K60="",0,IF(AND(ISNUMBER($N60),INT($N60)=CAI_DAT!$B$4,LEFT(UPPER(TRIM($L60)),2)=LEFT(UPPER(TRIM(CAI_DAT!$B$5)),2),$Q60=1,OR(AND($M60="SO",ISNUMBER($P60),$P60&gt;0),AND($M60="MO",ISNUMBER($O60),$O60&gt;0))),1,0)),0)</x:f>
        <x:v>0</x:v>
      </x:c>
      <x:c r="U60" t="str">
        <x:f>IFERROR(IF($T60=0,"",IF($M60="SO",$P60,IF(AND($M60="MO",OR($R60=TRUE,$R60="TRUE"),ISNUMBER($P60),$P60&gt;0),$P60,$O60))),"")</x:f>
      </x:c>
      <x:c r="V60" t="str">
        <x:f>IFERROR(IF($T60=0,"",MOD($N60,1)*86400),"")</x:f>
      </x:c>
      <x:c r="W60" t="str">
        <x:f>IFERROR(IF($T60=0,"",COUNTIFS($T$3:$T$202,1,$V$3:$V$202,"&lt;"&amp;$V60)+COUNTIFS($T$3:$T60,1,$V$3:$V60,$V60)),"")</x:f>
      </x:c>
      <x:c r="X60" t="str">
        <x:f>IFERROR(IF($T60=0,"",IF($M60="SO","SO: dùng CS hoàn thành",IF(AND($M60="MO",OR($R60=TRUE,$R60="TRUE"),ISNUMBER($P60),$P60&gt;0),"MO dừng sớm: dùng CS hoàn thành","MO: dùng CS ra lệnh"))),"")</x:f>
      </x:c>
    </x:row>
    <x:row r="61">
      <x:c r="A61" s="38" t="n">
        <x:f>ROW()-2</x:f>
        <x:v>59</x:v>
      </x:c>
      <x:c r="B61" s="142" t="str">
        <x:f>IFERROR(IF($H61="","",INDEX($L$3:$L$202,MATCH($H61,$W$3:$W$202,0))),"")</x:f>
      </x:c>
      <x:c r="C61" s="157" t="str">
        <x:f>IFERROR(IF($H61="","",INDEX($N$3:$N$202,MATCH($H61,$W$3:$W$202,0))),"")</x:f>
      </x:c>
      <x:c r="D61" s="167" t="str">
        <x:f>IFERROR(IF($H61="","",INDEX($U$3:$U$202,MATCH($H61,$W$3:$W$202,0))),"")</x:f>
      </x:c>
      <x:c r="E61" s="167" t="str">
        <x:f>IFERROR(IF($H61="","",INDEX(LENH_GOC!$H$4:$H$203,MATCH(INDEX($K$3:$K$202,MATCH($H61,$W$3:$W$202,0)),LENH_GOC!$A$4:$A$203,0))),"")</x:f>
      </x:c>
      <x:c r="F61" s="167" t="str">
        <x:f>IFERROR(IF($H61="","",INDEX($P$3:$P$202,MATCH($H61,$W$3:$W$202,0))),"")</x:f>
      </x:c>
      <x:c r="G61" s="39" t="str">
        <x:f>IFERROR(IF($H61="","",INDEX($X$3:$X$202,MATCH($H61,$W$3:$W$202,0))),"")</x:f>
      </x:c>
      <x:c r="H61" t="str">
        <x:f>IFERROR(IF(ROW()-2&lt;=CAI_DAT!$B$10,ROW()-2,""),"")</x:f>
      </x:c>
      <x:c r="J61" t="str">
        <x:f>IF(LENH_GOC!A62="","",62)</x:f>
      </x:c>
      <x:c r="K61" t="str">
        <x:f>IF(LENH_GOC!A62="","",LENH_GOC!A62)</x:f>
      </x:c>
      <x:c r="L61" t="str">
        <x:f>IF($K61="","",IFERROR(TRIM(LENH_GOC!C62),""))</x:f>
      </x:c>
      <x:c r="M61" t="str">
        <x:f>IF($K61="","",IFERROR(UPPER(TRIM(LENH_GOC!Y62)),""))</x:f>
      </x:c>
      <x:c r="N61" s="249" t="str">
        <x:f>IFERROR(IF($K61="","",IF(LENH_GOC!G62="","",IF(ISNUMBER(LENH_GOC!G62),LENH_GOC!G62,DATE(VALUE(MID(LENH_GOC!G62,7,4)),VALUE(MID(LENH_GOC!G62,4,2)),VALUE(LEFT(LENH_GOC!G62,2)))+TIME(VALUE(MID(LENH_GOC!G62,12,2)),VALUE(MID(LENH_GOC!G62,15,2)),VALUE(MID(LENH_GOC!G62,18,2)))))), "")</x:f>
      </x:c>
      <x:c r="O61" t="str">
        <x:f>IF($K61="","",IF(LENH_GOC!E62="","",LENH_GOC!E62))</x:f>
      </x:c>
      <x:c r="P61" t="str">
        <x:f>IF($K61="","",IF(LENH_GOC!F62="","",LENH_GOC!F62))</x:f>
      </x:c>
      <x:c r="Q61" t="str">
        <x:f>IFERROR(IF($K61="","",IF(LENH_GOC!P62="","",IFERROR(VALUE(LENH_GOC!P62),IF(OR(LENH_GOC!P62=TRUE,UPPER(TRIM(LENH_GOC!P62))="TRUE"),1,0)))),"")</x:f>
      </x:c>
      <x:c r="R61" t="str">
        <x:f>IF($K61="","",IF(LENH_GOC!Q62="","",LENH_GOC!Q62))</x:f>
      </x:c>
      <x:c r="S61" s="249" t="str">
        <x:f>IF($K61="","",IF(LENH_GOC!R62="","",LENH_GOC!R62))</x:f>
      </x:c>
      <x:c r="T61" t="n">
        <x:f>IFERROR(IF($K61="",0,IF(AND(ISNUMBER($N61),INT($N61)=CAI_DAT!$B$4,LEFT(UPPER(TRIM($L61)),2)=LEFT(UPPER(TRIM(CAI_DAT!$B$5)),2),$Q61=1,OR(AND($M61="SO",ISNUMBER($P61),$P61&gt;0),AND($M61="MO",ISNUMBER($O61),$O61&gt;0))),1,0)),0)</x:f>
        <x:v>0</x:v>
      </x:c>
      <x:c r="U61" t="str">
        <x:f>IFERROR(IF($T61=0,"",IF($M61="SO",$P61,IF(AND($M61="MO",OR($R61=TRUE,$R61="TRUE"),ISNUMBER($P61),$P61&gt;0),$P61,$O61))),"")</x:f>
      </x:c>
      <x:c r="V61" t="str">
        <x:f>IFERROR(IF($T61=0,"",MOD($N61,1)*86400),"")</x:f>
      </x:c>
      <x:c r="W61" t="str">
        <x:f>IFERROR(IF($T61=0,"",COUNTIFS($T$3:$T$202,1,$V$3:$V$202,"&lt;"&amp;$V61)+COUNTIFS($T$3:$T61,1,$V$3:$V61,$V61)),"")</x:f>
      </x:c>
      <x:c r="X61" t="str">
        <x:f>IFERROR(IF($T61=0,"",IF($M61="SO","SO: dùng CS hoàn thành",IF(AND($M61="MO",OR($R61=TRUE,$R61="TRUE"),ISNUMBER($P61),$P61&gt;0),"MO dừng sớm: dùng CS hoàn thành","MO: dùng CS ra lệnh"))),"")</x:f>
      </x:c>
    </x:row>
    <x:row r="62">
      <x:c r="A62" s="38" t="n">
        <x:f>ROW()-2</x:f>
        <x:v>60</x:v>
      </x:c>
      <x:c r="B62" s="142" t="str">
        <x:f>IFERROR(IF($H62="","",INDEX($L$3:$L$202,MATCH($H62,$W$3:$W$202,0))),"")</x:f>
      </x:c>
      <x:c r="C62" s="157" t="str">
        <x:f>IFERROR(IF($H62="","",INDEX($N$3:$N$202,MATCH($H62,$W$3:$W$202,0))),"")</x:f>
      </x:c>
      <x:c r="D62" s="167" t="str">
        <x:f>IFERROR(IF($H62="","",INDEX($U$3:$U$202,MATCH($H62,$W$3:$W$202,0))),"")</x:f>
      </x:c>
      <x:c r="E62" s="167" t="str">
        <x:f>IFERROR(IF($H62="","",INDEX(LENH_GOC!$H$4:$H$203,MATCH(INDEX($K$3:$K$202,MATCH($H62,$W$3:$W$202,0)),LENH_GOC!$A$4:$A$203,0))),"")</x:f>
      </x:c>
      <x:c r="F62" s="167" t="str">
        <x:f>IFERROR(IF($H62="","",INDEX($P$3:$P$202,MATCH($H62,$W$3:$W$202,0))),"")</x:f>
      </x:c>
      <x:c r="G62" s="39" t="str">
        <x:f>IFERROR(IF($H62="","",INDEX($X$3:$X$202,MATCH($H62,$W$3:$W$202,0))),"")</x:f>
      </x:c>
      <x:c r="H62" t="str">
        <x:f>IFERROR(IF(ROW()-2&lt;=CAI_DAT!$B$10,ROW()-2,""),"")</x:f>
      </x:c>
      <x:c r="J62" t="str">
        <x:f>IF(LENH_GOC!A63="","",63)</x:f>
      </x:c>
      <x:c r="K62" t="str">
        <x:f>IF(LENH_GOC!A63="","",LENH_GOC!A63)</x:f>
      </x:c>
      <x:c r="L62" t="str">
        <x:f>IF($K62="","",IFERROR(TRIM(LENH_GOC!C63),""))</x:f>
      </x:c>
      <x:c r="M62" t="str">
        <x:f>IF($K62="","",IFERROR(UPPER(TRIM(LENH_GOC!Y63)),""))</x:f>
      </x:c>
      <x:c r="N62" s="249" t="str">
        <x:f>IFERROR(IF($K62="","",IF(LENH_GOC!G63="","",IF(ISNUMBER(LENH_GOC!G63),LENH_GOC!G63,DATE(VALUE(MID(LENH_GOC!G63,7,4)),VALUE(MID(LENH_GOC!G63,4,2)),VALUE(LEFT(LENH_GOC!G63,2)))+TIME(VALUE(MID(LENH_GOC!G63,12,2)),VALUE(MID(LENH_GOC!G63,15,2)),VALUE(MID(LENH_GOC!G63,18,2)))))), "")</x:f>
      </x:c>
      <x:c r="O62" t="str">
        <x:f>IF($K62="","",IF(LENH_GOC!E63="","",LENH_GOC!E63))</x:f>
      </x:c>
      <x:c r="P62" t="str">
        <x:f>IF($K62="","",IF(LENH_GOC!F63="","",LENH_GOC!F63))</x:f>
      </x:c>
      <x:c r="Q62" t="str">
        <x:f>IFERROR(IF($K62="","",IF(LENH_GOC!P63="","",IFERROR(VALUE(LENH_GOC!P63),IF(OR(LENH_GOC!P63=TRUE,UPPER(TRIM(LENH_GOC!P63))="TRUE"),1,0)))),"")</x:f>
      </x:c>
      <x:c r="R62" t="str">
        <x:f>IF($K62="","",IF(LENH_GOC!Q63="","",LENH_GOC!Q63))</x:f>
      </x:c>
      <x:c r="S62" s="249" t="str">
        <x:f>IF($K62="","",IF(LENH_GOC!R63="","",LENH_GOC!R63))</x:f>
      </x:c>
      <x:c r="T62" t="n">
        <x:f>IFERROR(IF($K62="",0,IF(AND(ISNUMBER($N62),INT($N62)=CAI_DAT!$B$4,LEFT(UPPER(TRIM($L62)),2)=LEFT(UPPER(TRIM(CAI_DAT!$B$5)),2),$Q62=1,OR(AND($M62="SO",ISNUMBER($P62),$P62&gt;0),AND($M62="MO",ISNUMBER($O62),$O62&gt;0))),1,0)),0)</x:f>
        <x:v>0</x:v>
      </x:c>
      <x:c r="U62" t="str">
        <x:f>IFERROR(IF($T62=0,"",IF($M62="SO",$P62,IF(AND($M62="MO",OR($R62=TRUE,$R62="TRUE"),ISNUMBER($P62),$P62&gt;0),$P62,$O62))),"")</x:f>
      </x:c>
      <x:c r="V62" t="str">
        <x:f>IFERROR(IF($T62=0,"",MOD($N62,1)*86400),"")</x:f>
      </x:c>
      <x:c r="W62" t="str">
        <x:f>IFERROR(IF($T62=0,"",COUNTIFS($T$3:$T$202,1,$V$3:$V$202,"&lt;"&amp;$V62)+COUNTIFS($T$3:$T62,1,$V$3:$V62,$V62)),"")</x:f>
      </x:c>
      <x:c r="X62" t="str">
        <x:f>IFERROR(IF($T62=0,"",IF($M62="SO","SO: dùng CS hoàn thành",IF(AND($M62="MO",OR($R62=TRUE,$R62="TRUE"),ISNUMBER($P62),$P62&gt;0),"MO dừng sớm: dùng CS hoàn thành","MO: dùng CS ra lệnh"))),"")</x:f>
      </x:c>
    </x:row>
    <x:row r="63">
      <x:c r="A63" s="38"/>
      <x:c r="B63" s="142"/>
      <x:c r="C63" s="157"/>
      <x:c r="D63" s="167"/>
      <x:c r="E63" s="167"/>
      <x:c r="F63" s="167"/>
      <x:c r="G63" s="39"/>
      <x:c r="J63" t="str">
        <x:f>IF(LENH_GOC!A64="","",64)</x:f>
      </x:c>
      <x:c r="K63" t="str">
        <x:f>IF(LENH_GOC!A64="","",LENH_GOC!A64)</x:f>
      </x:c>
      <x:c r="L63" t="str">
        <x:f>IF($K63="","",IFERROR(TRIM(LENH_GOC!C64),""))</x:f>
      </x:c>
      <x:c r="M63" t="str">
        <x:f>IF($K63="","",IFERROR(UPPER(TRIM(LENH_GOC!Y64)),""))</x:f>
      </x:c>
      <x:c r="N63" s="249" t="str">
        <x:f>IFERROR(IF($K63="","",IF(LENH_GOC!G64="","",IF(ISNUMBER(LENH_GOC!G64),LENH_GOC!G64,DATE(VALUE(MID(LENH_GOC!G64,7,4)),VALUE(MID(LENH_GOC!G64,4,2)),VALUE(LEFT(LENH_GOC!G64,2)))+TIME(VALUE(MID(LENH_GOC!G64,12,2)),VALUE(MID(LENH_GOC!G64,15,2)),VALUE(MID(LENH_GOC!G64,18,2)))))), "")</x:f>
      </x:c>
      <x:c r="O63" t="str">
        <x:f>IF($K63="","",IF(LENH_GOC!E64="","",LENH_GOC!E64))</x:f>
      </x:c>
      <x:c r="P63" t="str">
        <x:f>IF($K63="","",IF(LENH_GOC!F64="","",LENH_GOC!F64))</x:f>
      </x:c>
      <x:c r="Q63" t="str">
        <x:f>IFERROR(IF($K63="","",IF(LENH_GOC!P64="","",IFERROR(VALUE(LENH_GOC!P64),IF(OR(LENH_GOC!P64=TRUE,UPPER(TRIM(LENH_GOC!P64))="TRUE"),1,0)))),"")</x:f>
      </x:c>
      <x:c r="R63" t="str">
        <x:f>IF($K63="","",IF(LENH_GOC!Q64="","",LENH_GOC!Q64))</x:f>
      </x:c>
      <x:c r="S63" s="249" t="str">
        <x:f>IF($K63="","",IF(LENH_GOC!R64="","",LENH_GOC!R64))</x:f>
      </x:c>
      <x:c r="T63" t="n">
        <x:f>IFERROR(IF($K63="",0,IF(AND(ISNUMBER($N63),INT($N63)=CAI_DAT!$B$4,LEFT(UPPER(TRIM($L63)),2)=LEFT(UPPER(TRIM(CAI_DAT!$B$5)),2),$Q63=1,OR(AND($M63="SO",ISNUMBER($P63),$P63&gt;0),AND($M63="MO",ISNUMBER($O63),$O63&gt;0))),1,0)),0)</x:f>
        <x:v>0</x:v>
      </x:c>
      <x:c r="U63" t="str">
        <x:f>IFERROR(IF($T63=0,"",IF($M63="SO",$P63,IF(AND($M63="MO",OR($R63=TRUE,$R63="TRUE"),ISNUMBER($P63),$P63&gt;0),$P63,$O63))),"")</x:f>
      </x:c>
      <x:c r="V63" t="str">
        <x:f>IFERROR(IF($T63=0,"",MOD($N63,1)*86400),"")</x:f>
      </x:c>
      <x:c r="W63" t="str">
        <x:f>IFERROR(IF($T63=0,"",COUNTIFS($T$3:$T$202,1,$V$3:$V$202,"&lt;"&amp;$V63)+COUNTIFS($T$3:$T63,1,$V$3:$V63,$V63)),"")</x:f>
      </x:c>
      <x:c r="X63" t="str">
        <x:f>IFERROR(IF($T63=0,"",IF($M63="SO","SO: dùng CS hoàn thành",IF(AND($M63="MO",OR($R63=TRUE,$R63="TRUE"),ISNUMBER($P63),$P63&gt;0),"MO dừng sớm: dùng CS hoàn thành","MO: dùng CS ra lệnh"))),"")</x:f>
      </x:c>
    </x:row>
    <x:row r="64">
      <x:c r="A64" s="38"/>
      <x:c r="B64" s="142"/>
      <x:c r="C64" s="157"/>
      <x:c r="D64" s="167"/>
      <x:c r="E64" s="167"/>
      <x:c r="F64" s="167"/>
      <x:c r="G64" s="39"/>
      <x:c r="J64" t="str">
        <x:f>IF(LENH_GOC!A65="","",65)</x:f>
      </x:c>
      <x:c r="K64" t="str">
        <x:f>IF(LENH_GOC!A65="","",LENH_GOC!A65)</x:f>
      </x:c>
      <x:c r="L64" t="str">
        <x:f>IF($K64="","",IFERROR(TRIM(LENH_GOC!C65),""))</x:f>
      </x:c>
      <x:c r="M64" t="str">
        <x:f>IF($K64="","",IFERROR(UPPER(TRIM(LENH_GOC!Y65)),""))</x:f>
      </x:c>
      <x:c r="N64" s="249" t="str">
        <x:f>IFERROR(IF($K64="","",IF(LENH_GOC!G65="","",IF(ISNUMBER(LENH_GOC!G65),LENH_GOC!G65,DATE(VALUE(MID(LENH_GOC!G65,7,4)),VALUE(MID(LENH_GOC!G65,4,2)),VALUE(LEFT(LENH_GOC!G65,2)))+TIME(VALUE(MID(LENH_GOC!G65,12,2)),VALUE(MID(LENH_GOC!G65,15,2)),VALUE(MID(LENH_GOC!G65,18,2)))))), "")</x:f>
      </x:c>
      <x:c r="O64" t="str">
        <x:f>IF($K64="","",IF(LENH_GOC!E65="","",LENH_GOC!E65))</x:f>
      </x:c>
      <x:c r="P64" t="str">
        <x:f>IF($K64="","",IF(LENH_GOC!F65="","",LENH_GOC!F65))</x:f>
      </x:c>
      <x:c r="Q64" t="str">
        <x:f>IFERROR(IF($K64="","",IF(LENH_GOC!P65="","",IFERROR(VALUE(LENH_GOC!P65),IF(OR(LENH_GOC!P65=TRUE,UPPER(TRIM(LENH_GOC!P65))="TRUE"),1,0)))),"")</x:f>
      </x:c>
      <x:c r="R64" t="str">
        <x:f>IF($K64="","",IF(LENH_GOC!Q65="","",LENH_GOC!Q65))</x:f>
      </x:c>
      <x:c r="S64" s="249" t="str">
        <x:f>IF($K64="","",IF(LENH_GOC!R65="","",LENH_GOC!R65))</x:f>
      </x:c>
      <x:c r="T64" t="n">
        <x:f>IFERROR(IF($K64="",0,IF(AND(ISNUMBER($N64),INT($N64)=CAI_DAT!$B$4,LEFT(UPPER(TRIM($L64)),2)=LEFT(UPPER(TRIM(CAI_DAT!$B$5)),2),$Q64=1,OR(AND($M64="SO",ISNUMBER($P64),$P64&gt;0),AND($M64="MO",ISNUMBER($O64),$O64&gt;0))),1,0)),0)</x:f>
        <x:v>0</x:v>
      </x:c>
      <x:c r="U64" t="str">
        <x:f>IFERROR(IF($T64=0,"",IF($M64="SO",$P64,IF(AND($M64="MO",OR($R64=TRUE,$R64="TRUE"),ISNUMBER($P64),$P64&gt;0),$P64,$O64))),"")</x:f>
      </x:c>
      <x:c r="V64" t="str">
        <x:f>IFERROR(IF($T64=0,"",MOD($N64,1)*86400),"")</x:f>
      </x:c>
      <x:c r="W64" t="str">
        <x:f>IFERROR(IF($T64=0,"",COUNTIFS($T$3:$T$202,1,$V$3:$V$202,"&lt;"&amp;$V64)+COUNTIFS($T$3:$T64,1,$V$3:$V64,$V64)),"")</x:f>
      </x:c>
      <x:c r="X64" t="str">
        <x:f>IFERROR(IF($T64=0,"",IF($M64="SO","SO: dùng CS hoàn thành",IF(AND($M64="MO",OR($R64=TRUE,$R64="TRUE"),ISNUMBER($P64),$P64&gt;0),"MO dừng sớm: dùng CS hoàn thành","MO: dùng CS ra lệnh"))),"")</x:f>
      </x:c>
    </x:row>
    <x:row r="65">
      <x:c r="A65" s="38"/>
      <x:c r="B65" s="142"/>
      <x:c r="C65" s="157"/>
      <x:c r="D65" s="167"/>
      <x:c r="E65" s="167"/>
      <x:c r="F65" s="167"/>
      <x:c r="G65" s="39"/>
      <x:c r="J65" t="str">
        <x:f>IF(LENH_GOC!A66="","",66)</x:f>
      </x:c>
      <x:c r="K65" t="str">
        <x:f>IF(LENH_GOC!A66="","",LENH_GOC!A66)</x:f>
      </x:c>
      <x:c r="L65" t="str">
        <x:f>IF($K65="","",IFERROR(TRIM(LENH_GOC!C66),""))</x:f>
      </x:c>
      <x:c r="M65" t="str">
        <x:f>IF($K65="","",IFERROR(UPPER(TRIM(LENH_GOC!Y66)),""))</x:f>
      </x:c>
      <x:c r="N65" s="249" t="str">
        <x:f>IFERROR(IF($K65="","",IF(LENH_GOC!G66="","",IF(ISNUMBER(LENH_GOC!G66),LENH_GOC!G66,DATE(VALUE(MID(LENH_GOC!G66,7,4)),VALUE(MID(LENH_GOC!G66,4,2)),VALUE(LEFT(LENH_GOC!G66,2)))+TIME(VALUE(MID(LENH_GOC!G66,12,2)),VALUE(MID(LENH_GOC!G66,15,2)),VALUE(MID(LENH_GOC!G66,18,2)))))), "")</x:f>
      </x:c>
      <x:c r="O65" t="str">
        <x:f>IF($K65="","",IF(LENH_GOC!E66="","",LENH_GOC!E66))</x:f>
      </x:c>
      <x:c r="P65" t="str">
        <x:f>IF($K65="","",IF(LENH_GOC!F66="","",LENH_GOC!F66))</x:f>
      </x:c>
      <x:c r="Q65" t="str">
        <x:f>IFERROR(IF($K65="","",IF(LENH_GOC!P66="","",IFERROR(VALUE(LENH_GOC!P66),IF(OR(LENH_GOC!P66=TRUE,UPPER(TRIM(LENH_GOC!P66))="TRUE"),1,0)))),"")</x:f>
      </x:c>
      <x:c r="R65" t="str">
        <x:f>IF($K65="","",IF(LENH_GOC!Q66="","",LENH_GOC!Q66))</x:f>
      </x:c>
      <x:c r="S65" s="249" t="str">
        <x:f>IF($K65="","",IF(LENH_GOC!R66="","",LENH_GOC!R66))</x:f>
      </x:c>
      <x:c r="T65" t="n">
        <x:f>IFERROR(IF($K65="",0,IF(AND(ISNUMBER($N65),INT($N65)=CAI_DAT!$B$4,LEFT(UPPER(TRIM($L65)),2)=LEFT(UPPER(TRIM(CAI_DAT!$B$5)),2),$Q65=1,OR(AND($M65="SO",ISNUMBER($P65),$P65&gt;0),AND($M65="MO",ISNUMBER($O65),$O65&gt;0))),1,0)),0)</x:f>
        <x:v>0</x:v>
      </x:c>
      <x:c r="U65" t="str">
        <x:f>IFERROR(IF($T65=0,"",IF($M65="SO",$P65,IF(AND($M65="MO",OR($R65=TRUE,$R65="TRUE"),ISNUMBER($P65),$P65&gt;0),$P65,$O65))),"")</x:f>
      </x:c>
      <x:c r="V65" t="str">
        <x:f>IFERROR(IF($T65=0,"",MOD($N65,1)*86400),"")</x:f>
      </x:c>
      <x:c r="W65" t="str">
        <x:f>IFERROR(IF($T65=0,"",COUNTIFS($T$3:$T$202,1,$V$3:$V$202,"&lt;"&amp;$V65)+COUNTIFS($T$3:$T65,1,$V$3:$V65,$V65)),"")</x:f>
      </x:c>
      <x:c r="X65" t="str">
        <x:f>IFERROR(IF($T65=0,"",IF($M65="SO","SO: dùng CS hoàn thành",IF(AND($M65="MO",OR($R65=TRUE,$R65="TRUE"),ISNUMBER($P65),$P65&gt;0),"MO dừng sớm: dùng CS hoàn thành","MO: dùng CS ra lệnh"))),"")</x:f>
      </x:c>
    </x:row>
    <x:row r="66">
      <x:c r="A66" s="38"/>
      <x:c r="B66" s="142"/>
      <x:c r="C66" s="157"/>
      <x:c r="D66" s="167"/>
      <x:c r="E66" s="167"/>
      <x:c r="F66" s="167"/>
      <x:c r="G66" s="39"/>
      <x:c r="J66" t="str">
        <x:f>IF(LENH_GOC!A67="","",67)</x:f>
      </x:c>
      <x:c r="K66" t="str">
        <x:f>IF(LENH_GOC!A67="","",LENH_GOC!A67)</x:f>
      </x:c>
      <x:c r="L66" t="str">
        <x:f>IF($K66="","",IFERROR(TRIM(LENH_GOC!C67),""))</x:f>
      </x:c>
      <x:c r="M66" t="str">
        <x:f>IF($K66="","",IFERROR(UPPER(TRIM(LENH_GOC!Y67)),""))</x:f>
      </x:c>
      <x:c r="N66" s="249" t="str">
        <x:f>IFERROR(IF($K66="","",IF(LENH_GOC!G67="","",IF(ISNUMBER(LENH_GOC!G67),LENH_GOC!G67,DATE(VALUE(MID(LENH_GOC!G67,7,4)),VALUE(MID(LENH_GOC!G67,4,2)),VALUE(LEFT(LENH_GOC!G67,2)))+TIME(VALUE(MID(LENH_GOC!G67,12,2)),VALUE(MID(LENH_GOC!G67,15,2)),VALUE(MID(LENH_GOC!G67,18,2)))))), "")</x:f>
      </x:c>
      <x:c r="O66" t="str">
        <x:f>IF($K66="","",IF(LENH_GOC!E67="","",LENH_GOC!E67))</x:f>
      </x:c>
      <x:c r="P66" t="str">
        <x:f>IF($K66="","",IF(LENH_GOC!F67="","",LENH_GOC!F67))</x:f>
      </x:c>
      <x:c r="Q66" t="str">
        <x:f>IFERROR(IF($K66="","",IF(LENH_GOC!P67="","",IFERROR(VALUE(LENH_GOC!P67),IF(OR(LENH_GOC!P67=TRUE,UPPER(TRIM(LENH_GOC!P67))="TRUE"),1,0)))),"")</x:f>
      </x:c>
      <x:c r="R66" t="str">
        <x:f>IF($K66="","",IF(LENH_GOC!Q67="","",LENH_GOC!Q67))</x:f>
      </x:c>
      <x:c r="S66" s="249" t="str">
        <x:f>IF($K66="","",IF(LENH_GOC!R67="","",LENH_GOC!R67))</x:f>
      </x:c>
      <x:c r="T66" t="n">
        <x:f>IFERROR(IF($K66="",0,IF(AND(ISNUMBER($N66),INT($N66)=CAI_DAT!$B$4,LEFT(UPPER(TRIM($L66)),2)=LEFT(UPPER(TRIM(CAI_DAT!$B$5)),2),$Q66=1,OR(AND($M66="SO",ISNUMBER($P66),$P66&gt;0),AND($M66="MO",ISNUMBER($O66),$O66&gt;0))),1,0)),0)</x:f>
        <x:v>0</x:v>
      </x:c>
      <x:c r="U66" t="str">
        <x:f>IFERROR(IF($T66=0,"",IF($M66="SO",$P66,IF(AND($M66="MO",OR($R66=TRUE,$R66="TRUE"),ISNUMBER($P66),$P66&gt;0),$P66,$O66))),"")</x:f>
      </x:c>
      <x:c r="V66" t="str">
        <x:f>IFERROR(IF($T66=0,"",MOD($N66,1)*86400),"")</x:f>
      </x:c>
      <x:c r="W66" t="str">
        <x:f>IFERROR(IF($T66=0,"",COUNTIFS($T$3:$T$202,1,$V$3:$V$202,"&lt;"&amp;$V66)+COUNTIFS($T$3:$T66,1,$V$3:$V66,$V66)),"")</x:f>
      </x:c>
      <x:c r="X66" t="str">
        <x:f>IFERROR(IF($T66=0,"",IF($M66="SO","SO: dùng CS hoàn thành",IF(AND($M66="MO",OR($R66=TRUE,$R66="TRUE"),ISNUMBER($P66),$P66&gt;0),"MO dừng sớm: dùng CS hoàn thành","MO: dùng CS ra lệnh"))),"")</x:f>
      </x:c>
    </x:row>
    <x:row r="67">
      <x:c r="A67" s="38"/>
      <x:c r="B67" s="142"/>
      <x:c r="C67" s="157"/>
      <x:c r="D67" s="167"/>
      <x:c r="E67" s="167"/>
      <x:c r="F67" s="167"/>
      <x:c r="G67" s="39"/>
      <x:c r="J67" t="str">
        <x:f>IF(LENH_GOC!A68="","",68)</x:f>
      </x:c>
      <x:c r="K67" t="str">
        <x:f>IF(LENH_GOC!A68="","",LENH_GOC!A68)</x:f>
      </x:c>
      <x:c r="L67" t="str">
        <x:f>IF($K67="","",IFERROR(TRIM(LENH_GOC!C68),""))</x:f>
      </x:c>
      <x:c r="M67" t="str">
        <x:f>IF($K67="","",IFERROR(UPPER(TRIM(LENH_GOC!Y68)),""))</x:f>
      </x:c>
      <x:c r="N67" s="249" t="str">
        <x:f>IFERROR(IF($K67="","",IF(LENH_GOC!G68="","",IF(ISNUMBER(LENH_GOC!G68),LENH_GOC!G68,DATE(VALUE(MID(LENH_GOC!G68,7,4)),VALUE(MID(LENH_GOC!G68,4,2)),VALUE(LEFT(LENH_GOC!G68,2)))+TIME(VALUE(MID(LENH_GOC!G68,12,2)),VALUE(MID(LENH_GOC!G68,15,2)),VALUE(MID(LENH_GOC!G68,18,2)))))), "")</x:f>
      </x:c>
      <x:c r="O67" t="str">
        <x:f>IF($K67="","",IF(LENH_GOC!E68="","",LENH_GOC!E68))</x:f>
      </x:c>
      <x:c r="P67" t="str">
        <x:f>IF($K67="","",IF(LENH_GOC!F68="","",LENH_GOC!F68))</x:f>
      </x:c>
      <x:c r="Q67" t="str">
        <x:f>IFERROR(IF($K67="","",IF(LENH_GOC!P68="","",IFERROR(VALUE(LENH_GOC!P68),IF(OR(LENH_GOC!P68=TRUE,UPPER(TRIM(LENH_GOC!P68))="TRUE"),1,0)))),"")</x:f>
      </x:c>
      <x:c r="R67" t="str">
        <x:f>IF($K67="","",IF(LENH_GOC!Q68="","",LENH_GOC!Q68))</x:f>
      </x:c>
      <x:c r="S67" s="249" t="str">
        <x:f>IF($K67="","",IF(LENH_GOC!R68="","",LENH_GOC!R68))</x:f>
      </x:c>
      <x:c r="T67" t="n">
        <x:f>IFERROR(IF($K67="",0,IF(AND(ISNUMBER($N67),INT($N67)=CAI_DAT!$B$4,LEFT(UPPER(TRIM($L67)),2)=LEFT(UPPER(TRIM(CAI_DAT!$B$5)),2),$Q67=1,OR(AND($M67="SO",ISNUMBER($P67),$P67&gt;0),AND($M67="MO",ISNUMBER($O67),$O67&gt;0))),1,0)),0)</x:f>
        <x:v>0</x:v>
      </x:c>
      <x:c r="U67" t="str">
        <x:f>IFERROR(IF($T67=0,"",IF($M67="SO",$P67,IF(AND($M67="MO",OR($R67=TRUE,$R67="TRUE"),ISNUMBER($P67),$P67&gt;0),$P67,$O67))),"")</x:f>
      </x:c>
      <x:c r="V67" t="str">
        <x:f>IFERROR(IF($T67=0,"",MOD($N67,1)*86400),"")</x:f>
      </x:c>
      <x:c r="W67" t="str">
        <x:f>IFERROR(IF($T67=0,"",COUNTIFS($T$3:$T$202,1,$V$3:$V$202,"&lt;"&amp;$V67)+COUNTIFS($T$3:$T67,1,$V$3:$V67,$V67)),"")</x:f>
      </x:c>
      <x:c r="X67" t="str">
        <x:f>IFERROR(IF($T67=0,"",IF($M67="SO","SO: dùng CS hoàn thành",IF(AND($M67="MO",OR($R67=TRUE,$R67="TRUE"),ISNUMBER($P67),$P67&gt;0),"MO dừng sớm: dùng CS hoàn thành","MO: dùng CS ra lệnh"))),"")</x:f>
      </x:c>
    </x:row>
    <x:row r="68">
      <x:c r="A68" s="38"/>
      <x:c r="B68" s="142"/>
      <x:c r="C68" s="157"/>
      <x:c r="D68" s="167"/>
      <x:c r="E68" s="167"/>
      <x:c r="F68" s="167"/>
      <x:c r="G68" s="39"/>
      <x:c r="J68" t="str">
        <x:f>IF(LENH_GOC!A69="","",69)</x:f>
      </x:c>
      <x:c r="K68" t="str">
        <x:f>IF(LENH_GOC!A69="","",LENH_GOC!A69)</x:f>
      </x:c>
      <x:c r="L68" t="str">
        <x:f>IF($K68="","",IFERROR(TRIM(LENH_GOC!C69),""))</x:f>
      </x:c>
      <x:c r="M68" t="str">
        <x:f>IF($K68="","",IFERROR(UPPER(TRIM(LENH_GOC!Y69)),""))</x:f>
      </x:c>
      <x:c r="N68" s="249" t="str">
        <x:f>IFERROR(IF($K68="","",IF(LENH_GOC!G69="","",IF(ISNUMBER(LENH_GOC!G69),LENH_GOC!G69,DATE(VALUE(MID(LENH_GOC!G69,7,4)),VALUE(MID(LENH_GOC!G69,4,2)),VALUE(LEFT(LENH_GOC!G69,2)))+TIME(VALUE(MID(LENH_GOC!G69,12,2)),VALUE(MID(LENH_GOC!G69,15,2)),VALUE(MID(LENH_GOC!G69,18,2)))))), "")</x:f>
      </x:c>
      <x:c r="O68" t="str">
        <x:f>IF($K68="","",IF(LENH_GOC!E69="","",LENH_GOC!E69))</x:f>
      </x:c>
      <x:c r="P68" t="str">
        <x:f>IF($K68="","",IF(LENH_GOC!F69="","",LENH_GOC!F69))</x:f>
      </x:c>
      <x:c r="Q68" t="str">
        <x:f>IFERROR(IF($K68="","",IF(LENH_GOC!P69="","",IFERROR(VALUE(LENH_GOC!P69),IF(OR(LENH_GOC!P69=TRUE,UPPER(TRIM(LENH_GOC!P69))="TRUE"),1,0)))),"")</x:f>
      </x:c>
      <x:c r="R68" t="str">
        <x:f>IF($K68="","",IF(LENH_GOC!Q69="","",LENH_GOC!Q69))</x:f>
      </x:c>
      <x:c r="S68" s="249" t="str">
        <x:f>IF($K68="","",IF(LENH_GOC!R69="","",LENH_GOC!R69))</x:f>
      </x:c>
      <x:c r="T68" t="n">
        <x:f>IFERROR(IF($K68="",0,IF(AND(ISNUMBER($N68),INT($N68)=CAI_DAT!$B$4,LEFT(UPPER(TRIM($L68)),2)=LEFT(UPPER(TRIM(CAI_DAT!$B$5)),2),$Q68=1,OR(AND($M68="SO",ISNUMBER($P68),$P68&gt;0),AND($M68="MO",ISNUMBER($O68),$O68&gt;0))),1,0)),0)</x:f>
        <x:v>0</x:v>
      </x:c>
      <x:c r="U68" t="str">
        <x:f>IFERROR(IF($T68=0,"",IF($M68="SO",$P68,IF(AND($M68="MO",OR($R68=TRUE,$R68="TRUE"),ISNUMBER($P68),$P68&gt;0),$P68,$O68))),"")</x:f>
      </x:c>
      <x:c r="V68" t="str">
        <x:f>IFERROR(IF($T68=0,"",MOD($N68,1)*86400),"")</x:f>
      </x:c>
      <x:c r="W68" t="str">
        <x:f>IFERROR(IF($T68=0,"",COUNTIFS($T$3:$T$202,1,$V$3:$V$202,"&lt;"&amp;$V68)+COUNTIFS($T$3:$T68,1,$V$3:$V68,$V68)),"")</x:f>
      </x:c>
      <x:c r="X68" t="str">
        <x:f>IFERROR(IF($T68=0,"",IF($M68="SO","SO: dùng CS hoàn thành",IF(AND($M68="MO",OR($R68=TRUE,$R68="TRUE"),ISNUMBER($P68),$P68&gt;0),"MO dừng sớm: dùng CS hoàn thành","MO: dùng CS ra lệnh"))),"")</x:f>
      </x:c>
    </x:row>
    <x:row r="69">
      <x:c r="A69" s="38"/>
      <x:c r="B69" s="142"/>
      <x:c r="C69" s="157"/>
      <x:c r="D69" s="167"/>
      <x:c r="E69" s="167"/>
      <x:c r="F69" s="167"/>
      <x:c r="G69" s="39"/>
      <x:c r="J69" t="str">
        <x:f>IF(LENH_GOC!A70="","",70)</x:f>
      </x:c>
      <x:c r="K69" t="str">
        <x:f>IF(LENH_GOC!A70="","",LENH_GOC!A70)</x:f>
      </x:c>
      <x:c r="L69" t="str">
        <x:f>IF($K69="","",IFERROR(TRIM(LENH_GOC!C70),""))</x:f>
      </x:c>
      <x:c r="M69" t="str">
        <x:f>IF($K69="","",IFERROR(UPPER(TRIM(LENH_GOC!Y70)),""))</x:f>
      </x:c>
      <x:c r="N69" s="249" t="str">
        <x:f>IFERROR(IF($K69="","",IF(LENH_GOC!G70="","",IF(ISNUMBER(LENH_GOC!G70),LENH_GOC!G70,DATE(VALUE(MID(LENH_GOC!G70,7,4)),VALUE(MID(LENH_GOC!G70,4,2)),VALUE(LEFT(LENH_GOC!G70,2)))+TIME(VALUE(MID(LENH_GOC!G70,12,2)),VALUE(MID(LENH_GOC!G70,15,2)),VALUE(MID(LENH_GOC!G70,18,2)))))), "")</x:f>
      </x:c>
      <x:c r="O69" t="str">
        <x:f>IF($K69="","",IF(LENH_GOC!E70="","",LENH_GOC!E70))</x:f>
      </x:c>
      <x:c r="P69" t="str">
        <x:f>IF($K69="","",IF(LENH_GOC!F70="","",LENH_GOC!F70))</x:f>
      </x:c>
      <x:c r="Q69" t="str">
        <x:f>IFERROR(IF($K69="","",IF(LENH_GOC!P70="","",IFERROR(VALUE(LENH_GOC!P70),IF(OR(LENH_GOC!P70=TRUE,UPPER(TRIM(LENH_GOC!P70))="TRUE"),1,0)))),"")</x:f>
      </x:c>
      <x:c r="R69" t="str">
        <x:f>IF($K69="","",IF(LENH_GOC!Q70="","",LENH_GOC!Q70))</x:f>
      </x:c>
      <x:c r="S69" s="249" t="str">
        <x:f>IF($K69="","",IF(LENH_GOC!R70="","",LENH_GOC!R70))</x:f>
      </x:c>
      <x:c r="T69" t="n">
        <x:f>IFERROR(IF($K69="",0,IF(AND(ISNUMBER($N69),INT($N69)=CAI_DAT!$B$4,LEFT(UPPER(TRIM($L69)),2)=LEFT(UPPER(TRIM(CAI_DAT!$B$5)),2),$Q69=1,OR(AND($M69="SO",ISNUMBER($P69),$P69&gt;0),AND($M69="MO",ISNUMBER($O69),$O69&gt;0))),1,0)),0)</x:f>
        <x:v>0</x:v>
      </x:c>
      <x:c r="U69" t="str">
        <x:f>IFERROR(IF($T69=0,"",IF($M69="SO",$P69,IF(AND($M69="MO",OR($R69=TRUE,$R69="TRUE"),ISNUMBER($P69),$P69&gt;0),$P69,$O69))),"")</x:f>
      </x:c>
      <x:c r="V69" t="str">
        <x:f>IFERROR(IF($T69=0,"",MOD($N69,1)*86400),"")</x:f>
      </x:c>
      <x:c r="W69" t="str">
        <x:f>IFERROR(IF($T69=0,"",COUNTIFS($T$3:$T$202,1,$V$3:$V$202,"&lt;"&amp;$V69)+COUNTIFS($T$3:$T69,1,$V$3:$V69,$V69)),"")</x:f>
      </x:c>
      <x:c r="X69" t="str">
        <x:f>IFERROR(IF($T69=0,"",IF($M69="SO","SO: dùng CS hoàn thành",IF(AND($M69="MO",OR($R69=TRUE,$R69="TRUE"),ISNUMBER($P69),$P69&gt;0),"MO dừng sớm: dùng CS hoàn thành","MO: dùng CS ra lệnh"))),"")</x:f>
      </x:c>
    </x:row>
    <x:row r="70">
      <x:c r="A70" s="38"/>
      <x:c r="B70" s="142"/>
      <x:c r="C70" s="157"/>
      <x:c r="D70" s="167"/>
      <x:c r="E70" s="167"/>
      <x:c r="F70" s="167"/>
      <x:c r="G70" s="39"/>
      <x:c r="J70" t="str">
        <x:f>IF(LENH_GOC!A71="","",71)</x:f>
      </x:c>
      <x:c r="K70" t="str">
        <x:f>IF(LENH_GOC!A71="","",LENH_GOC!A71)</x:f>
      </x:c>
      <x:c r="L70" t="str">
        <x:f>IF($K70="","",IFERROR(TRIM(LENH_GOC!C71),""))</x:f>
      </x:c>
      <x:c r="M70" t="str">
        <x:f>IF($K70="","",IFERROR(UPPER(TRIM(LENH_GOC!Y71)),""))</x:f>
      </x:c>
      <x:c r="N70" s="249" t="str">
        <x:f>IFERROR(IF($K70="","",IF(LENH_GOC!G71="","",IF(ISNUMBER(LENH_GOC!G71),LENH_GOC!G71,DATE(VALUE(MID(LENH_GOC!G71,7,4)),VALUE(MID(LENH_GOC!G71,4,2)),VALUE(LEFT(LENH_GOC!G71,2)))+TIME(VALUE(MID(LENH_GOC!G71,12,2)),VALUE(MID(LENH_GOC!G71,15,2)),VALUE(MID(LENH_GOC!G71,18,2)))))), "")</x:f>
      </x:c>
      <x:c r="O70" t="str">
        <x:f>IF($K70="","",IF(LENH_GOC!E71="","",LENH_GOC!E71))</x:f>
      </x:c>
      <x:c r="P70" t="str">
        <x:f>IF($K70="","",IF(LENH_GOC!F71="","",LENH_GOC!F71))</x:f>
      </x:c>
      <x:c r="Q70" t="str">
        <x:f>IFERROR(IF($K70="","",IF(LENH_GOC!P71="","",IFERROR(VALUE(LENH_GOC!P71),IF(OR(LENH_GOC!P71=TRUE,UPPER(TRIM(LENH_GOC!P71))="TRUE"),1,0)))),"")</x:f>
      </x:c>
      <x:c r="R70" t="str">
        <x:f>IF($K70="","",IF(LENH_GOC!Q71="","",LENH_GOC!Q71))</x:f>
      </x:c>
      <x:c r="S70" s="249" t="str">
        <x:f>IF($K70="","",IF(LENH_GOC!R71="","",LENH_GOC!R71))</x:f>
      </x:c>
      <x:c r="T70" t="n">
        <x:f>IFERROR(IF($K70="",0,IF(AND(ISNUMBER($N70),INT($N70)=CAI_DAT!$B$4,LEFT(UPPER(TRIM($L70)),2)=LEFT(UPPER(TRIM(CAI_DAT!$B$5)),2),$Q70=1,OR(AND($M70="SO",ISNUMBER($P70),$P70&gt;0),AND($M70="MO",ISNUMBER($O70),$O70&gt;0))),1,0)),0)</x:f>
        <x:v>0</x:v>
      </x:c>
      <x:c r="U70" t="str">
        <x:f>IFERROR(IF($T70=0,"",IF($M70="SO",$P70,IF(AND($M70="MO",OR($R70=TRUE,$R70="TRUE"),ISNUMBER($P70),$P70&gt;0),$P70,$O70))),"")</x:f>
      </x:c>
      <x:c r="V70" t="str">
        <x:f>IFERROR(IF($T70=0,"",MOD($N70,1)*86400),"")</x:f>
      </x:c>
      <x:c r="W70" t="str">
        <x:f>IFERROR(IF($T70=0,"",COUNTIFS($T$3:$T$202,1,$V$3:$V$202,"&lt;"&amp;$V70)+COUNTIFS($T$3:$T70,1,$V$3:$V70,$V70)),"")</x:f>
      </x:c>
      <x:c r="X70" t="str">
        <x:f>IFERROR(IF($T70=0,"",IF($M70="SO","SO: dùng CS hoàn thành",IF(AND($M70="MO",OR($R70=TRUE,$R70="TRUE"),ISNUMBER($P70),$P70&gt;0),"MO dừng sớm: dùng CS hoàn thành","MO: dùng CS ra lệnh"))),"")</x:f>
      </x:c>
    </x:row>
    <x:row r="71">
      <x:c r="A71" s="38"/>
      <x:c r="B71" s="142"/>
      <x:c r="C71" s="157"/>
      <x:c r="D71" s="167"/>
      <x:c r="E71" s="167"/>
      <x:c r="F71" s="167"/>
      <x:c r="G71" s="39"/>
      <x:c r="J71" t="str">
        <x:f>IF(LENH_GOC!A72="","",72)</x:f>
      </x:c>
      <x:c r="K71" t="str">
        <x:f>IF(LENH_GOC!A72="","",LENH_GOC!A72)</x:f>
      </x:c>
      <x:c r="L71" t="str">
        <x:f>IF($K71="","",IFERROR(TRIM(LENH_GOC!C72),""))</x:f>
      </x:c>
      <x:c r="M71" t="str">
        <x:f>IF($K71="","",IFERROR(UPPER(TRIM(LENH_GOC!Y72)),""))</x:f>
      </x:c>
      <x:c r="N71" s="249" t="str">
        <x:f>IFERROR(IF($K71="","",IF(LENH_GOC!G72="","",IF(ISNUMBER(LENH_GOC!G72),LENH_GOC!G72,DATE(VALUE(MID(LENH_GOC!G72,7,4)),VALUE(MID(LENH_GOC!G72,4,2)),VALUE(LEFT(LENH_GOC!G72,2)))+TIME(VALUE(MID(LENH_GOC!G72,12,2)),VALUE(MID(LENH_GOC!G72,15,2)),VALUE(MID(LENH_GOC!G72,18,2)))))), "")</x:f>
      </x:c>
      <x:c r="O71" t="str">
        <x:f>IF($K71="","",IF(LENH_GOC!E72="","",LENH_GOC!E72))</x:f>
      </x:c>
      <x:c r="P71" t="str">
        <x:f>IF($K71="","",IF(LENH_GOC!F72="","",LENH_GOC!F72))</x:f>
      </x:c>
      <x:c r="Q71" t="str">
        <x:f>IFERROR(IF($K71="","",IF(LENH_GOC!P72="","",IFERROR(VALUE(LENH_GOC!P72),IF(OR(LENH_GOC!P72=TRUE,UPPER(TRIM(LENH_GOC!P72))="TRUE"),1,0)))),"")</x:f>
      </x:c>
      <x:c r="R71" t="str">
        <x:f>IF($K71="","",IF(LENH_GOC!Q72="","",LENH_GOC!Q72))</x:f>
      </x:c>
      <x:c r="S71" s="249" t="str">
        <x:f>IF($K71="","",IF(LENH_GOC!R72="","",LENH_GOC!R72))</x:f>
      </x:c>
      <x:c r="T71" t="n">
        <x:f>IFERROR(IF($K71="",0,IF(AND(ISNUMBER($N71),INT($N71)=CAI_DAT!$B$4,LEFT(UPPER(TRIM($L71)),2)=LEFT(UPPER(TRIM(CAI_DAT!$B$5)),2),$Q71=1,OR(AND($M71="SO",ISNUMBER($P71),$P71&gt;0),AND($M71="MO",ISNUMBER($O71),$O71&gt;0))),1,0)),0)</x:f>
        <x:v>0</x:v>
      </x:c>
      <x:c r="U71" t="str">
        <x:f>IFERROR(IF($T71=0,"",IF($M71="SO",$P71,IF(AND($M71="MO",OR($R71=TRUE,$R71="TRUE"),ISNUMBER($P71),$P71&gt;0),$P71,$O71))),"")</x:f>
      </x:c>
      <x:c r="V71" t="str">
        <x:f>IFERROR(IF($T71=0,"",MOD($N71,1)*86400),"")</x:f>
      </x:c>
      <x:c r="W71" t="str">
        <x:f>IFERROR(IF($T71=0,"",COUNTIFS($T$3:$T$202,1,$V$3:$V$202,"&lt;"&amp;$V71)+COUNTIFS($T$3:$T71,1,$V$3:$V71,$V71)),"")</x:f>
      </x:c>
      <x:c r="X71" t="str">
        <x:f>IFERROR(IF($T71=0,"",IF($M71="SO","SO: dùng CS hoàn thành",IF(AND($M71="MO",OR($R71=TRUE,$R71="TRUE"),ISNUMBER($P71),$P71&gt;0),"MO dừng sớm: dùng CS hoàn thành","MO: dùng CS ra lệnh"))),"")</x:f>
      </x:c>
    </x:row>
    <x:row r="72">
      <x:c r="A72" s="38"/>
      <x:c r="B72" s="142"/>
      <x:c r="C72" s="157"/>
      <x:c r="D72" s="167"/>
      <x:c r="E72" s="167"/>
      <x:c r="F72" s="167"/>
      <x:c r="G72" s="39"/>
      <x:c r="J72" t="str">
        <x:f>IF(LENH_GOC!A73="","",73)</x:f>
      </x:c>
      <x:c r="K72" t="str">
        <x:f>IF(LENH_GOC!A73="","",LENH_GOC!A73)</x:f>
      </x:c>
      <x:c r="L72" t="str">
        <x:f>IF($K72="","",IFERROR(TRIM(LENH_GOC!C73),""))</x:f>
      </x:c>
      <x:c r="M72" t="str">
        <x:f>IF($K72="","",IFERROR(UPPER(TRIM(LENH_GOC!Y73)),""))</x:f>
      </x:c>
      <x:c r="N72" s="249" t="str">
        <x:f>IFERROR(IF($K72="","",IF(LENH_GOC!G73="","",IF(ISNUMBER(LENH_GOC!G73),LENH_GOC!G73,DATE(VALUE(MID(LENH_GOC!G73,7,4)),VALUE(MID(LENH_GOC!G73,4,2)),VALUE(LEFT(LENH_GOC!G73,2)))+TIME(VALUE(MID(LENH_GOC!G73,12,2)),VALUE(MID(LENH_GOC!G73,15,2)),VALUE(MID(LENH_GOC!G73,18,2)))))), "")</x:f>
      </x:c>
      <x:c r="O72" t="str">
        <x:f>IF($K72="","",IF(LENH_GOC!E73="","",LENH_GOC!E73))</x:f>
      </x:c>
      <x:c r="P72" t="str">
        <x:f>IF($K72="","",IF(LENH_GOC!F73="","",LENH_GOC!F73))</x:f>
      </x:c>
      <x:c r="Q72" t="str">
        <x:f>IFERROR(IF($K72="","",IF(LENH_GOC!P73="","",IFERROR(VALUE(LENH_GOC!P73),IF(OR(LENH_GOC!P73=TRUE,UPPER(TRIM(LENH_GOC!P73))="TRUE"),1,0)))),"")</x:f>
      </x:c>
      <x:c r="R72" t="str">
        <x:f>IF($K72="","",IF(LENH_GOC!Q73="","",LENH_GOC!Q73))</x:f>
      </x:c>
      <x:c r="S72" s="249" t="str">
        <x:f>IF($K72="","",IF(LENH_GOC!R73="","",LENH_GOC!R73))</x:f>
      </x:c>
      <x:c r="T72" t="n">
        <x:f>IFERROR(IF($K72="",0,IF(AND(ISNUMBER($N72),INT($N72)=CAI_DAT!$B$4,LEFT(UPPER(TRIM($L72)),2)=LEFT(UPPER(TRIM(CAI_DAT!$B$5)),2),$Q72=1,OR(AND($M72="SO",ISNUMBER($P72),$P72&gt;0),AND($M72="MO",ISNUMBER($O72),$O72&gt;0))),1,0)),0)</x:f>
        <x:v>0</x:v>
      </x:c>
      <x:c r="U72" t="str">
        <x:f>IFERROR(IF($T72=0,"",IF($M72="SO",$P72,IF(AND($M72="MO",OR($R72=TRUE,$R72="TRUE"),ISNUMBER($P72),$P72&gt;0),$P72,$O72))),"")</x:f>
      </x:c>
      <x:c r="V72" t="str">
        <x:f>IFERROR(IF($T72=0,"",MOD($N72,1)*86400),"")</x:f>
      </x:c>
      <x:c r="W72" t="str">
        <x:f>IFERROR(IF($T72=0,"",COUNTIFS($T$3:$T$202,1,$V$3:$V$202,"&lt;"&amp;$V72)+COUNTIFS($T$3:$T72,1,$V$3:$V72,$V72)),"")</x:f>
      </x:c>
      <x:c r="X72" t="str">
        <x:f>IFERROR(IF($T72=0,"",IF($M72="SO","SO: dùng CS hoàn thành",IF(AND($M72="MO",OR($R72=TRUE,$R72="TRUE"),ISNUMBER($P72),$P72&gt;0),"MO dừng sớm: dùng CS hoàn thành","MO: dùng CS ra lệnh"))),"")</x:f>
      </x:c>
    </x:row>
    <x:row r="73">
      <x:c r="A73" s="38"/>
      <x:c r="B73" s="142"/>
      <x:c r="C73" s="157"/>
      <x:c r="D73" s="167"/>
      <x:c r="E73" s="167"/>
      <x:c r="F73" s="167"/>
      <x:c r="G73" s="39"/>
      <x:c r="J73" t="str">
        <x:f>IF(LENH_GOC!A74="","",74)</x:f>
      </x:c>
      <x:c r="K73" t="str">
        <x:f>IF(LENH_GOC!A74="","",LENH_GOC!A74)</x:f>
      </x:c>
      <x:c r="L73" t="str">
        <x:f>IF($K73="","",IFERROR(TRIM(LENH_GOC!C74),""))</x:f>
      </x:c>
      <x:c r="M73" t="str">
        <x:f>IF($K73="","",IFERROR(UPPER(TRIM(LENH_GOC!Y74)),""))</x:f>
      </x:c>
      <x:c r="N73" s="249" t="str">
        <x:f>IFERROR(IF($K73="","",IF(LENH_GOC!G74="","",IF(ISNUMBER(LENH_GOC!G74),LENH_GOC!G74,DATE(VALUE(MID(LENH_GOC!G74,7,4)),VALUE(MID(LENH_GOC!G74,4,2)),VALUE(LEFT(LENH_GOC!G74,2)))+TIME(VALUE(MID(LENH_GOC!G74,12,2)),VALUE(MID(LENH_GOC!G74,15,2)),VALUE(MID(LENH_GOC!G74,18,2)))))), "")</x:f>
      </x:c>
      <x:c r="O73" t="str">
        <x:f>IF($K73="","",IF(LENH_GOC!E74="","",LENH_GOC!E74))</x:f>
      </x:c>
      <x:c r="P73" t="str">
        <x:f>IF($K73="","",IF(LENH_GOC!F74="","",LENH_GOC!F74))</x:f>
      </x:c>
      <x:c r="Q73" t="str">
        <x:f>IFERROR(IF($K73="","",IF(LENH_GOC!P74="","",IFERROR(VALUE(LENH_GOC!P74),IF(OR(LENH_GOC!P74=TRUE,UPPER(TRIM(LENH_GOC!P74))="TRUE"),1,0)))),"")</x:f>
      </x:c>
      <x:c r="R73" t="str">
        <x:f>IF($K73="","",IF(LENH_GOC!Q74="","",LENH_GOC!Q74))</x:f>
      </x:c>
      <x:c r="S73" s="249" t="str">
        <x:f>IF($K73="","",IF(LENH_GOC!R74="","",LENH_GOC!R74))</x:f>
      </x:c>
      <x:c r="T73" t="n">
        <x:f>IFERROR(IF($K73="",0,IF(AND(ISNUMBER($N73),INT($N73)=CAI_DAT!$B$4,LEFT(UPPER(TRIM($L73)),2)=LEFT(UPPER(TRIM(CAI_DAT!$B$5)),2),$Q73=1,OR(AND($M73="SO",ISNUMBER($P73),$P73&gt;0),AND($M73="MO",ISNUMBER($O73),$O73&gt;0))),1,0)),0)</x:f>
        <x:v>0</x:v>
      </x:c>
      <x:c r="U73" t="str">
        <x:f>IFERROR(IF($T73=0,"",IF($M73="SO",$P73,IF(AND($M73="MO",OR($R73=TRUE,$R73="TRUE"),ISNUMBER($P73),$P73&gt;0),$P73,$O73))),"")</x:f>
      </x:c>
      <x:c r="V73" t="str">
        <x:f>IFERROR(IF($T73=0,"",MOD($N73,1)*86400),"")</x:f>
      </x:c>
      <x:c r="W73" t="str">
        <x:f>IFERROR(IF($T73=0,"",COUNTIFS($T$3:$T$202,1,$V$3:$V$202,"&lt;"&amp;$V73)+COUNTIFS($T$3:$T73,1,$V$3:$V73,$V73)),"")</x:f>
      </x:c>
      <x:c r="X73" t="str">
        <x:f>IFERROR(IF($T73=0,"",IF($M73="SO","SO: dùng CS hoàn thành",IF(AND($M73="MO",OR($R73=TRUE,$R73="TRUE"),ISNUMBER($P73),$P73&gt;0),"MO dừng sớm: dùng CS hoàn thành","MO: dùng CS ra lệnh"))),"")</x:f>
      </x:c>
    </x:row>
    <x:row r="74">
      <x:c r="A74" s="38"/>
      <x:c r="B74" s="142"/>
      <x:c r="C74" s="157"/>
      <x:c r="D74" s="167"/>
      <x:c r="E74" s="167"/>
      <x:c r="F74" s="167"/>
      <x:c r="G74" s="39"/>
      <x:c r="J74" t="str">
        <x:f>IF(LENH_GOC!A75="","",75)</x:f>
      </x:c>
      <x:c r="K74" t="str">
        <x:f>IF(LENH_GOC!A75="","",LENH_GOC!A75)</x:f>
      </x:c>
      <x:c r="L74" t="str">
        <x:f>IF($K74="","",IFERROR(TRIM(LENH_GOC!C75),""))</x:f>
      </x:c>
      <x:c r="M74" t="str">
        <x:f>IF($K74="","",IFERROR(UPPER(TRIM(LENH_GOC!Y75)),""))</x:f>
      </x:c>
      <x:c r="N74" s="249" t="str">
        <x:f>IFERROR(IF($K74="","",IF(LENH_GOC!G75="","",IF(ISNUMBER(LENH_GOC!G75),LENH_GOC!G75,DATE(VALUE(MID(LENH_GOC!G75,7,4)),VALUE(MID(LENH_GOC!G75,4,2)),VALUE(LEFT(LENH_GOC!G75,2)))+TIME(VALUE(MID(LENH_GOC!G75,12,2)),VALUE(MID(LENH_GOC!G75,15,2)),VALUE(MID(LENH_GOC!G75,18,2)))))), "")</x:f>
      </x:c>
      <x:c r="O74" t="str">
        <x:f>IF($K74="","",IF(LENH_GOC!E75="","",LENH_GOC!E75))</x:f>
      </x:c>
      <x:c r="P74" t="str">
        <x:f>IF($K74="","",IF(LENH_GOC!F75="","",LENH_GOC!F75))</x:f>
      </x:c>
      <x:c r="Q74" t="str">
        <x:f>IFERROR(IF($K74="","",IF(LENH_GOC!P75="","",IFERROR(VALUE(LENH_GOC!P75),IF(OR(LENH_GOC!P75=TRUE,UPPER(TRIM(LENH_GOC!P75))="TRUE"),1,0)))),"")</x:f>
      </x:c>
      <x:c r="R74" t="str">
        <x:f>IF($K74="","",IF(LENH_GOC!Q75="","",LENH_GOC!Q75))</x:f>
      </x:c>
      <x:c r="S74" s="249" t="str">
        <x:f>IF($K74="","",IF(LENH_GOC!R75="","",LENH_GOC!R75))</x:f>
      </x:c>
      <x:c r="T74" t="n">
        <x:f>IFERROR(IF($K74="",0,IF(AND(ISNUMBER($N74),INT($N74)=CAI_DAT!$B$4,LEFT(UPPER(TRIM($L74)),2)=LEFT(UPPER(TRIM(CAI_DAT!$B$5)),2),$Q74=1,OR(AND($M74="SO",ISNUMBER($P74),$P74&gt;0),AND($M74="MO",ISNUMBER($O74),$O74&gt;0))),1,0)),0)</x:f>
        <x:v>0</x:v>
      </x:c>
      <x:c r="U74" t="str">
        <x:f>IFERROR(IF($T74=0,"",IF($M74="SO",$P74,IF(AND($M74="MO",OR($R74=TRUE,$R74="TRUE"),ISNUMBER($P74),$P74&gt;0),$P74,$O74))),"")</x:f>
      </x:c>
      <x:c r="V74" t="str">
        <x:f>IFERROR(IF($T74=0,"",MOD($N74,1)*86400),"")</x:f>
      </x:c>
      <x:c r="W74" t="str">
        <x:f>IFERROR(IF($T74=0,"",COUNTIFS($T$3:$T$202,1,$V$3:$V$202,"&lt;"&amp;$V74)+COUNTIFS($T$3:$T74,1,$V$3:$V74,$V74)),"")</x:f>
      </x:c>
      <x:c r="X74" t="str">
        <x:f>IFERROR(IF($T74=0,"",IF($M74="SO","SO: dùng CS hoàn thành",IF(AND($M74="MO",OR($R74=TRUE,$R74="TRUE"),ISNUMBER($P74),$P74&gt;0),"MO dừng sớm: dùng CS hoàn thành","MO: dùng CS ra lệnh"))),"")</x:f>
      </x:c>
    </x:row>
    <x:row r="75">
      <x:c r="A75" s="38"/>
      <x:c r="B75" s="142"/>
      <x:c r="C75" s="157"/>
      <x:c r="D75" s="167"/>
      <x:c r="E75" s="167"/>
      <x:c r="F75" s="167"/>
      <x:c r="G75" s="39"/>
      <x:c r="J75" t="str">
        <x:f>IF(LENH_GOC!A76="","",76)</x:f>
      </x:c>
      <x:c r="K75" t="str">
        <x:f>IF(LENH_GOC!A76="","",LENH_GOC!A76)</x:f>
      </x:c>
      <x:c r="L75" t="str">
        <x:f>IF($K75="","",IFERROR(TRIM(LENH_GOC!C76),""))</x:f>
      </x:c>
      <x:c r="M75" t="str">
        <x:f>IF($K75="","",IFERROR(UPPER(TRIM(LENH_GOC!Y76)),""))</x:f>
      </x:c>
      <x:c r="N75" s="249" t="str">
        <x:f>IFERROR(IF($K75="","",IF(LENH_GOC!G76="","",IF(ISNUMBER(LENH_GOC!G76),LENH_GOC!G76,DATE(VALUE(MID(LENH_GOC!G76,7,4)),VALUE(MID(LENH_GOC!G76,4,2)),VALUE(LEFT(LENH_GOC!G76,2)))+TIME(VALUE(MID(LENH_GOC!G76,12,2)),VALUE(MID(LENH_GOC!G76,15,2)),VALUE(MID(LENH_GOC!G76,18,2)))))), "")</x:f>
      </x:c>
      <x:c r="O75" t="str">
        <x:f>IF($K75="","",IF(LENH_GOC!E76="","",LENH_GOC!E76))</x:f>
      </x:c>
      <x:c r="P75" t="str">
        <x:f>IF($K75="","",IF(LENH_GOC!F76="","",LENH_GOC!F76))</x:f>
      </x:c>
      <x:c r="Q75" t="str">
        <x:f>IFERROR(IF($K75="","",IF(LENH_GOC!P76="","",IFERROR(VALUE(LENH_GOC!P76),IF(OR(LENH_GOC!P76=TRUE,UPPER(TRIM(LENH_GOC!P76))="TRUE"),1,0)))),"")</x:f>
      </x:c>
      <x:c r="R75" t="str">
        <x:f>IF($K75="","",IF(LENH_GOC!Q76="","",LENH_GOC!Q76))</x:f>
      </x:c>
      <x:c r="S75" s="249" t="str">
        <x:f>IF($K75="","",IF(LENH_GOC!R76="","",LENH_GOC!R76))</x:f>
      </x:c>
      <x:c r="T75" t="n">
        <x:f>IFERROR(IF($K75="",0,IF(AND(ISNUMBER($N75),INT($N75)=CAI_DAT!$B$4,LEFT(UPPER(TRIM($L75)),2)=LEFT(UPPER(TRIM(CAI_DAT!$B$5)),2),$Q75=1,OR(AND($M75="SO",ISNUMBER($P75),$P75&gt;0),AND($M75="MO",ISNUMBER($O75),$O75&gt;0))),1,0)),0)</x:f>
        <x:v>0</x:v>
      </x:c>
      <x:c r="U75" t="str">
        <x:f>IFERROR(IF($T75=0,"",IF($M75="SO",$P75,IF(AND($M75="MO",OR($R75=TRUE,$R75="TRUE"),ISNUMBER($P75),$P75&gt;0),$P75,$O75))),"")</x:f>
      </x:c>
      <x:c r="V75" t="str">
        <x:f>IFERROR(IF($T75=0,"",MOD($N75,1)*86400),"")</x:f>
      </x:c>
      <x:c r="W75" t="str">
        <x:f>IFERROR(IF($T75=0,"",COUNTIFS($T$3:$T$202,1,$V$3:$V$202,"&lt;"&amp;$V75)+COUNTIFS($T$3:$T75,1,$V$3:$V75,$V75)),"")</x:f>
      </x:c>
      <x:c r="X75" t="str">
        <x:f>IFERROR(IF($T75=0,"",IF($M75="SO","SO: dùng CS hoàn thành",IF(AND($M75="MO",OR($R75=TRUE,$R75="TRUE"),ISNUMBER($P75),$P75&gt;0),"MO dừng sớm: dùng CS hoàn thành","MO: dùng CS ra lệnh"))),"")</x:f>
      </x:c>
    </x:row>
    <x:row r="76">
      <x:c r="A76" s="38"/>
      <x:c r="B76" s="142"/>
      <x:c r="C76" s="157"/>
      <x:c r="D76" s="167"/>
      <x:c r="E76" s="167"/>
      <x:c r="F76" s="167"/>
      <x:c r="G76" s="39"/>
      <x:c r="J76" t="str">
        <x:f>IF(LENH_GOC!A77="","",77)</x:f>
      </x:c>
      <x:c r="K76" t="str">
        <x:f>IF(LENH_GOC!A77="","",LENH_GOC!A77)</x:f>
      </x:c>
      <x:c r="L76" t="str">
        <x:f>IF($K76="","",IFERROR(TRIM(LENH_GOC!C77),""))</x:f>
      </x:c>
      <x:c r="M76" t="str">
        <x:f>IF($K76="","",IFERROR(UPPER(TRIM(LENH_GOC!Y77)),""))</x:f>
      </x:c>
      <x:c r="N76" s="249" t="str">
        <x:f>IFERROR(IF($K76="","",IF(LENH_GOC!G77="","",IF(ISNUMBER(LENH_GOC!G77),LENH_GOC!G77,DATE(VALUE(MID(LENH_GOC!G77,7,4)),VALUE(MID(LENH_GOC!G77,4,2)),VALUE(LEFT(LENH_GOC!G77,2)))+TIME(VALUE(MID(LENH_GOC!G77,12,2)),VALUE(MID(LENH_GOC!G77,15,2)),VALUE(MID(LENH_GOC!G77,18,2)))))), "")</x:f>
      </x:c>
      <x:c r="O76" t="str">
        <x:f>IF($K76="","",IF(LENH_GOC!E77="","",LENH_GOC!E77))</x:f>
      </x:c>
      <x:c r="P76" t="str">
        <x:f>IF($K76="","",IF(LENH_GOC!F77="","",LENH_GOC!F77))</x:f>
      </x:c>
      <x:c r="Q76" t="str">
        <x:f>IFERROR(IF($K76="","",IF(LENH_GOC!P77="","",IFERROR(VALUE(LENH_GOC!P77),IF(OR(LENH_GOC!P77=TRUE,UPPER(TRIM(LENH_GOC!P77))="TRUE"),1,0)))),"")</x:f>
      </x:c>
      <x:c r="R76" t="str">
        <x:f>IF($K76="","",IF(LENH_GOC!Q77="","",LENH_GOC!Q77))</x:f>
      </x:c>
      <x:c r="S76" s="249" t="str">
        <x:f>IF($K76="","",IF(LENH_GOC!R77="","",LENH_GOC!R77))</x:f>
      </x:c>
      <x:c r="T76" t="n">
        <x:f>IFERROR(IF($K76="",0,IF(AND(ISNUMBER($N76),INT($N76)=CAI_DAT!$B$4,LEFT(UPPER(TRIM($L76)),2)=LEFT(UPPER(TRIM(CAI_DAT!$B$5)),2),$Q76=1,OR(AND($M76="SO",ISNUMBER($P76),$P76&gt;0),AND($M76="MO",ISNUMBER($O76),$O76&gt;0))),1,0)),0)</x:f>
        <x:v>0</x:v>
      </x:c>
      <x:c r="U76" t="str">
        <x:f>IFERROR(IF($T76=0,"",IF($M76="SO",$P76,IF(AND($M76="MO",OR($R76=TRUE,$R76="TRUE"),ISNUMBER($P76),$P76&gt;0),$P76,$O76))),"")</x:f>
      </x:c>
      <x:c r="V76" t="str">
        <x:f>IFERROR(IF($T76=0,"",MOD($N76,1)*86400),"")</x:f>
      </x:c>
      <x:c r="W76" t="str">
        <x:f>IFERROR(IF($T76=0,"",COUNTIFS($T$3:$T$202,1,$V$3:$V$202,"&lt;"&amp;$V76)+COUNTIFS($T$3:$T76,1,$V$3:$V76,$V76)),"")</x:f>
      </x:c>
      <x:c r="X76" t="str">
        <x:f>IFERROR(IF($T76=0,"",IF($M76="SO","SO: dùng CS hoàn thành",IF(AND($M76="MO",OR($R76=TRUE,$R76="TRUE"),ISNUMBER($P76),$P76&gt;0),"MO dừng sớm: dùng CS hoàn thành","MO: dùng CS ra lệnh"))),"")</x:f>
      </x:c>
    </x:row>
    <x:row r="77">
      <x:c r="A77" s="38"/>
      <x:c r="B77" s="142"/>
      <x:c r="C77" s="157"/>
      <x:c r="D77" s="167"/>
      <x:c r="E77" s="167"/>
      <x:c r="F77" s="167"/>
      <x:c r="G77" s="39"/>
      <x:c r="J77" t="str">
        <x:f>IF(LENH_GOC!A78="","",78)</x:f>
      </x:c>
      <x:c r="K77" t="str">
        <x:f>IF(LENH_GOC!A78="","",LENH_GOC!A78)</x:f>
      </x:c>
      <x:c r="L77" t="str">
        <x:f>IF($K77="","",IFERROR(TRIM(LENH_GOC!C78),""))</x:f>
      </x:c>
      <x:c r="M77" t="str">
        <x:f>IF($K77="","",IFERROR(UPPER(TRIM(LENH_GOC!Y78)),""))</x:f>
      </x:c>
      <x:c r="N77" s="249" t="str">
        <x:f>IFERROR(IF($K77="","",IF(LENH_GOC!G78="","",IF(ISNUMBER(LENH_GOC!G78),LENH_GOC!G78,DATE(VALUE(MID(LENH_GOC!G78,7,4)),VALUE(MID(LENH_GOC!G78,4,2)),VALUE(LEFT(LENH_GOC!G78,2)))+TIME(VALUE(MID(LENH_GOC!G78,12,2)),VALUE(MID(LENH_GOC!G78,15,2)),VALUE(MID(LENH_GOC!G78,18,2)))))), "")</x:f>
      </x:c>
      <x:c r="O77" t="str">
        <x:f>IF($K77="","",IF(LENH_GOC!E78="","",LENH_GOC!E78))</x:f>
      </x:c>
      <x:c r="P77" t="str">
        <x:f>IF($K77="","",IF(LENH_GOC!F78="","",LENH_GOC!F78))</x:f>
      </x:c>
      <x:c r="Q77" t="str">
        <x:f>IFERROR(IF($K77="","",IF(LENH_GOC!P78="","",IFERROR(VALUE(LENH_GOC!P78),IF(OR(LENH_GOC!P78=TRUE,UPPER(TRIM(LENH_GOC!P78))="TRUE"),1,0)))),"")</x:f>
      </x:c>
      <x:c r="R77" t="str">
        <x:f>IF($K77="","",IF(LENH_GOC!Q78="","",LENH_GOC!Q78))</x:f>
      </x:c>
      <x:c r="S77" s="249" t="str">
        <x:f>IF($K77="","",IF(LENH_GOC!R78="","",LENH_GOC!R78))</x:f>
      </x:c>
      <x:c r="T77" t="n">
        <x:f>IFERROR(IF($K77="",0,IF(AND(ISNUMBER($N77),INT($N77)=CAI_DAT!$B$4,LEFT(UPPER(TRIM($L77)),2)=LEFT(UPPER(TRIM(CAI_DAT!$B$5)),2),$Q77=1,OR(AND($M77="SO",ISNUMBER($P77),$P77&gt;0),AND($M77="MO",ISNUMBER($O77),$O77&gt;0))),1,0)),0)</x:f>
        <x:v>0</x:v>
      </x:c>
      <x:c r="U77" t="str">
        <x:f>IFERROR(IF($T77=0,"",IF($M77="SO",$P77,IF(AND($M77="MO",OR($R77=TRUE,$R77="TRUE"),ISNUMBER($P77),$P77&gt;0),$P77,$O77))),"")</x:f>
      </x:c>
      <x:c r="V77" t="str">
        <x:f>IFERROR(IF($T77=0,"",MOD($N77,1)*86400),"")</x:f>
      </x:c>
      <x:c r="W77" t="str">
        <x:f>IFERROR(IF($T77=0,"",COUNTIFS($T$3:$T$202,1,$V$3:$V$202,"&lt;"&amp;$V77)+COUNTIFS($T$3:$T77,1,$V$3:$V77,$V77)),"")</x:f>
      </x:c>
      <x:c r="X77" t="str">
        <x:f>IFERROR(IF($T77=0,"",IF($M77="SO","SO: dùng CS hoàn thành",IF(AND($M77="MO",OR($R77=TRUE,$R77="TRUE"),ISNUMBER($P77),$P77&gt;0),"MO dừng sớm: dùng CS hoàn thành","MO: dùng CS ra lệnh"))),"")</x:f>
      </x:c>
    </x:row>
    <x:row r="78">
      <x:c r="A78" s="38"/>
      <x:c r="B78" s="142"/>
      <x:c r="C78" s="157"/>
      <x:c r="D78" s="167"/>
      <x:c r="E78" s="167"/>
      <x:c r="F78" s="167"/>
      <x:c r="G78" s="39"/>
      <x:c r="J78" t="str">
        <x:f>IF(LENH_GOC!A79="","",79)</x:f>
      </x:c>
      <x:c r="K78" t="str">
        <x:f>IF(LENH_GOC!A79="","",LENH_GOC!A79)</x:f>
      </x:c>
      <x:c r="L78" t="str">
        <x:f>IF($K78="","",IFERROR(TRIM(LENH_GOC!C79),""))</x:f>
      </x:c>
      <x:c r="M78" t="str">
        <x:f>IF($K78="","",IFERROR(UPPER(TRIM(LENH_GOC!Y79)),""))</x:f>
      </x:c>
      <x:c r="N78" s="249" t="str">
        <x:f>IFERROR(IF($K78="","",IF(LENH_GOC!G79="","",IF(ISNUMBER(LENH_GOC!G79),LENH_GOC!G79,DATE(VALUE(MID(LENH_GOC!G79,7,4)),VALUE(MID(LENH_GOC!G79,4,2)),VALUE(LEFT(LENH_GOC!G79,2)))+TIME(VALUE(MID(LENH_GOC!G79,12,2)),VALUE(MID(LENH_GOC!G79,15,2)),VALUE(MID(LENH_GOC!G79,18,2)))))), "")</x:f>
      </x:c>
      <x:c r="O78" t="str">
        <x:f>IF($K78="","",IF(LENH_GOC!E79="","",LENH_GOC!E79))</x:f>
      </x:c>
      <x:c r="P78" t="str">
        <x:f>IF($K78="","",IF(LENH_GOC!F79="","",LENH_GOC!F79))</x:f>
      </x:c>
      <x:c r="Q78" t="str">
        <x:f>IFERROR(IF($K78="","",IF(LENH_GOC!P79="","",IFERROR(VALUE(LENH_GOC!P79),IF(OR(LENH_GOC!P79=TRUE,UPPER(TRIM(LENH_GOC!P79))="TRUE"),1,0)))),"")</x:f>
      </x:c>
      <x:c r="R78" t="str">
        <x:f>IF($K78="","",IF(LENH_GOC!Q79="","",LENH_GOC!Q79))</x:f>
      </x:c>
      <x:c r="S78" s="249" t="str">
        <x:f>IF($K78="","",IF(LENH_GOC!R79="","",LENH_GOC!R79))</x:f>
      </x:c>
      <x:c r="T78" t="n">
        <x:f>IFERROR(IF($K78="",0,IF(AND(ISNUMBER($N78),INT($N78)=CAI_DAT!$B$4,LEFT(UPPER(TRIM($L78)),2)=LEFT(UPPER(TRIM(CAI_DAT!$B$5)),2),$Q78=1,OR(AND($M78="SO",ISNUMBER($P78),$P78&gt;0),AND($M78="MO",ISNUMBER($O78),$O78&gt;0))),1,0)),0)</x:f>
        <x:v>0</x:v>
      </x:c>
      <x:c r="U78" t="str">
        <x:f>IFERROR(IF($T78=0,"",IF($M78="SO",$P78,IF(AND($M78="MO",OR($R78=TRUE,$R78="TRUE"),ISNUMBER($P78),$P78&gt;0),$P78,$O78))),"")</x:f>
      </x:c>
      <x:c r="V78" t="str">
        <x:f>IFERROR(IF($T78=0,"",MOD($N78,1)*86400),"")</x:f>
      </x:c>
      <x:c r="W78" t="str">
        <x:f>IFERROR(IF($T78=0,"",COUNTIFS($T$3:$T$202,1,$V$3:$V$202,"&lt;"&amp;$V78)+COUNTIFS($T$3:$T78,1,$V$3:$V78,$V78)),"")</x:f>
      </x:c>
      <x:c r="X78" t="str">
        <x:f>IFERROR(IF($T78=0,"",IF($M78="SO","SO: dùng CS hoàn thành",IF(AND($M78="MO",OR($R78=TRUE,$R78="TRUE"),ISNUMBER($P78),$P78&gt;0),"MO dừng sớm: dùng CS hoàn thành","MO: dùng CS ra lệnh"))),"")</x:f>
      </x:c>
    </x:row>
    <x:row r="79">
      <x:c r="A79" s="38"/>
      <x:c r="B79" s="142"/>
      <x:c r="C79" s="157"/>
      <x:c r="D79" s="167"/>
      <x:c r="E79" s="167"/>
      <x:c r="F79" s="167"/>
      <x:c r="G79" s="39"/>
      <x:c r="J79" t="str">
        <x:f>IF(LENH_GOC!A80="","",80)</x:f>
      </x:c>
      <x:c r="K79" t="str">
        <x:f>IF(LENH_GOC!A80="","",LENH_GOC!A80)</x:f>
      </x:c>
      <x:c r="L79" t="str">
        <x:f>IF($K79="","",IFERROR(TRIM(LENH_GOC!C80),""))</x:f>
      </x:c>
      <x:c r="M79" t="str">
        <x:f>IF($K79="","",IFERROR(UPPER(TRIM(LENH_GOC!Y80)),""))</x:f>
      </x:c>
      <x:c r="N79" s="249" t="str">
        <x:f>IFERROR(IF($K79="","",IF(LENH_GOC!G80="","",IF(ISNUMBER(LENH_GOC!G80),LENH_GOC!G80,DATE(VALUE(MID(LENH_GOC!G80,7,4)),VALUE(MID(LENH_GOC!G80,4,2)),VALUE(LEFT(LENH_GOC!G80,2)))+TIME(VALUE(MID(LENH_GOC!G80,12,2)),VALUE(MID(LENH_GOC!G80,15,2)),VALUE(MID(LENH_GOC!G80,18,2)))))), "")</x:f>
      </x:c>
      <x:c r="O79" t="str">
        <x:f>IF($K79="","",IF(LENH_GOC!E80="","",LENH_GOC!E80))</x:f>
      </x:c>
      <x:c r="P79" t="str">
        <x:f>IF($K79="","",IF(LENH_GOC!F80="","",LENH_GOC!F80))</x:f>
      </x:c>
      <x:c r="Q79" t="str">
        <x:f>IFERROR(IF($K79="","",IF(LENH_GOC!P80="","",IFERROR(VALUE(LENH_GOC!P80),IF(OR(LENH_GOC!P80=TRUE,UPPER(TRIM(LENH_GOC!P80))="TRUE"),1,0)))),"")</x:f>
      </x:c>
      <x:c r="R79" t="str">
        <x:f>IF($K79="","",IF(LENH_GOC!Q80="","",LENH_GOC!Q80))</x:f>
      </x:c>
      <x:c r="S79" s="249" t="str">
        <x:f>IF($K79="","",IF(LENH_GOC!R80="","",LENH_GOC!R80))</x:f>
      </x:c>
      <x:c r="T79" t="n">
        <x:f>IFERROR(IF($K79="",0,IF(AND(ISNUMBER($N79),INT($N79)=CAI_DAT!$B$4,LEFT(UPPER(TRIM($L79)),2)=LEFT(UPPER(TRIM(CAI_DAT!$B$5)),2),$Q79=1,OR(AND($M79="SO",ISNUMBER($P79),$P79&gt;0),AND($M79="MO",ISNUMBER($O79),$O79&gt;0))),1,0)),0)</x:f>
        <x:v>0</x:v>
      </x:c>
      <x:c r="U79" t="str">
        <x:f>IFERROR(IF($T79=0,"",IF($M79="SO",$P79,IF(AND($M79="MO",OR($R79=TRUE,$R79="TRUE"),ISNUMBER($P79),$P79&gt;0),$P79,$O79))),"")</x:f>
      </x:c>
      <x:c r="V79" t="str">
        <x:f>IFERROR(IF($T79=0,"",MOD($N79,1)*86400),"")</x:f>
      </x:c>
      <x:c r="W79" t="str">
        <x:f>IFERROR(IF($T79=0,"",COUNTIFS($T$3:$T$202,1,$V$3:$V$202,"&lt;"&amp;$V79)+COUNTIFS($T$3:$T79,1,$V$3:$V79,$V79)),"")</x:f>
      </x:c>
      <x:c r="X79" t="str">
        <x:f>IFERROR(IF($T79=0,"",IF($M79="SO","SO: dùng CS hoàn thành",IF(AND($M79="MO",OR($R79=TRUE,$R79="TRUE"),ISNUMBER($P79),$P79&gt;0),"MO dừng sớm: dùng CS hoàn thành","MO: dùng CS ra lệnh"))),"")</x:f>
      </x:c>
    </x:row>
    <x:row r="80">
      <x:c r="A80" s="38"/>
      <x:c r="B80" s="142"/>
      <x:c r="C80" s="157"/>
      <x:c r="D80" s="167"/>
      <x:c r="E80" s="167"/>
      <x:c r="F80" s="167"/>
      <x:c r="G80" s="39"/>
      <x:c r="J80" t="str">
        <x:f>IF(LENH_GOC!A81="","",81)</x:f>
      </x:c>
      <x:c r="K80" t="str">
        <x:f>IF(LENH_GOC!A81="","",LENH_GOC!A81)</x:f>
      </x:c>
      <x:c r="L80" t="str">
        <x:f>IF($K80="","",IFERROR(TRIM(LENH_GOC!C81),""))</x:f>
      </x:c>
      <x:c r="M80" t="str">
        <x:f>IF($K80="","",IFERROR(UPPER(TRIM(LENH_GOC!Y81)),""))</x:f>
      </x:c>
      <x:c r="N80" s="249" t="str">
        <x:f>IFERROR(IF($K80="","",IF(LENH_GOC!G81="","",IF(ISNUMBER(LENH_GOC!G81),LENH_GOC!G81,DATE(VALUE(MID(LENH_GOC!G81,7,4)),VALUE(MID(LENH_GOC!G81,4,2)),VALUE(LEFT(LENH_GOC!G81,2)))+TIME(VALUE(MID(LENH_GOC!G81,12,2)),VALUE(MID(LENH_GOC!G81,15,2)),VALUE(MID(LENH_GOC!G81,18,2)))))), "")</x:f>
      </x:c>
      <x:c r="O80" t="str">
        <x:f>IF($K80="","",IF(LENH_GOC!E81="","",LENH_GOC!E81))</x:f>
      </x:c>
      <x:c r="P80" t="str">
        <x:f>IF($K80="","",IF(LENH_GOC!F81="","",LENH_GOC!F81))</x:f>
      </x:c>
      <x:c r="Q80" t="str">
        <x:f>IFERROR(IF($K80="","",IF(LENH_GOC!P81="","",IFERROR(VALUE(LENH_GOC!P81),IF(OR(LENH_GOC!P81=TRUE,UPPER(TRIM(LENH_GOC!P81))="TRUE"),1,0)))),"")</x:f>
      </x:c>
      <x:c r="R80" t="str">
        <x:f>IF($K80="","",IF(LENH_GOC!Q81="","",LENH_GOC!Q81))</x:f>
      </x:c>
      <x:c r="S80" s="249" t="str">
        <x:f>IF($K80="","",IF(LENH_GOC!R81="","",LENH_GOC!R81))</x:f>
      </x:c>
      <x:c r="T80" t="n">
        <x:f>IFERROR(IF($K80="",0,IF(AND(ISNUMBER($N80),INT($N80)=CAI_DAT!$B$4,LEFT(UPPER(TRIM($L80)),2)=LEFT(UPPER(TRIM(CAI_DAT!$B$5)),2),$Q80=1,OR(AND($M80="SO",ISNUMBER($P80),$P80&gt;0),AND($M80="MO",ISNUMBER($O80),$O80&gt;0))),1,0)),0)</x:f>
        <x:v>0</x:v>
      </x:c>
      <x:c r="U80" t="str">
        <x:f>IFERROR(IF($T80=0,"",IF($M80="SO",$P80,IF(AND($M80="MO",OR($R80=TRUE,$R80="TRUE"),ISNUMBER($P80),$P80&gt;0),$P80,$O80))),"")</x:f>
      </x:c>
      <x:c r="V80" t="str">
        <x:f>IFERROR(IF($T80=0,"",MOD($N80,1)*86400),"")</x:f>
      </x:c>
      <x:c r="W80" t="str">
        <x:f>IFERROR(IF($T80=0,"",COUNTIFS($T$3:$T$202,1,$V$3:$V$202,"&lt;"&amp;$V80)+COUNTIFS($T$3:$T80,1,$V$3:$V80,$V80)),"")</x:f>
      </x:c>
      <x:c r="X80" t="str">
        <x:f>IFERROR(IF($T80=0,"",IF($M80="SO","SO: dùng CS hoàn thành",IF(AND($M80="MO",OR($R80=TRUE,$R80="TRUE"),ISNUMBER($P80),$P80&gt;0),"MO dừng sớm: dùng CS hoàn thành","MO: dùng CS ra lệnh"))),"")</x:f>
      </x:c>
    </x:row>
    <x:row r="81">
      <x:c r="A81" s="38"/>
      <x:c r="B81" s="142"/>
      <x:c r="C81" s="157"/>
      <x:c r="D81" s="167"/>
      <x:c r="E81" s="167"/>
      <x:c r="F81" s="167"/>
      <x:c r="G81" s="39"/>
      <x:c r="J81" t="str">
        <x:f>IF(LENH_GOC!A82="","",82)</x:f>
      </x:c>
      <x:c r="K81" t="str">
        <x:f>IF(LENH_GOC!A82="","",LENH_GOC!A82)</x:f>
      </x:c>
      <x:c r="L81" t="str">
        <x:f>IF($K81="","",IFERROR(TRIM(LENH_GOC!C82),""))</x:f>
      </x:c>
      <x:c r="M81" t="str">
        <x:f>IF($K81="","",IFERROR(UPPER(TRIM(LENH_GOC!Y82)),""))</x:f>
      </x:c>
      <x:c r="N81" s="249" t="str">
        <x:f>IFERROR(IF($K81="","",IF(LENH_GOC!G82="","",IF(ISNUMBER(LENH_GOC!G82),LENH_GOC!G82,DATE(VALUE(MID(LENH_GOC!G82,7,4)),VALUE(MID(LENH_GOC!G82,4,2)),VALUE(LEFT(LENH_GOC!G82,2)))+TIME(VALUE(MID(LENH_GOC!G82,12,2)),VALUE(MID(LENH_GOC!G82,15,2)),VALUE(MID(LENH_GOC!G82,18,2)))))), "")</x:f>
      </x:c>
      <x:c r="O81" t="str">
        <x:f>IF($K81="","",IF(LENH_GOC!E82="","",LENH_GOC!E82))</x:f>
      </x:c>
      <x:c r="P81" t="str">
        <x:f>IF($K81="","",IF(LENH_GOC!F82="","",LENH_GOC!F82))</x:f>
      </x:c>
      <x:c r="Q81" t="str">
        <x:f>IFERROR(IF($K81="","",IF(LENH_GOC!P82="","",IFERROR(VALUE(LENH_GOC!P82),IF(OR(LENH_GOC!P82=TRUE,UPPER(TRIM(LENH_GOC!P82))="TRUE"),1,0)))),"")</x:f>
      </x:c>
      <x:c r="R81" t="str">
        <x:f>IF($K81="","",IF(LENH_GOC!Q82="","",LENH_GOC!Q82))</x:f>
      </x:c>
      <x:c r="S81" s="249" t="str">
        <x:f>IF($K81="","",IF(LENH_GOC!R82="","",LENH_GOC!R82))</x:f>
      </x:c>
      <x:c r="T81" t="n">
        <x:f>IFERROR(IF($K81="",0,IF(AND(ISNUMBER($N81),INT($N81)=CAI_DAT!$B$4,LEFT(UPPER(TRIM($L81)),2)=LEFT(UPPER(TRIM(CAI_DAT!$B$5)),2),$Q81=1,OR(AND($M81="SO",ISNUMBER($P81),$P81&gt;0),AND($M81="MO",ISNUMBER($O81),$O81&gt;0))),1,0)),0)</x:f>
        <x:v>0</x:v>
      </x:c>
      <x:c r="U81" t="str">
        <x:f>IFERROR(IF($T81=0,"",IF($M81="SO",$P81,IF(AND($M81="MO",OR($R81=TRUE,$R81="TRUE"),ISNUMBER($P81),$P81&gt;0),$P81,$O81))),"")</x:f>
      </x:c>
      <x:c r="V81" t="str">
        <x:f>IFERROR(IF($T81=0,"",MOD($N81,1)*86400),"")</x:f>
      </x:c>
      <x:c r="W81" t="str">
        <x:f>IFERROR(IF($T81=0,"",COUNTIFS($T$3:$T$202,1,$V$3:$V$202,"&lt;"&amp;$V81)+COUNTIFS($T$3:$T81,1,$V$3:$V81,$V81)),"")</x:f>
      </x:c>
      <x:c r="X81" t="str">
        <x:f>IFERROR(IF($T81=0,"",IF($M81="SO","SO: dùng CS hoàn thành",IF(AND($M81="MO",OR($R81=TRUE,$R81="TRUE"),ISNUMBER($P81),$P81&gt;0),"MO dừng sớm: dùng CS hoàn thành","MO: dùng CS ra lệnh"))),"")</x:f>
      </x:c>
    </x:row>
    <x:row r="82">
      <x:c r="A82" s="38"/>
      <x:c r="B82" s="142"/>
      <x:c r="C82" s="157"/>
      <x:c r="D82" s="167"/>
      <x:c r="E82" s="167"/>
      <x:c r="F82" s="167"/>
      <x:c r="G82" s="39"/>
      <x:c r="J82" t="str">
        <x:f>IF(LENH_GOC!A83="","",83)</x:f>
      </x:c>
      <x:c r="K82" t="str">
        <x:f>IF(LENH_GOC!A83="","",LENH_GOC!A83)</x:f>
      </x:c>
      <x:c r="L82" t="str">
        <x:f>IF($K82="","",IFERROR(TRIM(LENH_GOC!C83),""))</x:f>
      </x:c>
      <x:c r="M82" t="str">
        <x:f>IF($K82="","",IFERROR(UPPER(TRIM(LENH_GOC!Y83)),""))</x:f>
      </x:c>
      <x:c r="N82" s="249" t="str">
        <x:f>IFERROR(IF($K82="","",IF(LENH_GOC!G83="","",IF(ISNUMBER(LENH_GOC!G83),LENH_GOC!G83,DATE(VALUE(MID(LENH_GOC!G83,7,4)),VALUE(MID(LENH_GOC!G83,4,2)),VALUE(LEFT(LENH_GOC!G83,2)))+TIME(VALUE(MID(LENH_GOC!G83,12,2)),VALUE(MID(LENH_GOC!G83,15,2)),VALUE(MID(LENH_GOC!G83,18,2)))))), "")</x:f>
      </x:c>
      <x:c r="O82" t="str">
        <x:f>IF($K82="","",IF(LENH_GOC!E83="","",LENH_GOC!E83))</x:f>
      </x:c>
      <x:c r="P82" t="str">
        <x:f>IF($K82="","",IF(LENH_GOC!F83="","",LENH_GOC!F83))</x:f>
      </x:c>
      <x:c r="Q82" t="str">
        <x:f>IFERROR(IF($K82="","",IF(LENH_GOC!P83="","",IFERROR(VALUE(LENH_GOC!P83),IF(OR(LENH_GOC!P83=TRUE,UPPER(TRIM(LENH_GOC!P83))="TRUE"),1,0)))),"")</x:f>
      </x:c>
      <x:c r="R82" t="str">
        <x:f>IF($K82="","",IF(LENH_GOC!Q83="","",LENH_GOC!Q83))</x:f>
      </x:c>
      <x:c r="S82" s="249" t="str">
        <x:f>IF($K82="","",IF(LENH_GOC!R83="","",LENH_GOC!R83))</x:f>
      </x:c>
      <x:c r="T82" t="n">
        <x:f>IFERROR(IF($K82="",0,IF(AND(ISNUMBER($N82),INT($N82)=CAI_DAT!$B$4,LEFT(UPPER(TRIM($L82)),2)=LEFT(UPPER(TRIM(CAI_DAT!$B$5)),2),$Q82=1,OR(AND($M82="SO",ISNUMBER($P82),$P82&gt;0),AND($M82="MO",ISNUMBER($O82),$O82&gt;0))),1,0)),0)</x:f>
        <x:v>0</x:v>
      </x:c>
      <x:c r="U82" t="str">
        <x:f>IFERROR(IF($T82=0,"",IF($M82="SO",$P82,IF(AND($M82="MO",OR($R82=TRUE,$R82="TRUE"),ISNUMBER($P82),$P82&gt;0),$P82,$O82))),"")</x:f>
      </x:c>
      <x:c r="V82" t="str">
        <x:f>IFERROR(IF($T82=0,"",MOD($N82,1)*86400),"")</x:f>
      </x:c>
      <x:c r="W82" t="str">
        <x:f>IFERROR(IF($T82=0,"",COUNTIFS($T$3:$T$202,1,$V$3:$V$202,"&lt;"&amp;$V82)+COUNTIFS($T$3:$T82,1,$V$3:$V82,$V82)),"")</x:f>
      </x:c>
      <x:c r="X82" t="str">
        <x:f>IFERROR(IF($T82=0,"",IF($M82="SO","SO: dùng CS hoàn thành",IF(AND($M82="MO",OR($R82=TRUE,$R82="TRUE"),ISNUMBER($P82),$P82&gt;0),"MO dừng sớm: dùng CS hoàn thành","MO: dùng CS ra lệnh"))),"")</x:f>
      </x:c>
    </x:row>
    <x:row r="83">
      <x:c r="A83" s="38"/>
      <x:c r="B83" s="142"/>
      <x:c r="C83" s="157"/>
      <x:c r="D83" s="167"/>
      <x:c r="E83" s="167"/>
      <x:c r="F83" s="167"/>
      <x:c r="G83" s="39"/>
      <x:c r="J83" t="str">
        <x:f>IF(LENH_GOC!A84="","",84)</x:f>
      </x:c>
      <x:c r="K83" t="str">
        <x:f>IF(LENH_GOC!A84="","",LENH_GOC!A84)</x:f>
      </x:c>
      <x:c r="L83" t="str">
        <x:f>IF($K83="","",IFERROR(TRIM(LENH_GOC!C84),""))</x:f>
      </x:c>
      <x:c r="M83" t="str">
        <x:f>IF($K83="","",IFERROR(UPPER(TRIM(LENH_GOC!Y84)),""))</x:f>
      </x:c>
      <x:c r="N83" s="249" t="str">
        <x:f>IFERROR(IF($K83="","",IF(LENH_GOC!G84="","",IF(ISNUMBER(LENH_GOC!G84),LENH_GOC!G84,DATE(VALUE(MID(LENH_GOC!G84,7,4)),VALUE(MID(LENH_GOC!G84,4,2)),VALUE(LEFT(LENH_GOC!G84,2)))+TIME(VALUE(MID(LENH_GOC!G84,12,2)),VALUE(MID(LENH_GOC!G84,15,2)),VALUE(MID(LENH_GOC!G84,18,2)))))), "")</x:f>
      </x:c>
      <x:c r="O83" t="str">
        <x:f>IF($K83="","",IF(LENH_GOC!E84="","",LENH_GOC!E84))</x:f>
      </x:c>
      <x:c r="P83" t="str">
        <x:f>IF($K83="","",IF(LENH_GOC!F84="","",LENH_GOC!F84))</x:f>
      </x:c>
      <x:c r="Q83" t="str">
        <x:f>IFERROR(IF($K83="","",IF(LENH_GOC!P84="","",IFERROR(VALUE(LENH_GOC!P84),IF(OR(LENH_GOC!P84=TRUE,UPPER(TRIM(LENH_GOC!P84))="TRUE"),1,0)))),"")</x:f>
      </x:c>
      <x:c r="R83" t="str">
        <x:f>IF($K83="","",IF(LENH_GOC!Q84="","",LENH_GOC!Q84))</x:f>
      </x:c>
      <x:c r="S83" s="249" t="str">
        <x:f>IF($K83="","",IF(LENH_GOC!R84="","",LENH_GOC!R84))</x:f>
      </x:c>
      <x:c r="T83" t="n">
        <x:f>IFERROR(IF($K83="",0,IF(AND(ISNUMBER($N83),INT($N83)=CAI_DAT!$B$4,LEFT(UPPER(TRIM($L83)),2)=LEFT(UPPER(TRIM(CAI_DAT!$B$5)),2),$Q83=1,OR(AND($M83="SO",ISNUMBER($P83),$P83&gt;0),AND($M83="MO",ISNUMBER($O83),$O83&gt;0))),1,0)),0)</x:f>
        <x:v>0</x:v>
      </x:c>
      <x:c r="U83" t="str">
        <x:f>IFERROR(IF($T83=0,"",IF($M83="SO",$P83,IF(AND($M83="MO",OR($R83=TRUE,$R83="TRUE"),ISNUMBER($P83),$P83&gt;0),$P83,$O83))),"")</x:f>
      </x:c>
      <x:c r="V83" t="str">
        <x:f>IFERROR(IF($T83=0,"",MOD($N83,1)*86400),"")</x:f>
      </x:c>
      <x:c r="W83" t="str">
        <x:f>IFERROR(IF($T83=0,"",COUNTIFS($T$3:$T$202,1,$V$3:$V$202,"&lt;"&amp;$V83)+COUNTIFS($T$3:$T83,1,$V$3:$V83,$V83)),"")</x:f>
      </x:c>
      <x:c r="X83" t="str">
        <x:f>IFERROR(IF($T83=0,"",IF($M83="SO","SO: dùng CS hoàn thành",IF(AND($M83="MO",OR($R83=TRUE,$R83="TRUE"),ISNUMBER($P83),$P83&gt;0),"MO dừng sớm: dùng CS hoàn thành","MO: dùng CS ra lệnh"))),"")</x:f>
      </x:c>
    </x:row>
    <x:row r="84">
      <x:c r="A84" s="38"/>
      <x:c r="B84" s="142"/>
      <x:c r="C84" s="157"/>
      <x:c r="D84" s="167"/>
      <x:c r="E84" s="167"/>
      <x:c r="F84" s="167"/>
      <x:c r="G84" s="39"/>
      <x:c r="J84" t="str">
        <x:f>IF(LENH_GOC!A85="","",85)</x:f>
      </x:c>
      <x:c r="K84" t="str">
        <x:f>IF(LENH_GOC!A85="","",LENH_GOC!A85)</x:f>
      </x:c>
      <x:c r="L84" t="str">
        <x:f>IF($K84="","",IFERROR(TRIM(LENH_GOC!C85),""))</x:f>
      </x:c>
      <x:c r="M84" t="str">
        <x:f>IF($K84="","",IFERROR(UPPER(TRIM(LENH_GOC!Y85)),""))</x:f>
      </x:c>
      <x:c r="N84" s="249" t="str">
        <x:f>IFERROR(IF($K84="","",IF(LENH_GOC!G85="","",IF(ISNUMBER(LENH_GOC!G85),LENH_GOC!G85,DATE(VALUE(MID(LENH_GOC!G85,7,4)),VALUE(MID(LENH_GOC!G85,4,2)),VALUE(LEFT(LENH_GOC!G85,2)))+TIME(VALUE(MID(LENH_GOC!G85,12,2)),VALUE(MID(LENH_GOC!G85,15,2)),VALUE(MID(LENH_GOC!G85,18,2)))))), "")</x:f>
      </x:c>
      <x:c r="O84" t="str">
        <x:f>IF($K84="","",IF(LENH_GOC!E85="","",LENH_GOC!E85))</x:f>
      </x:c>
      <x:c r="P84" t="str">
        <x:f>IF($K84="","",IF(LENH_GOC!F85="","",LENH_GOC!F85))</x:f>
      </x:c>
      <x:c r="Q84" t="str">
        <x:f>IFERROR(IF($K84="","",IF(LENH_GOC!P85="","",IFERROR(VALUE(LENH_GOC!P85),IF(OR(LENH_GOC!P85=TRUE,UPPER(TRIM(LENH_GOC!P85))="TRUE"),1,0)))),"")</x:f>
      </x:c>
      <x:c r="R84" t="str">
        <x:f>IF($K84="","",IF(LENH_GOC!Q85="","",LENH_GOC!Q85))</x:f>
      </x:c>
      <x:c r="S84" s="249" t="str">
        <x:f>IF($K84="","",IF(LENH_GOC!R85="","",LENH_GOC!R85))</x:f>
      </x:c>
      <x:c r="T84" t="n">
        <x:f>IFERROR(IF($K84="",0,IF(AND(ISNUMBER($N84),INT($N84)=CAI_DAT!$B$4,LEFT(UPPER(TRIM($L84)),2)=LEFT(UPPER(TRIM(CAI_DAT!$B$5)),2),$Q84=1,OR(AND($M84="SO",ISNUMBER($P84),$P84&gt;0),AND($M84="MO",ISNUMBER($O84),$O84&gt;0))),1,0)),0)</x:f>
        <x:v>0</x:v>
      </x:c>
      <x:c r="U84" t="str">
        <x:f>IFERROR(IF($T84=0,"",IF($M84="SO",$P84,IF(AND($M84="MO",OR($R84=TRUE,$R84="TRUE"),ISNUMBER($P84),$P84&gt;0),$P84,$O84))),"")</x:f>
      </x:c>
      <x:c r="V84" t="str">
        <x:f>IFERROR(IF($T84=0,"",MOD($N84,1)*86400),"")</x:f>
      </x:c>
      <x:c r="W84" t="str">
        <x:f>IFERROR(IF($T84=0,"",COUNTIFS($T$3:$T$202,1,$V$3:$V$202,"&lt;"&amp;$V84)+COUNTIFS($T$3:$T84,1,$V$3:$V84,$V84)),"")</x:f>
      </x:c>
      <x:c r="X84" t="str">
        <x:f>IFERROR(IF($T84=0,"",IF($M84="SO","SO: dùng CS hoàn thành",IF(AND($M84="MO",OR($R84=TRUE,$R84="TRUE"),ISNUMBER($P84),$P84&gt;0),"MO dừng sớm: dùng CS hoàn thành","MO: dùng CS ra lệnh"))),"")</x:f>
      </x:c>
    </x:row>
    <x:row r="85">
      <x:c r="A85" s="38"/>
      <x:c r="B85" s="142"/>
      <x:c r="C85" s="157"/>
      <x:c r="D85" s="167"/>
      <x:c r="E85" s="167"/>
      <x:c r="F85" s="167"/>
      <x:c r="G85" s="39"/>
      <x:c r="J85" t="str">
        <x:f>IF(LENH_GOC!A86="","",86)</x:f>
      </x:c>
      <x:c r="K85" t="str">
        <x:f>IF(LENH_GOC!A86="","",LENH_GOC!A86)</x:f>
      </x:c>
      <x:c r="L85" t="str">
        <x:f>IF($K85="","",IFERROR(TRIM(LENH_GOC!C86),""))</x:f>
      </x:c>
      <x:c r="M85" t="str">
        <x:f>IF($K85="","",IFERROR(UPPER(TRIM(LENH_GOC!Y86)),""))</x:f>
      </x:c>
      <x:c r="N85" s="249" t="str">
        <x:f>IFERROR(IF($K85="","",IF(LENH_GOC!G86="","",IF(ISNUMBER(LENH_GOC!G86),LENH_GOC!G86,DATE(VALUE(MID(LENH_GOC!G86,7,4)),VALUE(MID(LENH_GOC!G86,4,2)),VALUE(LEFT(LENH_GOC!G86,2)))+TIME(VALUE(MID(LENH_GOC!G86,12,2)),VALUE(MID(LENH_GOC!G86,15,2)),VALUE(MID(LENH_GOC!G86,18,2)))))), "")</x:f>
      </x:c>
      <x:c r="O85" t="str">
        <x:f>IF($K85="","",IF(LENH_GOC!E86="","",LENH_GOC!E86))</x:f>
      </x:c>
      <x:c r="P85" t="str">
        <x:f>IF($K85="","",IF(LENH_GOC!F86="","",LENH_GOC!F86))</x:f>
      </x:c>
      <x:c r="Q85" t="str">
        <x:f>IFERROR(IF($K85="","",IF(LENH_GOC!P86="","",IFERROR(VALUE(LENH_GOC!P86),IF(OR(LENH_GOC!P86=TRUE,UPPER(TRIM(LENH_GOC!P86))="TRUE"),1,0)))),"")</x:f>
      </x:c>
      <x:c r="R85" t="str">
        <x:f>IF($K85="","",IF(LENH_GOC!Q86="","",LENH_GOC!Q86))</x:f>
      </x:c>
      <x:c r="S85" s="249" t="str">
        <x:f>IF($K85="","",IF(LENH_GOC!R86="","",LENH_GOC!R86))</x:f>
      </x:c>
      <x:c r="T85" t="n">
        <x:f>IFERROR(IF($K85="",0,IF(AND(ISNUMBER($N85),INT($N85)=CAI_DAT!$B$4,LEFT(UPPER(TRIM($L85)),2)=LEFT(UPPER(TRIM(CAI_DAT!$B$5)),2),$Q85=1,OR(AND($M85="SO",ISNUMBER($P85),$P85&gt;0),AND($M85="MO",ISNUMBER($O85),$O85&gt;0))),1,0)),0)</x:f>
        <x:v>0</x:v>
      </x:c>
      <x:c r="U85" t="str">
        <x:f>IFERROR(IF($T85=0,"",IF($M85="SO",$P85,IF(AND($M85="MO",OR($R85=TRUE,$R85="TRUE"),ISNUMBER($P85),$P85&gt;0),$P85,$O85))),"")</x:f>
      </x:c>
      <x:c r="V85" t="str">
        <x:f>IFERROR(IF($T85=0,"",MOD($N85,1)*86400),"")</x:f>
      </x:c>
      <x:c r="W85" t="str">
        <x:f>IFERROR(IF($T85=0,"",COUNTIFS($T$3:$T$202,1,$V$3:$V$202,"&lt;"&amp;$V85)+COUNTIFS($T$3:$T85,1,$V$3:$V85,$V85)),"")</x:f>
      </x:c>
      <x:c r="X85" t="str">
        <x:f>IFERROR(IF($T85=0,"",IF($M85="SO","SO: dùng CS hoàn thành",IF(AND($M85="MO",OR($R85=TRUE,$R85="TRUE"),ISNUMBER($P85),$P85&gt;0),"MO dừng sớm: dùng CS hoàn thành","MO: dùng CS ra lệnh"))),"")</x:f>
      </x:c>
    </x:row>
    <x:row r="86">
      <x:c r="A86" s="38"/>
      <x:c r="B86" s="142"/>
      <x:c r="C86" s="157"/>
      <x:c r="D86" s="167"/>
      <x:c r="E86" s="167"/>
      <x:c r="F86" s="167"/>
      <x:c r="G86" s="39"/>
      <x:c r="J86" t="str">
        <x:f>IF(LENH_GOC!A87="","",87)</x:f>
      </x:c>
      <x:c r="K86" t="str">
        <x:f>IF(LENH_GOC!A87="","",LENH_GOC!A87)</x:f>
      </x:c>
      <x:c r="L86" t="str">
        <x:f>IF($K86="","",IFERROR(TRIM(LENH_GOC!C87),""))</x:f>
      </x:c>
      <x:c r="M86" t="str">
        <x:f>IF($K86="","",IFERROR(UPPER(TRIM(LENH_GOC!Y87)),""))</x:f>
      </x:c>
      <x:c r="N86" s="249" t="str">
        <x:f>IFERROR(IF($K86="","",IF(LENH_GOC!G87="","",IF(ISNUMBER(LENH_GOC!G87),LENH_GOC!G87,DATE(VALUE(MID(LENH_GOC!G87,7,4)),VALUE(MID(LENH_GOC!G87,4,2)),VALUE(LEFT(LENH_GOC!G87,2)))+TIME(VALUE(MID(LENH_GOC!G87,12,2)),VALUE(MID(LENH_GOC!G87,15,2)),VALUE(MID(LENH_GOC!G87,18,2)))))), "")</x:f>
      </x:c>
      <x:c r="O86" t="str">
        <x:f>IF($K86="","",IF(LENH_GOC!E87="","",LENH_GOC!E87))</x:f>
      </x:c>
      <x:c r="P86" t="str">
        <x:f>IF($K86="","",IF(LENH_GOC!F87="","",LENH_GOC!F87))</x:f>
      </x:c>
      <x:c r="Q86" t="str">
        <x:f>IFERROR(IF($K86="","",IF(LENH_GOC!P87="","",IFERROR(VALUE(LENH_GOC!P87),IF(OR(LENH_GOC!P87=TRUE,UPPER(TRIM(LENH_GOC!P87))="TRUE"),1,0)))),"")</x:f>
      </x:c>
      <x:c r="R86" t="str">
        <x:f>IF($K86="","",IF(LENH_GOC!Q87="","",LENH_GOC!Q87))</x:f>
      </x:c>
      <x:c r="S86" s="249" t="str">
        <x:f>IF($K86="","",IF(LENH_GOC!R87="","",LENH_GOC!R87))</x:f>
      </x:c>
      <x:c r="T86" t="n">
        <x:f>IFERROR(IF($K86="",0,IF(AND(ISNUMBER($N86),INT($N86)=CAI_DAT!$B$4,LEFT(UPPER(TRIM($L86)),2)=LEFT(UPPER(TRIM(CAI_DAT!$B$5)),2),$Q86=1,OR(AND($M86="SO",ISNUMBER($P86),$P86&gt;0),AND($M86="MO",ISNUMBER($O86),$O86&gt;0))),1,0)),0)</x:f>
        <x:v>0</x:v>
      </x:c>
      <x:c r="U86" t="str">
        <x:f>IFERROR(IF($T86=0,"",IF($M86="SO",$P86,IF(AND($M86="MO",OR($R86=TRUE,$R86="TRUE"),ISNUMBER($P86),$P86&gt;0),$P86,$O86))),"")</x:f>
      </x:c>
      <x:c r="V86" t="str">
        <x:f>IFERROR(IF($T86=0,"",MOD($N86,1)*86400),"")</x:f>
      </x:c>
      <x:c r="W86" t="str">
        <x:f>IFERROR(IF($T86=0,"",COUNTIFS($T$3:$T$202,1,$V$3:$V$202,"&lt;"&amp;$V86)+COUNTIFS($T$3:$T86,1,$V$3:$V86,$V86)),"")</x:f>
      </x:c>
      <x:c r="X86" t="str">
        <x:f>IFERROR(IF($T86=0,"",IF($M86="SO","SO: dùng CS hoàn thành",IF(AND($M86="MO",OR($R86=TRUE,$R86="TRUE"),ISNUMBER($P86),$P86&gt;0),"MO dừng sớm: dùng CS hoàn thành","MO: dùng CS ra lệnh"))),"")</x:f>
      </x:c>
    </x:row>
    <x:row r="87">
      <x:c r="A87" s="38"/>
      <x:c r="B87" s="142"/>
      <x:c r="C87" s="157"/>
      <x:c r="D87" s="167"/>
      <x:c r="E87" s="167"/>
      <x:c r="F87" s="167"/>
      <x:c r="G87" s="39"/>
      <x:c r="J87" t="str">
        <x:f>IF(LENH_GOC!A88="","",88)</x:f>
      </x:c>
      <x:c r="K87" t="str">
        <x:f>IF(LENH_GOC!A88="","",LENH_GOC!A88)</x:f>
      </x:c>
      <x:c r="L87" t="str">
        <x:f>IF($K87="","",IFERROR(TRIM(LENH_GOC!C88),""))</x:f>
      </x:c>
      <x:c r="M87" t="str">
        <x:f>IF($K87="","",IFERROR(UPPER(TRIM(LENH_GOC!Y88)),""))</x:f>
      </x:c>
      <x:c r="N87" s="249" t="str">
        <x:f>IFERROR(IF($K87="","",IF(LENH_GOC!G88="","",IF(ISNUMBER(LENH_GOC!G88),LENH_GOC!G88,DATE(VALUE(MID(LENH_GOC!G88,7,4)),VALUE(MID(LENH_GOC!G88,4,2)),VALUE(LEFT(LENH_GOC!G88,2)))+TIME(VALUE(MID(LENH_GOC!G88,12,2)),VALUE(MID(LENH_GOC!G88,15,2)),VALUE(MID(LENH_GOC!G88,18,2)))))), "")</x:f>
      </x:c>
      <x:c r="O87" t="str">
        <x:f>IF($K87="","",IF(LENH_GOC!E88="","",LENH_GOC!E88))</x:f>
      </x:c>
      <x:c r="P87" t="str">
        <x:f>IF($K87="","",IF(LENH_GOC!F88="","",LENH_GOC!F88))</x:f>
      </x:c>
      <x:c r="Q87" t="str">
        <x:f>IFERROR(IF($K87="","",IF(LENH_GOC!P88="","",IFERROR(VALUE(LENH_GOC!P88),IF(OR(LENH_GOC!P88=TRUE,UPPER(TRIM(LENH_GOC!P88))="TRUE"),1,0)))),"")</x:f>
      </x:c>
      <x:c r="R87" t="str">
        <x:f>IF($K87="","",IF(LENH_GOC!Q88="","",LENH_GOC!Q88))</x:f>
      </x:c>
      <x:c r="S87" s="249" t="str">
        <x:f>IF($K87="","",IF(LENH_GOC!R88="","",LENH_GOC!R88))</x:f>
      </x:c>
      <x:c r="T87" t="n">
        <x:f>IFERROR(IF($K87="",0,IF(AND(ISNUMBER($N87),INT($N87)=CAI_DAT!$B$4,LEFT(UPPER(TRIM($L87)),2)=LEFT(UPPER(TRIM(CAI_DAT!$B$5)),2),$Q87=1,OR(AND($M87="SO",ISNUMBER($P87),$P87&gt;0),AND($M87="MO",ISNUMBER($O87),$O87&gt;0))),1,0)),0)</x:f>
        <x:v>0</x:v>
      </x:c>
      <x:c r="U87" t="str">
        <x:f>IFERROR(IF($T87=0,"",IF($M87="SO",$P87,IF(AND($M87="MO",OR($R87=TRUE,$R87="TRUE"),ISNUMBER($P87),$P87&gt;0),$P87,$O87))),"")</x:f>
      </x:c>
      <x:c r="V87" t="str">
        <x:f>IFERROR(IF($T87=0,"",MOD($N87,1)*86400),"")</x:f>
      </x:c>
      <x:c r="W87" t="str">
        <x:f>IFERROR(IF($T87=0,"",COUNTIFS($T$3:$T$202,1,$V$3:$V$202,"&lt;"&amp;$V87)+COUNTIFS($T$3:$T87,1,$V$3:$V87,$V87)),"")</x:f>
      </x:c>
      <x:c r="X87" t="str">
        <x:f>IFERROR(IF($T87=0,"",IF($M87="SO","SO: dùng CS hoàn thành",IF(AND($M87="MO",OR($R87=TRUE,$R87="TRUE"),ISNUMBER($P87),$P87&gt;0),"MO dừng sớm: dùng CS hoàn thành","MO: dùng CS ra lệnh"))),"")</x:f>
      </x:c>
    </x:row>
    <x:row r="88">
      <x:c r="A88" s="38"/>
      <x:c r="B88" s="142"/>
      <x:c r="C88" s="157"/>
      <x:c r="D88" s="167"/>
      <x:c r="E88" s="167"/>
      <x:c r="F88" s="167"/>
      <x:c r="G88" s="39"/>
      <x:c r="J88" t="str">
        <x:f>IF(LENH_GOC!A89="","",89)</x:f>
      </x:c>
      <x:c r="K88" t="str">
        <x:f>IF(LENH_GOC!A89="","",LENH_GOC!A89)</x:f>
      </x:c>
      <x:c r="L88" t="str">
        <x:f>IF($K88="","",IFERROR(TRIM(LENH_GOC!C89),""))</x:f>
      </x:c>
      <x:c r="M88" t="str">
        <x:f>IF($K88="","",IFERROR(UPPER(TRIM(LENH_GOC!Y89)),""))</x:f>
      </x:c>
      <x:c r="N88" s="249" t="str">
        <x:f>IFERROR(IF($K88="","",IF(LENH_GOC!G89="","",IF(ISNUMBER(LENH_GOC!G89),LENH_GOC!G89,DATE(VALUE(MID(LENH_GOC!G89,7,4)),VALUE(MID(LENH_GOC!G89,4,2)),VALUE(LEFT(LENH_GOC!G89,2)))+TIME(VALUE(MID(LENH_GOC!G89,12,2)),VALUE(MID(LENH_GOC!G89,15,2)),VALUE(MID(LENH_GOC!G89,18,2)))))), "")</x:f>
      </x:c>
      <x:c r="O88" t="str">
        <x:f>IF($K88="","",IF(LENH_GOC!E89="","",LENH_GOC!E89))</x:f>
      </x:c>
      <x:c r="P88" t="str">
        <x:f>IF($K88="","",IF(LENH_GOC!F89="","",LENH_GOC!F89))</x:f>
      </x:c>
      <x:c r="Q88" t="str">
        <x:f>IFERROR(IF($K88="","",IF(LENH_GOC!P89="","",IFERROR(VALUE(LENH_GOC!P89),IF(OR(LENH_GOC!P89=TRUE,UPPER(TRIM(LENH_GOC!P89))="TRUE"),1,0)))),"")</x:f>
      </x:c>
      <x:c r="R88" t="str">
        <x:f>IF($K88="","",IF(LENH_GOC!Q89="","",LENH_GOC!Q89))</x:f>
      </x:c>
      <x:c r="S88" s="249" t="str">
        <x:f>IF($K88="","",IF(LENH_GOC!R89="","",LENH_GOC!R89))</x:f>
      </x:c>
      <x:c r="T88" t="n">
        <x:f>IFERROR(IF($K88="",0,IF(AND(ISNUMBER($N88),INT($N88)=CAI_DAT!$B$4,LEFT(UPPER(TRIM($L88)),2)=LEFT(UPPER(TRIM(CAI_DAT!$B$5)),2),$Q88=1,OR(AND($M88="SO",ISNUMBER($P88),$P88&gt;0),AND($M88="MO",ISNUMBER($O88),$O88&gt;0))),1,0)),0)</x:f>
        <x:v>0</x:v>
      </x:c>
      <x:c r="U88" t="str">
        <x:f>IFERROR(IF($T88=0,"",IF($M88="SO",$P88,IF(AND($M88="MO",OR($R88=TRUE,$R88="TRUE"),ISNUMBER($P88),$P88&gt;0),$P88,$O88))),"")</x:f>
      </x:c>
      <x:c r="V88" t="str">
        <x:f>IFERROR(IF($T88=0,"",MOD($N88,1)*86400),"")</x:f>
      </x:c>
      <x:c r="W88" t="str">
        <x:f>IFERROR(IF($T88=0,"",COUNTIFS($T$3:$T$202,1,$V$3:$V$202,"&lt;"&amp;$V88)+COUNTIFS($T$3:$T88,1,$V$3:$V88,$V88)),"")</x:f>
      </x:c>
      <x:c r="X88" t="str">
        <x:f>IFERROR(IF($T88=0,"",IF($M88="SO","SO: dùng CS hoàn thành",IF(AND($M88="MO",OR($R88=TRUE,$R88="TRUE"),ISNUMBER($P88),$P88&gt;0),"MO dừng sớm: dùng CS hoàn thành","MO: dùng CS ra lệnh"))),"")</x:f>
      </x:c>
    </x:row>
    <x:row r="89">
      <x:c r="A89" s="38"/>
      <x:c r="B89" s="142"/>
      <x:c r="C89" s="157"/>
      <x:c r="D89" s="167"/>
      <x:c r="E89" s="167"/>
      <x:c r="F89" s="167"/>
      <x:c r="G89" s="39"/>
      <x:c r="J89" t="str">
        <x:f>IF(LENH_GOC!A90="","",90)</x:f>
      </x:c>
      <x:c r="K89" t="str">
        <x:f>IF(LENH_GOC!A90="","",LENH_GOC!A90)</x:f>
      </x:c>
      <x:c r="L89" t="str">
        <x:f>IF($K89="","",IFERROR(TRIM(LENH_GOC!C90),""))</x:f>
      </x:c>
      <x:c r="M89" t="str">
        <x:f>IF($K89="","",IFERROR(UPPER(TRIM(LENH_GOC!Y90)),""))</x:f>
      </x:c>
      <x:c r="N89" s="249" t="str">
        <x:f>IFERROR(IF($K89="","",IF(LENH_GOC!G90="","",IF(ISNUMBER(LENH_GOC!G90),LENH_GOC!G90,DATE(VALUE(MID(LENH_GOC!G90,7,4)),VALUE(MID(LENH_GOC!G90,4,2)),VALUE(LEFT(LENH_GOC!G90,2)))+TIME(VALUE(MID(LENH_GOC!G90,12,2)),VALUE(MID(LENH_GOC!G90,15,2)),VALUE(MID(LENH_GOC!G90,18,2)))))), "")</x:f>
      </x:c>
      <x:c r="O89" t="str">
        <x:f>IF($K89="","",IF(LENH_GOC!E90="","",LENH_GOC!E90))</x:f>
      </x:c>
      <x:c r="P89" t="str">
        <x:f>IF($K89="","",IF(LENH_GOC!F90="","",LENH_GOC!F90))</x:f>
      </x:c>
      <x:c r="Q89" t="str">
        <x:f>IFERROR(IF($K89="","",IF(LENH_GOC!P90="","",IFERROR(VALUE(LENH_GOC!P90),IF(OR(LENH_GOC!P90=TRUE,UPPER(TRIM(LENH_GOC!P90))="TRUE"),1,0)))),"")</x:f>
      </x:c>
      <x:c r="R89" t="str">
        <x:f>IF($K89="","",IF(LENH_GOC!Q90="","",LENH_GOC!Q90))</x:f>
      </x:c>
      <x:c r="S89" s="249" t="str">
        <x:f>IF($K89="","",IF(LENH_GOC!R90="","",LENH_GOC!R90))</x:f>
      </x:c>
      <x:c r="T89" t="n">
        <x:f>IFERROR(IF($K89="",0,IF(AND(ISNUMBER($N89),INT($N89)=CAI_DAT!$B$4,LEFT(UPPER(TRIM($L89)),2)=LEFT(UPPER(TRIM(CAI_DAT!$B$5)),2),$Q89=1,OR(AND($M89="SO",ISNUMBER($P89),$P89&gt;0),AND($M89="MO",ISNUMBER($O89),$O89&gt;0))),1,0)),0)</x:f>
        <x:v>0</x:v>
      </x:c>
      <x:c r="U89" t="str">
        <x:f>IFERROR(IF($T89=0,"",IF($M89="SO",$P89,IF(AND($M89="MO",OR($R89=TRUE,$R89="TRUE"),ISNUMBER($P89),$P89&gt;0),$P89,$O89))),"")</x:f>
      </x:c>
      <x:c r="V89" t="str">
        <x:f>IFERROR(IF($T89=0,"",MOD($N89,1)*86400),"")</x:f>
      </x:c>
      <x:c r="W89" t="str">
        <x:f>IFERROR(IF($T89=0,"",COUNTIFS($T$3:$T$202,1,$V$3:$V$202,"&lt;"&amp;$V89)+COUNTIFS($T$3:$T89,1,$V$3:$V89,$V89)),"")</x:f>
      </x:c>
      <x:c r="X89" t="str">
        <x:f>IFERROR(IF($T89=0,"",IF($M89="SO","SO: dùng CS hoàn thành",IF(AND($M89="MO",OR($R89=TRUE,$R89="TRUE"),ISNUMBER($P89),$P89&gt;0),"MO dừng sớm: dùng CS hoàn thành","MO: dùng CS ra lệnh"))),"")</x:f>
      </x:c>
    </x:row>
    <x:row r="90">
      <x:c r="A90" s="38"/>
      <x:c r="B90" s="142"/>
      <x:c r="C90" s="157"/>
      <x:c r="D90" s="167"/>
      <x:c r="E90" s="167"/>
      <x:c r="F90" s="167"/>
      <x:c r="G90" s="39"/>
      <x:c r="J90" t="str">
        <x:f>IF(LENH_GOC!A91="","",91)</x:f>
      </x:c>
      <x:c r="K90" t="str">
        <x:f>IF(LENH_GOC!A91="","",LENH_GOC!A91)</x:f>
      </x:c>
      <x:c r="L90" t="str">
        <x:f>IF($K90="","",IFERROR(TRIM(LENH_GOC!C91),""))</x:f>
      </x:c>
      <x:c r="M90" t="str">
        <x:f>IF($K90="","",IFERROR(UPPER(TRIM(LENH_GOC!Y91)),""))</x:f>
      </x:c>
      <x:c r="N90" s="249" t="str">
        <x:f>IFERROR(IF($K90="","",IF(LENH_GOC!G91="","",IF(ISNUMBER(LENH_GOC!G91),LENH_GOC!G91,DATE(VALUE(MID(LENH_GOC!G91,7,4)),VALUE(MID(LENH_GOC!G91,4,2)),VALUE(LEFT(LENH_GOC!G91,2)))+TIME(VALUE(MID(LENH_GOC!G91,12,2)),VALUE(MID(LENH_GOC!G91,15,2)),VALUE(MID(LENH_GOC!G91,18,2)))))), "")</x:f>
      </x:c>
      <x:c r="O90" t="str">
        <x:f>IF($K90="","",IF(LENH_GOC!E91="","",LENH_GOC!E91))</x:f>
      </x:c>
      <x:c r="P90" t="str">
        <x:f>IF($K90="","",IF(LENH_GOC!F91="","",LENH_GOC!F91))</x:f>
      </x:c>
      <x:c r="Q90" t="str">
        <x:f>IFERROR(IF($K90="","",IF(LENH_GOC!P91="","",IFERROR(VALUE(LENH_GOC!P91),IF(OR(LENH_GOC!P91=TRUE,UPPER(TRIM(LENH_GOC!P91))="TRUE"),1,0)))),"")</x:f>
      </x:c>
      <x:c r="R90" t="str">
        <x:f>IF($K90="","",IF(LENH_GOC!Q91="","",LENH_GOC!Q91))</x:f>
      </x:c>
      <x:c r="S90" s="249" t="str">
        <x:f>IF($K90="","",IF(LENH_GOC!R91="","",LENH_GOC!R91))</x:f>
      </x:c>
      <x:c r="T90" t="n">
        <x:f>IFERROR(IF($K90="",0,IF(AND(ISNUMBER($N90),INT($N90)=CAI_DAT!$B$4,LEFT(UPPER(TRIM($L90)),2)=LEFT(UPPER(TRIM(CAI_DAT!$B$5)),2),$Q90=1,OR(AND($M90="SO",ISNUMBER($P90),$P90&gt;0),AND($M90="MO",ISNUMBER($O90),$O90&gt;0))),1,0)),0)</x:f>
        <x:v>0</x:v>
      </x:c>
      <x:c r="U90" t="str">
        <x:f>IFERROR(IF($T90=0,"",IF($M90="SO",$P90,IF(AND($M90="MO",OR($R90=TRUE,$R90="TRUE"),ISNUMBER($P90),$P90&gt;0),$P90,$O90))),"")</x:f>
      </x:c>
      <x:c r="V90" t="str">
        <x:f>IFERROR(IF($T90=0,"",MOD($N90,1)*86400),"")</x:f>
      </x:c>
      <x:c r="W90" t="str">
        <x:f>IFERROR(IF($T90=0,"",COUNTIFS($T$3:$T$202,1,$V$3:$V$202,"&lt;"&amp;$V90)+COUNTIFS($T$3:$T90,1,$V$3:$V90,$V90)),"")</x:f>
      </x:c>
      <x:c r="X90" t="str">
        <x:f>IFERROR(IF($T90=0,"",IF($M90="SO","SO: dùng CS hoàn thành",IF(AND($M90="MO",OR($R90=TRUE,$R90="TRUE"),ISNUMBER($P90),$P90&gt;0),"MO dừng sớm: dùng CS hoàn thành","MO: dùng CS ra lệnh"))),"")</x:f>
      </x:c>
    </x:row>
    <x:row r="91">
      <x:c r="A91" s="38"/>
      <x:c r="B91" s="142"/>
      <x:c r="C91" s="157"/>
      <x:c r="D91" s="167"/>
      <x:c r="E91" s="167"/>
      <x:c r="F91" s="167"/>
      <x:c r="G91" s="39"/>
      <x:c r="J91" t="str">
        <x:f>IF(LENH_GOC!A92="","",92)</x:f>
      </x:c>
      <x:c r="K91" t="str">
        <x:f>IF(LENH_GOC!A92="","",LENH_GOC!A92)</x:f>
      </x:c>
      <x:c r="L91" t="str">
        <x:f>IF($K91="","",IFERROR(TRIM(LENH_GOC!C92),""))</x:f>
      </x:c>
      <x:c r="M91" t="str">
        <x:f>IF($K91="","",IFERROR(UPPER(TRIM(LENH_GOC!Y92)),""))</x:f>
      </x:c>
      <x:c r="N91" s="249" t="str">
        <x:f>IFERROR(IF($K91="","",IF(LENH_GOC!G92="","",IF(ISNUMBER(LENH_GOC!G92),LENH_GOC!G92,DATE(VALUE(MID(LENH_GOC!G92,7,4)),VALUE(MID(LENH_GOC!G92,4,2)),VALUE(LEFT(LENH_GOC!G92,2)))+TIME(VALUE(MID(LENH_GOC!G92,12,2)),VALUE(MID(LENH_GOC!G92,15,2)),VALUE(MID(LENH_GOC!G92,18,2)))))), "")</x:f>
      </x:c>
      <x:c r="O91" t="str">
        <x:f>IF($K91="","",IF(LENH_GOC!E92="","",LENH_GOC!E92))</x:f>
      </x:c>
      <x:c r="P91" t="str">
        <x:f>IF($K91="","",IF(LENH_GOC!F92="","",LENH_GOC!F92))</x:f>
      </x:c>
      <x:c r="Q91" t="str">
        <x:f>IFERROR(IF($K91="","",IF(LENH_GOC!P92="","",IFERROR(VALUE(LENH_GOC!P92),IF(OR(LENH_GOC!P92=TRUE,UPPER(TRIM(LENH_GOC!P92))="TRUE"),1,0)))),"")</x:f>
      </x:c>
      <x:c r="R91" t="str">
        <x:f>IF($K91="","",IF(LENH_GOC!Q92="","",LENH_GOC!Q92))</x:f>
      </x:c>
      <x:c r="S91" s="249" t="str">
        <x:f>IF($K91="","",IF(LENH_GOC!R92="","",LENH_GOC!R92))</x:f>
      </x:c>
      <x:c r="T91" t="n">
        <x:f>IFERROR(IF($K91="",0,IF(AND(ISNUMBER($N91),INT($N91)=CAI_DAT!$B$4,LEFT(UPPER(TRIM($L91)),2)=LEFT(UPPER(TRIM(CAI_DAT!$B$5)),2),$Q91=1,OR(AND($M91="SO",ISNUMBER($P91),$P91&gt;0),AND($M91="MO",ISNUMBER($O91),$O91&gt;0))),1,0)),0)</x:f>
        <x:v>0</x:v>
      </x:c>
      <x:c r="U91" t="str">
        <x:f>IFERROR(IF($T91=0,"",IF($M91="SO",$P91,IF(AND($M91="MO",OR($R91=TRUE,$R91="TRUE"),ISNUMBER($P91),$P91&gt;0),$P91,$O91))),"")</x:f>
      </x:c>
      <x:c r="V91" t="str">
        <x:f>IFERROR(IF($T91=0,"",MOD($N91,1)*86400),"")</x:f>
      </x:c>
      <x:c r="W91" t="str">
        <x:f>IFERROR(IF($T91=0,"",COUNTIFS($T$3:$T$202,1,$V$3:$V$202,"&lt;"&amp;$V91)+COUNTIFS($T$3:$T91,1,$V$3:$V91,$V91)),"")</x:f>
      </x:c>
      <x:c r="X91" t="str">
        <x:f>IFERROR(IF($T91=0,"",IF($M91="SO","SO: dùng CS hoàn thành",IF(AND($M91="MO",OR($R91=TRUE,$R91="TRUE"),ISNUMBER($P91),$P91&gt;0),"MO dừng sớm: dùng CS hoàn thành","MO: dùng CS ra lệnh"))),"")</x:f>
      </x:c>
    </x:row>
    <x:row r="92">
      <x:c r="A92" s="38"/>
      <x:c r="B92" s="142"/>
      <x:c r="C92" s="157"/>
      <x:c r="D92" s="167"/>
      <x:c r="E92" s="167"/>
      <x:c r="F92" s="167"/>
      <x:c r="G92" s="39"/>
      <x:c r="J92" t="str">
        <x:f>IF(LENH_GOC!A93="","",93)</x:f>
      </x:c>
      <x:c r="K92" t="str">
        <x:f>IF(LENH_GOC!A93="","",LENH_GOC!A93)</x:f>
      </x:c>
      <x:c r="L92" t="str">
        <x:f>IF($K92="","",IFERROR(TRIM(LENH_GOC!C93),""))</x:f>
      </x:c>
      <x:c r="M92" t="str">
        <x:f>IF($K92="","",IFERROR(UPPER(TRIM(LENH_GOC!Y93)),""))</x:f>
      </x:c>
      <x:c r="N92" s="249" t="str">
        <x:f>IFERROR(IF($K92="","",IF(LENH_GOC!G93="","",IF(ISNUMBER(LENH_GOC!G93),LENH_GOC!G93,DATE(VALUE(MID(LENH_GOC!G93,7,4)),VALUE(MID(LENH_GOC!G93,4,2)),VALUE(LEFT(LENH_GOC!G93,2)))+TIME(VALUE(MID(LENH_GOC!G93,12,2)),VALUE(MID(LENH_GOC!G93,15,2)),VALUE(MID(LENH_GOC!G93,18,2)))))), "")</x:f>
      </x:c>
      <x:c r="O92" t="str">
        <x:f>IF($K92="","",IF(LENH_GOC!E93="","",LENH_GOC!E93))</x:f>
      </x:c>
      <x:c r="P92" t="str">
        <x:f>IF($K92="","",IF(LENH_GOC!F93="","",LENH_GOC!F93))</x:f>
      </x:c>
      <x:c r="Q92" t="str">
        <x:f>IFERROR(IF($K92="","",IF(LENH_GOC!P93="","",IFERROR(VALUE(LENH_GOC!P93),IF(OR(LENH_GOC!P93=TRUE,UPPER(TRIM(LENH_GOC!P93))="TRUE"),1,0)))),"")</x:f>
      </x:c>
      <x:c r="R92" t="str">
        <x:f>IF($K92="","",IF(LENH_GOC!Q93="","",LENH_GOC!Q93))</x:f>
      </x:c>
      <x:c r="S92" s="249" t="str">
        <x:f>IF($K92="","",IF(LENH_GOC!R93="","",LENH_GOC!R93))</x:f>
      </x:c>
      <x:c r="T92" t="n">
        <x:f>IFERROR(IF($K92="",0,IF(AND(ISNUMBER($N92),INT($N92)=CAI_DAT!$B$4,LEFT(UPPER(TRIM($L92)),2)=LEFT(UPPER(TRIM(CAI_DAT!$B$5)),2),$Q92=1,OR(AND($M92="SO",ISNUMBER($P92),$P92&gt;0),AND($M92="MO",ISNUMBER($O92),$O92&gt;0))),1,0)),0)</x:f>
        <x:v>0</x:v>
      </x:c>
      <x:c r="U92" t="str">
        <x:f>IFERROR(IF($T92=0,"",IF($M92="SO",$P92,IF(AND($M92="MO",OR($R92=TRUE,$R92="TRUE"),ISNUMBER($P92),$P92&gt;0),$P92,$O92))),"")</x:f>
      </x:c>
      <x:c r="V92" t="str">
        <x:f>IFERROR(IF($T92=0,"",MOD($N92,1)*86400),"")</x:f>
      </x:c>
      <x:c r="W92" t="str">
        <x:f>IFERROR(IF($T92=0,"",COUNTIFS($T$3:$T$202,1,$V$3:$V$202,"&lt;"&amp;$V92)+COUNTIFS($T$3:$T92,1,$V$3:$V92,$V92)),"")</x:f>
      </x:c>
      <x:c r="X92" t="str">
        <x:f>IFERROR(IF($T92=0,"",IF($M92="SO","SO: dùng CS hoàn thành",IF(AND($M92="MO",OR($R92=TRUE,$R92="TRUE"),ISNUMBER($P92),$P92&gt;0),"MO dừng sớm: dùng CS hoàn thành","MO: dùng CS ra lệnh"))),"")</x:f>
      </x:c>
    </x:row>
    <x:row r="93">
      <x:c r="A93" s="38"/>
      <x:c r="B93" s="142"/>
      <x:c r="C93" s="157"/>
      <x:c r="D93" s="167"/>
      <x:c r="E93" s="167"/>
      <x:c r="F93" s="167"/>
      <x:c r="G93" s="39"/>
      <x:c r="J93" t="str">
        <x:f>IF(LENH_GOC!A94="","",94)</x:f>
      </x:c>
      <x:c r="K93" t="str">
        <x:f>IF(LENH_GOC!A94="","",LENH_GOC!A94)</x:f>
      </x:c>
      <x:c r="L93" t="str">
        <x:f>IF($K93="","",IFERROR(TRIM(LENH_GOC!C94),""))</x:f>
      </x:c>
      <x:c r="M93" t="str">
        <x:f>IF($K93="","",IFERROR(UPPER(TRIM(LENH_GOC!Y94)),""))</x:f>
      </x:c>
      <x:c r="N93" s="249" t="str">
        <x:f>IFERROR(IF($K93="","",IF(LENH_GOC!G94="","",IF(ISNUMBER(LENH_GOC!G94),LENH_GOC!G94,DATE(VALUE(MID(LENH_GOC!G94,7,4)),VALUE(MID(LENH_GOC!G94,4,2)),VALUE(LEFT(LENH_GOC!G94,2)))+TIME(VALUE(MID(LENH_GOC!G94,12,2)),VALUE(MID(LENH_GOC!G94,15,2)),VALUE(MID(LENH_GOC!G94,18,2)))))), "")</x:f>
      </x:c>
      <x:c r="O93" t="str">
        <x:f>IF($K93="","",IF(LENH_GOC!E94="","",LENH_GOC!E94))</x:f>
      </x:c>
      <x:c r="P93" t="str">
        <x:f>IF($K93="","",IF(LENH_GOC!F94="","",LENH_GOC!F94))</x:f>
      </x:c>
      <x:c r="Q93" t="str">
        <x:f>IFERROR(IF($K93="","",IF(LENH_GOC!P94="","",IFERROR(VALUE(LENH_GOC!P94),IF(OR(LENH_GOC!P94=TRUE,UPPER(TRIM(LENH_GOC!P94))="TRUE"),1,0)))),"")</x:f>
      </x:c>
      <x:c r="R93" t="str">
        <x:f>IF($K93="","",IF(LENH_GOC!Q94="","",LENH_GOC!Q94))</x:f>
      </x:c>
      <x:c r="S93" s="249" t="str">
        <x:f>IF($K93="","",IF(LENH_GOC!R94="","",LENH_GOC!R94))</x:f>
      </x:c>
      <x:c r="T93" t="n">
        <x:f>IFERROR(IF($K93="",0,IF(AND(ISNUMBER($N93),INT($N93)=CAI_DAT!$B$4,LEFT(UPPER(TRIM($L93)),2)=LEFT(UPPER(TRIM(CAI_DAT!$B$5)),2),$Q93=1,OR(AND($M93="SO",ISNUMBER($P93),$P93&gt;0),AND($M93="MO",ISNUMBER($O93),$O93&gt;0))),1,0)),0)</x:f>
        <x:v>0</x:v>
      </x:c>
      <x:c r="U93" t="str">
        <x:f>IFERROR(IF($T93=0,"",IF($M93="SO",$P93,IF(AND($M93="MO",OR($R93=TRUE,$R93="TRUE"),ISNUMBER($P93),$P93&gt;0),$P93,$O93))),"")</x:f>
      </x:c>
      <x:c r="V93" t="str">
        <x:f>IFERROR(IF($T93=0,"",MOD($N93,1)*86400),"")</x:f>
      </x:c>
      <x:c r="W93" t="str">
        <x:f>IFERROR(IF($T93=0,"",COUNTIFS($T$3:$T$202,1,$V$3:$V$202,"&lt;"&amp;$V93)+COUNTIFS($T$3:$T93,1,$V$3:$V93,$V93)),"")</x:f>
      </x:c>
      <x:c r="X93" t="str">
        <x:f>IFERROR(IF($T93=0,"",IF($M93="SO","SO: dùng CS hoàn thành",IF(AND($M93="MO",OR($R93=TRUE,$R93="TRUE"),ISNUMBER($P93),$P93&gt;0),"MO dừng sớm: dùng CS hoàn thành","MO: dùng CS ra lệnh"))),"")</x:f>
      </x:c>
    </x:row>
    <x:row r="94">
      <x:c r="A94" s="38"/>
      <x:c r="B94" s="142"/>
      <x:c r="C94" s="157"/>
      <x:c r="D94" s="167"/>
      <x:c r="E94" s="167"/>
      <x:c r="F94" s="167"/>
      <x:c r="G94" s="39"/>
      <x:c r="J94" t="str">
        <x:f>IF(LENH_GOC!A95="","",95)</x:f>
      </x:c>
      <x:c r="K94" t="str">
        <x:f>IF(LENH_GOC!A95="","",LENH_GOC!A95)</x:f>
      </x:c>
      <x:c r="L94" t="str">
        <x:f>IF($K94="","",IFERROR(TRIM(LENH_GOC!C95),""))</x:f>
      </x:c>
      <x:c r="M94" t="str">
        <x:f>IF($K94="","",IFERROR(UPPER(TRIM(LENH_GOC!Y95)),""))</x:f>
      </x:c>
      <x:c r="N94" s="249" t="str">
        <x:f>IFERROR(IF($K94="","",IF(LENH_GOC!G95="","",IF(ISNUMBER(LENH_GOC!G95),LENH_GOC!G95,DATE(VALUE(MID(LENH_GOC!G95,7,4)),VALUE(MID(LENH_GOC!G95,4,2)),VALUE(LEFT(LENH_GOC!G95,2)))+TIME(VALUE(MID(LENH_GOC!G95,12,2)),VALUE(MID(LENH_GOC!G95,15,2)),VALUE(MID(LENH_GOC!G95,18,2)))))), "")</x:f>
      </x:c>
      <x:c r="O94" t="str">
        <x:f>IF($K94="","",IF(LENH_GOC!E95="","",LENH_GOC!E95))</x:f>
      </x:c>
      <x:c r="P94" t="str">
        <x:f>IF($K94="","",IF(LENH_GOC!F95="","",LENH_GOC!F95))</x:f>
      </x:c>
      <x:c r="Q94" t="str">
        <x:f>IFERROR(IF($K94="","",IF(LENH_GOC!P95="","",IFERROR(VALUE(LENH_GOC!P95),IF(OR(LENH_GOC!P95=TRUE,UPPER(TRIM(LENH_GOC!P95))="TRUE"),1,0)))),"")</x:f>
      </x:c>
      <x:c r="R94" t="str">
        <x:f>IF($K94="","",IF(LENH_GOC!Q95="","",LENH_GOC!Q95))</x:f>
      </x:c>
      <x:c r="S94" s="249" t="str">
        <x:f>IF($K94="","",IF(LENH_GOC!R95="","",LENH_GOC!R95))</x:f>
      </x:c>
      <x:c r="T94" t="n">
        <x:f>IFERROR(IF($K94="",0,IF(AND(ISNUMBER($N94),INT($N94)=CAI_DAT!$B$4,LEFT(UPPER(TRIM($L94)),2)=LEFT(UPPER(TRIM(CAI_DAT!$B$5)),2),$Q94=1,OR(AND($M94="SO",ISNUMBER($P94),$P94&gt;0),AND($M94="MO",ISNUMBER($O94),$O94&gt;0))),1,0)),0)</x:f>
        <x:v>0</x:v>
      </x:c>
      <x:c r="U94" t="str">
        <x:f>IFERROR(IF($T94=0,"",IF($M94="SO",$P94,IF(AND($M94="MO",OR($R94=TRUE,$R94="TRUE"),ISNUMBER($P94),$P94&gt;0),$P94,$O94))),"")</x:f>
      </x:c>
      <x:c r="V94" t="str">
        <x:f>IFERROR(IF($T94=0,"",MOD($N94,1)*86400),"")</x:f>
      </x:c>
      <x:c r="W94" t="str">
        <x:f>IFERROR(IF($T94=0,"",COUNTIFS($T$3:$T$202,1,$V$3:$V$202,"&lt;"&amp;$V94)+COUNTIFS($T$3:$T94,1,$V$3:$V94,$V94)),"")</x:f>
      </x:c>
      <x:c r="X94" t="str">
        <x:f>IFERROR(IF($T94=0,"",IF($M94="SO","SO: dùng CS hoàn thành",IF(AND($M94="MO",OR($R94=TRUE,$R94="TRUE"),ISNUMBER($P94),$P94&gt;0),"MO dừng sớm: dùng CS hoàn thành","MO: dùng CS ra lệnh"))),"")</x:f>
      </x:c>
    </x:row>
    <x:row r="95">
      <x:c r="A95" s="38"/>
      <x:c r="B95" s="142"/>
      <x:c r="C95" s="157"/>
      <x:c r="D95" s="167"/>
      <x:c r="E95" s="167"/>
      <x:c r="F95" s="167"/>
      <x:c r="G95" s="39"/>
      <x:c r="J95" t="str">
        <x:f>IF(LENH_GOC!A96="","",96)</x:f>
      </x:c>
      <x:c r="K95" t="str">
        <x:f>IF(LENH_GOC!A96="","",LENH_GOC!A96)</x:f>
      </x:c>
      <x:c r="L95" t="str">
        <x:f>IF($K95="","",IFERROR(TRIM(LENH_GOC!C96),""))</x:f>
      </x:c>
      <x:c r="M95" t="str">
        <x:f>IF($K95="","",IFERROR(UPPER(TRIM(LENH_GOC!Y96)),""))</x:f>
      </x:c>
      <x:c r="N95" s="249" t="str">
        <x:f>IFERROR(IF($K95="","",IF(LENH_GOC!G96="","",IF(ISNUMBER(LENH_GOC!G96),LENH_GOC!G96,DATE(VALUE(MID(LENH_GOC!G96,7,4)),VALUE(MID(LENH_GOC!G96,4,2)),VALUE(LEFT(LENH_GOC!G96,2)))+TIME(VALUE(MID(LENH_GOC!G96,12,2)),VALUE(MID(LENH_GOC!G96,15,2)),VALUE(MID(LENH_GOC!G96,18,2)))))), "")</x:f>
      </x:c>
      <x:c r="O95" t="str">
        <x:f>IF($K95="","",IF(LENH_GOC!E96="","",LENH_GOC!E96))</x:f>
      </x:c>
      <x:c r="P95" t="str">
        <x:f>IF($K95="","",IF(LENH_GOC!F96="","",LENH_GOC!F96))</x:f>
      </x:c>
      <x:c r="Q95" t="str">
        <x:f>IFERROR(IF($K95="","",IF(LENH_GOC!P96="","",IFERROR(VALUE(LENH_GOC!P96),IF(OR(LENH_GOC!P96=TRUE,UPPER(TRIM(LENH_GOC!P96))="TRUE"),1,0)))),"")</x:f>
      </x:c>
      <x:c r="R95" t="str">
        <x:f>IF($K95="","",IF(LENH_GOC!Q96="","",LENH_GOC!Q96))</x:f>
      </x:c>
      <x:c r="S95" s="249" t="str">
        <x:f>IF($K95="","",IF(LENH_GOC!R96="","",LENH_GOC!R96))</x:f>
      </x:c>
      <x:c r="T95" t="n">
        <x:f>IFERROR(IF($K95="",0,IF(AND(ISNUMBER($N95),INT($N95)=CAI_DAT!$B$4,LEFT(UPPER(TRIM($L95)),2)=LEFT(UPPER(TRIM(CAI_DAT!$B$5)),2),$Q95=1,OR(AND($M95="SO",ISNUMBER($P95),$P95&gt;0),AND($M95="MO",ISNUMBER($O95),$O95&gt;0))),1,0)),0)</x:f>
        <x:v>0</x:v>
      </x:c>
      <x:c r="U95" t="str">
        <x:f>IFERROR(IF($T95=0,"",IF($M95="SO",$P95,IF(AND($M95="MO",OR($R95=TRUE,$R95="TRUE"),ISNUMBER($P95),$P95&gt;0),$P95,$O95))),"")</x:f>
      </x:c>
      <x:c r="V95" t="str">
        <x:f>IFERROR(IF($T95=0,"",MOD($N95,1)*86400),"")</x:f>
      </x:c>
      <x:c r="W95" t="str">
        <x:f>IFERROR(IF($T95=0,"",COUNTIFS($T$3:$T$202,1,$V$3:$V$202,"&lt;"&amp;$V95)+COUNTIFS($T$3:$T95,1,$V$3:$V95,$V95)),"")</x:f>
      </x:c>
      <x:c r="X95" t="str">
        <x:f>IFERROR(IF($T95=0,"",IF($M95="SO","SO: dùng CS hoàn thành",IF(AND($M95="MO",OR($R95=TRUE,$R95="TRUE"),ISNUMBER($P95),$P95&gt;0),"MO dừng sớm: dùng CS hoàn thành","MO: dùng CS ra lệnh"))),"")</x:f>
      </x:c>
    </x:row>
    <x:row r="96">
      <x:c r="A96" s="38"/>
      <x:c r="B96" s="142"/>
      <x:c r="C96" s="157"/>
      <x:c r="D96" s="167"/>
      <x:c r="E96" s="167"/>
      <x:c r="F96" s="167"/>
      <x:c r="G96" s="39"/>
      <x:c r="J96" t="str">
        <x:f>IF(LENH_GOC!A97="","",97)</x:f>
      </x:c>
      <x:c r="K96" t="str">
        <x:f>IF(LENH_GOC!A97="","",LENH_GOC!A97)</x:f>
      </x:c>
      <x:c r="L96" t="str">
        <x:f>IF($K96="","",IFERROR(TRIM(LENH_GOC!C97),""))</x:f>
      </x:c>
      <x:c r="M96" t="str">
        <x:f>IF($K96="","",IFERROR(UPPER(TRIM(LENH_GOC!Y97)),""))</x:f>
      </x:c>
      <x:c r="N96" s="249" t="str">
        <x:f>IFERROR(IF($K96="","",IF(LENH_GOC!G97="","",IF(ISNUMBER(LENH_GOC!G97),LENH_GOC!G97,DATE(VALUE(MID(LENH_GOC!G97,7,4)),VALUE(MID(LENH_GOC!G97,4,2)),VALUE(LEFT(LENH_GOC!G97,2)))+TIME(VALUE(MID(LENH_GOC!G97,12,2)),VALUE(MID(LENH_GOC!G97,15,2)),VALUE(MID(LENH_GOC!G97,18,2)))))), "")</x:f>
      </x:c>
      <x:c r="O96" t="str">
        <x:f>IF($K96="","",IF(LENH_GOC!E97="","",LENH_GOC!E97))</x:f>
      </x:c>
      <x:c r="P96" t="str">
        <x:f>IF($K96="","",IF(LENH_GOC!F97="","",LENH_GOC!F97))</x:f>
      </x:c>
      <x:c r="Q96" t="str">
        <x:f>IFERROR(IF($K96="","",IF(LENH_GOC!P97="","",IFERROR(VALUE(LENH_GOC!P97),IF(OR(LENH_GOC!P97=TRUE,UPPER(TRIM(LENH_GOC!P97))="TRUE"),1,0)))),"")</x:f>
      </x:c>
      <x:c r="R96" t="str">
        <x:f>IF($K96="","",IF(LENH_GOC!Q97="","",LENH_GOC!Q97))</x:f>
      </x:c>
      <x:c r="S96" s="249" t="str">
        <x:f>IF($K96="","",IF(LENH_GOC!R97="","",LENH_GOC!R97))</x:f>
      </x:c>
      <x:c r="T96" t="n">
        <x:f>IFERROR(IF($K96="",0,IF(AND(ISNUMBER($N96),INT($N96)=CAI_DAT!$B$4,LEFT(UPPER(TRIM($L96)),2)=LEFT(UPPER(TRIM(CAI_DAT!$B$5)),2),$Q96=1,OR(AND($M96="SO",ISNUMBER($P96),$P96&gt;0),AND($M96="MO",ISNUMBER($O96),$O96&gt;0))),1,0)),0)</x:f>
        <x:v>0</x:v>
      </x:c>
      <x:c r="U96" t="str">
        <x:f>IFERROR(IF($T96=0,"",IF($M96="SO",$P96,IF(AND($M96="MO",OR($R96=TRUE,$R96="TRUE"),ISNUMBER($P96),$P96&gt;0),$P96,$O96))),"")</x:f>
      </x:c>
      <x:c r="V96" t="str">
        <x:f>IFERROR(IF($T96=0,"",MOD($N96,1)*86400),"")</x:f>
      </x:c>
      <x:c r="W96" t="str">
        <x:f>IFERROR(IF($T96=0,"",COUNTIFS($T$3:$T$202,1,$V$3:$V$202,"&lt;"&amp;$V96)+COUNTIFS($T$3:$T96,1,$V$3:$V96,$V96)),"")</x:f>
      </x:c>
      <x:c r="X96" t="str">
        <x:f>IFERROR(IF($T96=0,"",IF($M96="SO","SO: dùng CS hoàn thành",IF(AND($M96="MO",OR($R96=TRUE,$R96="TRUE"),ISNUMBER($P96),$P96&gt;0),"MO dừng sớm: dùng CS hoàn thành","MO: dùng CS ra lệnh"))),"")</x:f>
      </x:c>
    </x:row>
    <x:row r="97">
      <x:c r="A97" s="38"/>
      <x:c r="B97" s="142"/>
      <x:c r="C97" s="157"/>
      <x:c r="D97" s="167"/>
      <x:c r="E97" s="167"/>
      <x:c r="F97" s="167"/>
      <x:c r="G97" s="39"/>
      <x:c r="J97" t="str">
        <x:f>IF(LENH_GOC!A98="","",98)</x:f>
      </x:c>
      <x:c r="K97" t="str">
        <x:f>IF(LENH_GOC!A98="","",LENH_GOC!A98)</x:f>
      </x:c>
      <x:c r="L97" t="str">
        <x:f>IF($K97="","",IFERROR(TRIM(LENH_GOC!C98),""))</x:f>
      </x:c>
      <x:c r="M97" t="str">
        <x:f>IF($K97="","",IFERROR(UPPER(TRIM(LENH_GOC!Y98)),""))</x:f>
      </x:c>
      <x:c r="N97" s="249" t="str">
        <x:f>IFERROR(IF($K97="","",IF(LENH_GOC!G98="","",IF(ISNUMBER(LENH_GOC!G98),LENH_GOC!G98,DATE(VALUE(MID(LENH_GOC!G98,7,4)),VALUE(MID(LENH_GOC!G98,4,2)),VALUE(LEFT(LENH_GOC!G98,2)))+TIME(VALUE(MID(LENH_GOC!G98,12,2)),VALUE(MID(LENH_GOC!G98,15,2)),VALUE(MID(LENH_GOC!G98,18,2)))))), "")</x:f>
      </x:c>
      <x:c r="O97" t="str">
        <x:f>IF($K97="","",IF(LENH_GOC!E98="","",LENH_GOC!E98))</x:f>
      </x:c>
      <x:c r="P97" t="str">
        <x:f>IF($K97="","",IF(LENH_GOC!F98="","",LENH_GOC!F98))</x:f>
      </x:c>
      <x:c r="Q97" t="str">
        <x:f>IFERROR(IF($K97="","",IF(LENH_GOC!P98="","",IFERROR(VALUE(LENH_GOC!P98),IF(OR(LENH_GOC!P98=TRUE,UPPER(TRIM(LENH_GOC!P98))="TRUE"),1,0)))),"")</x:f>
      </x:c>
      <x:c r="R97" t="str">
        <x:f>IF($K97="","",IF(LENH_GOC!Q98="","",LENH_GOC!Q98))</x:f>
      </x:c>
      <x:c r="S97" s="249" t="str">
        <x:f>IF($K97="","",IF(LENH_GOC!R98="","",LENH_GOC!R98))</x:f>
      </x:c>
      <x:c r="T97" t="n">
        <x:f>IFERROR(IF($K97="",0,IF(AND(ISNUMBER($N97),INT($N97)=CAI_DAT!$B$4,LEFT(UPPER(TRIM($L97)),2)=LEFT(UPPER(TRIM(CAI_DAT!$B$5)),2),$Q97=1,OR(AND($M97="SO",ISNUMBER($P97),$P97&gt;0),AND($M97="MO",ISNUMBER($O97),$O97&gt;0))),1,0)),0)</x:f>
        <x:v>0</x:v>
      </x:c>
      <x:c r="U97" t="str">
        <x:f>IFERROR(IF($T97=0,"",IF($M97="SO",$P97,IF(AND($M97="MO",OR($R97=TRUE,$R97="TRUE"),ISNUMBER($P97),$P97&gt;0),$P97,$O97))),"")</x:f>
      </x:c>
      <x:c r="V97" t="str">
        <x:f>IFERROR(IF($T97=0,"",MOD($N97,1)*86400),"")</x:f>
      </x:c>
      <x:c r="W97" t="str">
        <x:f>IFERROR(IF($T97=0,"",COUNTIFS($T$3:$T$202,1,$V$3:$V$202,"&lt;"&amp;$V97)+COUNTIFS($T$3:$T97,1,$V$3:$V97,$V97)),"")</x:f>
      </x:c>
      <x:c r="X97" t="str">
        <x:f>IFERROR(IF($T97=0,"",IF($M97="SO","SO: dùng CS hoàn thành",IF(AND($M97="MO",OR($R97=TRUE,$R97="TRUE"),ISNUMBER($P97),$P97&gt;0),"MO dừng sớm: dùng CS hoàn thành","MO: dùng CS ra lệnh"))),"")</x:f>
      </x:c>
    </x:row>
    <x:row r="98">
      <x:c r="A98" s="38"/>
      <x:c r="B98" s="142"/>
      <x:c r="C98" s="157"/>
      <x:c r="D98" s="167"/>
      <x:c r="E98" s="167"/>
      <x:c r="F98" s="167"/>
      <x:c r="G98" s="39"/>
      <x:c r="J98" t="str">
        <x:f>IF(LENH_GOC!A99="","",99)</x:f>
      </x:c>
      <x:c r="K98" t="str">
        <x:f>IF(LENH_GOC!A99="","",LENH_GOC!A99)</x:f>
      </x:c>
      <x:c r="L98" t="str">
        <x:f>IF($K98="","",IFERROR(TRIM(LENH_GOC!C99),""))</x:f>
      </x:c>
      <x:c r="M98" t="str">
        <x:f>IF($K98="","",IFERROR(UPPER(TRIM(LENH_GOC!Y99)),""))</x:f>
      </x:c>
      <x:c r="N98" s="249" t="str">
        <x:f>IFERROR(IF($K98="","",IF(LENH_GOC!G99="","",IF(ISNUMBER(LENH_GOC!G99),LENH_GOC!G99,DATE(VALUE(MID(LENH_GOC!G99,7,4)),VALUE(MID(LENH_GOC!G99,4,2)),VALUE(LEFT(LENH_GOC!G99,2)))+TIME(VALUE(MID(LENH_GOC!G99,12,2)),VALUE(MID(LENH_GOC!G99,15,2)),VALUE(MID(LENH_GOC!G99,18,2)))))), "")</x:f>
      </x:c>
      <x:c r="O98" t="str">
        <x:f>IF($K98="","",IF(LENH_GOC!E99="","",LENH_GOC!E99))</x:f>
      </x:c>
      <x:c r="P98" t="str">
        <x:f>IF($K98="","",IF(LENH_GOC!F99="","",LENH_GOC!F99))</x:f>
      </x:c>
      <x:c r="Q98" t="str">
        <x:f>IFERROR(IF($K98="","",IF(LENH_GOC!P99="","",IFERROR(VALUE(LENH_GOC!P99),IF(OR(LENH_GOC!P99=TRUE,UPPER(TRIM(LENH_GOC!P99))="TRUE"),1,0)))),"")</x:f>
      </x:c>
      <x:c r="R98" t="str">
        <x:f>IF($K98="","",IF(LENH_GOC!Q99="","",LENH_GOC!Q99))</x:f>
      </x:c>
      <x:c r="S98" s="249" t="str">
        <x:f>IF($K98="","",IF(LENH_GOC!R99="","",LENH_GOC!R99))</x:f>
      </x:c>
      <x:c r="T98" t="n">
        <x:f>IFERROR(IF($K98="",0,IF(AND(ISNUMBER($N98),INT($N98)=CAI_DAT!$B$4,LEFT(UPPER(TRIM($L98)),2)=LEFT(UPPER(TRIM(CAI_DAT!$B$5)),2),$Q98=1,OR(AND($M98="SO",ISNUMBER($P98),$P98&gt;0),AND($M98="MO",ISNUMBER($O98),$O98&gt;0))),1,0)),0)</x:f>
        <x:v>0</x:v>
      </x:c>
      <x:c r="U98" t="str">
        <x:f>IFERROR(IF($T98=0,"",IF($M98="SO",$P98,IF(AND($M98="MO",OR($R98=TRUE,$R98="TRUE"),ISNUMBER($P98),$P98&gt;0),$P98,$O98))),"")</x:f>
      </x:c>
      <x:c r="V98" t="str">
        <x:f>IFERROR(IF($T98=0,"",MOD($N98,1)*86400),"")</x:f>
      </x:c>
      <x:c r="W98" t="str">
        <x:f>IFERROR(IF($T98=0,"",COUNTIFS($T$3:$T$202,1,$V$3:$V$202,"&lt;"&amp;$V98)+COUNTIFS($T$3:$T98,1,$V$3:$V98,$V98)),"")</x:f>
      </x:c>
      <x:c r="X98" t="str">
        <x:f>IFERROR(IF($T98=0,"",IF($M98="SO","SO: dùng CS hoàn thành",IF(AND($M98="MO",OR($R98=TRUE,$R98="TRUE"),ISNUMBER($P98),$P98&gt;0),"MO dừng sớm: dùng CS hoàn thành","MO: dùng CS ra lệnh"))),"")</x:f>
      </x:c>
    </x:row>
    <x:row r="99">
      <x:c r="A99" s="38"/>
      <x:c r="B99" s="142"/>
      <x:c r="C99" s="157"/>
      <x:c r="D99" s="167"/>
      <x:c r="E99" s="167"/>
      <x:c r="F99" s="167"/>
      <x:c r="G99" s="39"/>
      <x:c r="J99" t="str">
        <x:f>IF(LENH_GOC!A100="","",100)</x:f>
      </x:c>
      <x:c r="K99" t="str">
        <x:f>IF(LENH_GOC!A100="","",LENH_GOC!A100)</x:f>
      </x:c>
      <x:c r="L99" t="str">
        <x:f>IF($K99="","",IFERROR(TRIM(LENH_GOC!C100),""))</x:f>
      </x:c>
      <x:c r="M99" t="str">
        <x:f>IF($K99="","",IFERROR(UPPER(TRIM(LENH_GOC!Y100)),""))</x:f>
      </x:c>
      <x:c r="N99" s="249" t="str">
        <x:f>IFERROR(IF($K99="","",IF(LENH_GOC!G100="","",IF(ISNUMBER(LENH_GOC!G100),LENH_GOC!G100,DATE(VALUE(MID(LENH_GOC!G100,7,4)),VALUE(MID(LENH_GOC!G100,4,2)),VALUE(LEFT(LENH_GOC!G100,2)))+TIME(VALUE(MID(LENH_GOC!G100,12,2)),VALUE(MID(LENH_GOC!G100,15,2)),VALUE(MID(LENH_GOC!G100,18,2)))))), "")</x:f>
      </x:c>
      <x:c r="O99" t="str">
        <x:f>IF($K99="","",IF(LENH_GOC!E100="","",LENH_GOC!E100))</x:f>
      </x:c>
      <x:c r="P99" t="str">
        <x:f>IF($K99="","",IF(LENH_GOC!F100="","",LENH_GOC!F100))</x:f>
      </x:c>
      <x:c r="Q99" t="str">
        <x:f>IFERROR(IF($K99="","",IF(LENH_GOC!P100="","",IFERROR(VALUE(LENH_GOC!P100),IF(OR(LENH_GOC!P100=TRUE,UPPER(TRIM(LENH_GOC!P100))="TRUE"),1,0)))),"")</x:f>
      </x:c>
      <x:c r="R99" t="str">
        <x:f>IF($K99="","",IF(LENH_GOC!Q100="","",LENH_GOC!Q100))</x:f>
      </x:c>
      <x:c r="S99" s="249" t="str">
        <x:f>IF($K99="","",IF(LENH_GOC!R100="","",LENH_GOC!R100))</x:f>
      </x:c>
      <x:c r="T99" t="n">
        <x:f>IFERROR(IF($K99="",0,IF(AND(ISNUMBER($N99),INT($N99)=CAI_DAT!$B$4,LEFT(UPPER(TRIM($L99)),2)=LEFT(UPPER(TRIM(CAI_DAT!$B$5)),2),$Q99=1,OR(AND($M99="SO",ISNUMBER($P99),$P99&gt;0),AND($M99="MO",ISNUMBER($O99),$O99&gt;0))),1,0)),0)</x:f>
        <x:v>0</x:v>
      </x:c>
      <x:c r="U99" t="str">
        <x:f>IFERROR(IF($T99=0,"",IF($M99="SO",$P99,IF(AND($M99="MO",OR($R99=TRUE,$R99="TRUE"),ISNUMBER($P99),$P99&gt;0),$P99,$O99))),"")</x:f>
      </x:c>
      <x:c r="V99" t="str">
        <x:f>IFERROR(IF($T99=0,"",MOD($N99,1)*86400),"")</x:f>
      </x:c>
      <x:c r="W99" t="str">
        <x:f>IFERROR(IF($T99=0,"",COUNTIFS($T$3:$T$202,1,$V$3:$V$202,"&lt;"&amp;$V99)+COUNTIFS($T$3:$T99,1,$V$3:$V99,$V99)),"")</x:f>
      </x:c>
      <x:c r="X99" t="str">
        <x:f>IFERROR(IF($T99=0,"",IF($M99="SO","SO: dùng CS hoàn thành",IF(AND($M99="MO",OR($R99=TRUE,$R99="TRUE"),ISNUMBER($P99),$P99&gt;0),"MO dừng sớm: dùng CS hoàn thành","MO: dùng CS ra lệnh"))),"")</x:f>
      </x:c>
    </x:row>
    <x:row r="100">
      <x:c r="A100" s="38"/>
      <x:c r="B100" s="142"/>
      <x:c r="C100" s="157"/>
      <x:c r="D100" s="167"/>
      <x:c r="E100" s="167"/>
      <x:c r="F100" s="167"/>
      <x:c r="G100" s="39"/>
      <x:c r="J100" t="str">
        <x:f>IF(LENH_GOC!A101="","",101)</x:f>
      </x:c>
      <x:c r="K100" t="str">
        <x:f>IF(LENH_GOC!A101="","",LENH_GOC!A101)</x:f>
      </x:c>
      <x:c r="L100" t="str">
        <x:f>IF($K100="","",IFERROR(TRIM(LENH_GOC!C101),""))</x:f>
      </x:c>
      <x:c r="M100" t="str">
        <x:f>IF($K100="","",IFERROR(UPPER(TRIM(LENH_GOC!Y101)),""))</x:f>
      </x:c>
      <x:c r="N100" s="249" t="str">
        <x:f>IFERROR(IF($K100="","",IF(LENH_GOC!G101="","",IF(ISNUMBER(LENH_GOC!G101),LENH_GOC!G101,DATE(VALUE(MID(LENH_GOC!G101,7,4)),VALUE(MID(LENH_GOC!G101,4,2)),VALUE(LEFT(LENH_GOC!G101,2)))+TIME(VALUE(MID(LENH_GOC!G101,12,2)),VALUE(MID(LENH_GOC!G101,15,2)),VALUE(MID(LENH_GOC!G101,18,2)))))), "")</x:f>
      </x:c>
      <x:c r="O100" t="str">
        <x:f>IF($K100="","",IF(LENH_GOC!E101="","",LENH_GOC!E101))</x:f>
      </x:c>
      <x:c r="P100" t="str">
        <x:f>IF($K100="","",IF(LENH_GOC!F101="","",LENH_GOC!F101))</x:f>
      </x:c>
      <x:c r="Q100" t="str">
        <x:f>IFERROR(IF($K100="","",IF(LENH_GOC!P101="","",IFERROR(VALUE(LENH_GOC!P101),IF(OR(LENH_GOC!P101=TRUE,UPPER(TRIM(LENH_GOC!P101))="TRUE"),1,0)))),"")</x:f>
      </x:c>
      <x:c r="R100" t="str">
        <x:f>IF($K100="","",IF(LENH_GOC!Q101="","",LENH_GOC!Q101))</x:f>
      </x:c>
      <x:c r="S100" s="249" t="str">
        <x:f>IF($K100="","",IF(LENH_GOC!R101="","",LENH_GOC!R101))</x:f>
      </x:c>
      <x:c r="T100" t="n">
        <x:f>IFERROR(IF($K100="",0,IF(AND(ISNUMBER($N100),INT($N100)=CAI_DAT!$B$4,LEFT(UPPER(TRIM($L100)),2)=LEFT(UPPER(TRIM(CAI_DAT!$B$5)),2),$Q100=1,OR(AND($M100="SO",ISNUMBER($P100),$P100&gt;0),AND($M100="MO",ISNUMBER($O100),$O100&gt;0))),1,0)),0)</x:f>
        <x:v>0</x:v>
      </x:c>
      <x:c r="U100" t="str">
        <x:f>IFERROR(IF($T100=0,"",IF($M100="SO",$P100,IF(AND($M100="MO",OR($R100=TRUE,$R100="TRUE"),ISNUMBER($P100),$P100&gt;0),$P100,$O100))),"")</x:f>
      </x:c>
      <x:c r="V100" t="str">
        <x:f>IFERROR(IF($T100=0,"",MOD($N100,1)*86400),"")</x:f>
      </x:c>
      <x:c r="W100" t="str">
        <x:f>IFERROR(IF($T100=0,"",COUNTIFS($T$3:$T$202,1,$V$3:$V$202,"&lt;"&amp;$V100)+COUNTIFS($T$3:$T100,1,$V$3:$V100,$V100)),"")</x:f>
      </x:c>
      <x:c r="X100" t="str">
        <x:f>IFERROR(IF($T100=0,"",IF($M100="SO","SO: dùng CS hoàn thành",IF(AND($M100="MO",OR($R100=TRUE,$R100="TRUE"),ISNUMBER($P100),$P100&gt;0),"MO dừng sớm: dùng CS hoàn thành","MO: dùng CS ra lệnh"))),"")</x:f>
      </x:c>
    </x:row>
    <x:row r="101">
      <x:c r="A101" s="38"/>
      <x:c r="B101" s="142"/>
      <x:c r="C101" s="157"/>
      <x:c r="D101" s="167"/>
      <x:c r="E101" s="167"/>
      <x:c r="F101" s="167"/>
      <x:c r="G101" s="39"/>
      <x:c r="J101" t="str">
        <x:f>IF(LENH_GOC!A102="","",102)</x:f>
      </x:c>
      <x:c r="K101" t="str">
        <x:f>IF(LENH_GOC!A102="","",LENH_GOC!A102)</x:f>
      </x:c>
      <x:c r="L101" t="str">
        <x:f>IF($K101="","",IFERROR(TRIM(LENH_GOC!C102),""))</x:f>
      </x:c>
      <x:c r="M101" t="str">
        <x:f>IF($K101="","",IFERROR(UPPER(TRIM(LENH_GOC!Y102)),""))</x:f>
      </x:c>
      <x:c r="N101" s="249" t="str">
        <x:f>IFERROR(IF($K101="","",IF(LENH_GOC!G102="","",IF(ISNUMBER(LENH_GOC!G102),LENH_GOC!G102,DATE(VALUE(MID(LENH_GOC!G102,7,4)),VALUE(MID(LENH_GOC!G102,4,2)),VALUE(LEFT(LENH_GOC!G102,2)))+TIME(VALUE(MID(LENH_GOC!G102,12,2)),VALUE(MID(LENH_GOC!G102,15,2)),VALUE(MID(LENH_GOC!G102,18,2)))))), "")</x:f>
      </x:c>
      <x:c r="O101" t="str">
        <x:f>IF($K101="","",IF(LENH_GOC!E102="","",LENH_GOC!E102))</x:f>
      </x:c>
      <x:c r="P101" t="str">
        <x:f>IF($K101="","",IF(LENH_GOC!F102="","",LENH_GOC!F102))</x:f>
      </x:c>
      <x:c r="Q101" t="str">
        <x:f>IFERROR(IF($K101="","",IF(LENH_GOC!P102="","",IFERROR(VALUE(LENH_GOC!P102),IF(OR(LENH_GOC!P102=TRUE,UPPER(TRIM(LENH_GOC!P102))="TRUE"),1,0)))),"")</x:f>
      </x:c>
      <x:c r="R101" t="str">
        <x:f>IF($K101="","",IF(LENH_GOC!Q102="","",LENH_GOC!Q102))</x:f>
      </x:c>
      <x:c r="S101" s="249" t="str">
        <x:f>IF($K101="","",IF(LENH_GOC!R102="","",LENH_GOC!R102))</x:f>
      </x:c>
      <x:c r="T101" t="n">
        <x:f>IFERROR(IF($K101="",0,IF(AND(ISNUMBER($N101),INT($N101)=CAI_DAT!$B$4,LEFT(UPPER(TRIM($L101)),2)=LEFT(UPPER(TRIM(CAI_DAT!$B$5)),2),$Q101=1,OR(AND($M101="SO",ISNUMBER($P101),$P101&gt;0),AND($M101="MO",ISNUMBER($O101),$O101&gt;0))),1,0)),0)</x:f>
        <x:v>0</x:v>
      </x:c>
      <x:c r="U101" t="str">
        <x:f>IFERROR(IF($T101=0,"",IF($M101="SO",$P101,IF(AND($M101="MO",OR($R101=TRUE,$R101="TRUE"),ISNUMBER($P101),$P101&gt;0),$P101,$O101))),"")</x:f>
      </x:c>
      <x:c r="V101" t="str">
        <x:f>IFERROR(IF($T101=0,"",MOD($N101,1)*86400),"")</x:f>
      </x:c>
      <x:c r="W101" t="str">
        <x:f>IFERROR(IF($T101=0,"",COUNTIFS($T$3:$T$202,1,$V$3:$V$202,"&lt;"&amp;$V101)+COUNTIFS($T$3:$T101,1,$V$3:$V101,$V101)),"")</x:f>
      </x:c>
      <x:c r="X101" t="str">
        <x:f>IFERROR(IF($T101=0,"",IF($M101="SO","SO: dùng CS hoàn thành",IF(AND($M101="MO",OR($R101=TRUE,$R101="TRUE"),ISNUMBER($P101),$P101&gt;0),"MO dừng sớm: dùng CS hoàn thành","MO: dùng CS ra lệnh"))),"")</x:f>
      </x:c>
    </x:row>
    <x:row r="102">
      <x:c r="A102" s="40"/>
      <x:c r="B102" s="144"/>
      <x:c r="C102" s="158"/>
      <x:c r="D102" s="168"/>
      <x:c r="E102" s="168"/>
      <x:c r="F102" s="168"/>
      <x:c r="G102" s="41"/>
      <x:c r="J102" t="str">
        <x:f>IF(LENH_GOC!A103="","",103)</x:f>
      </x:c>
      <x:c r="K102" t="str">
        <x:f>IF(LENH_GOC!A103="","",LENH_GOC!A103)</x:f>
      </x:c>
      <x:c r="L102" t="str">
        <x:f>IF($K102="","",IFERROR(TRIM(LENH_GOC!C103),""))</x:f>
      </x:c>
      <x:c r="M102" t="str">
        <x:f>IF($K102="","",IFERROR(UPPER(TRIM(LENH_GOC!Y103)),""))</x:f>
      </x:c>
      <x:c r="N102" s="249" t="str">
        <x:f>IFERROR(IF($K102="","",IF(LENH_GOC!G103="","",IF(ISNUMBER(LENH_GOC!G103),LENH_GOC!G103,DATE(VALUE(MID(LENH_GOC!G103,7,4)),VALUE(MID(LENH_GOC!G103,4,2)),VALUE(LEFT(LENH_GOC!G103,2)))+TIME(VALUE(MID(LENH_GOC!G103,12,2)),VALUE(MID(LENH_GOC!G103,15,2)),VALUE(MID(LENH_GOC!G103,18,2)))))), "")</x:f>
      </x:c>
      <x:c r="O102" t="str">
        <x:f>IF($K102="","",IF(LENH_GOC!E103="","",LENH_GOC!E103))</x:f>
      </x:c>
      <x:c r="P102" t="str">
        <x:f>IF($K102="","",IF(LENH_GOC!F103="","",LENH_GOC!F103))</x:f>
      </x:c>
      <x:c r="Q102" t="str">
        <x:f>IFERROR(IF($K102="","",IF(LENH_GOC!P103="","",IFERROR(VALUE(LENH_GOC!P103),IF(OR(LENH_GOC!P103=TRUE,UPPER(TRIM(LENH_GOC!P103))="TRUE"),1,0)))),"")</x:f>
      </x:c>
      <x:c r="R102" t="str">
        <x:f>IF($K102="","",IF(LENH_GOC!Q103="","",LENH_GOC!Q103))</x:f>
      </x:c>
      <x:c r="S102" s="249" t="str">
        <x:f>IF($K102="","",IF(LENH_GOC!R103="","",LENH_GOC!R103))</x:f>
      </x:c>
      <x:c r="T102" t="n">
        <x:f>IFERROR(IF($K102="",0,IF(AND(ISNUMBER($N102),INT($N102)=CAI_DAT!$B$4,LEFT(UPPER(TRIM($L102)),2)=LEFT(UPPER(TRIM(CAI_DAT!$B$5)),2),$Q102=1,OR(AND($M102="SO",ISNUMBER($P102),$P102&gt;0),AND($M102="MO",ISNUMBER($O102),$O102&gt;0))),1,0)),0)</x:f>
        <x:v>0</x:v>
      </x:c>
      <x:c r="U102" t="str">
        <x:f>IFERROR(IF($T102=0,"",IF($M102="SO",$P102,IF(AND($M102="MO",OR($R102=TRUE,$R102="TRUE"),ISNUMBER($P102),$P102&gt;0),$P102,$O102))),"")</x:f>
      </x:c>
      <x:c r="V102" t="str">
        <x:f>IFERROR(IF($T102=0,"",MOD($N102,1)*86400),"")</x:f>
      </x:c>
      <x:c r="W102" t="str">
        <x:f>IFERROR(IF($T102=0,"",COUNTIFS($T$3:$T$202,1,$V$3:$V$202,"&lt;"&amp;$V102)+COUNTIFS($T$3:$T102,1,$V$3:$V102,$V102)),"")</x:f>
      </x:c>
      <x:c r="X102" t="str">
        <x:f>IFERROR(IF($T102=0,"",IF($M102="SO","SO: dùng CS hoàn thành",IF(AND($M102="MO",OR($R102=TRUE,$R102="TRUE"),ISNUMBER($P102),$P102&gt;0),"MO dừng sớm: dùng CS hoàn thành","MO: dùng CS ra lệnh"))),"")</x:f>
      </x:c>
    </x:row>
    <x:row r="103">
      <x:c r="J103" t="str">
        <x:f>IF(LENH_GOC!A104="","",104)</x:f>
      </x:c>
      <x:c r="K103" t="str">
        <x:f>IF(LENH_GOC!A104="","",LENH_GOC!A104)</x:f>
      </x:c>
      <x:c r="L103" t="str">
        <x:f>IF($K103="","",IFERROR(TRIM(LENH_GOC!C104),""))</x:f>
      </x:c>
      <x:c r="M103" t="str">
        <x:f>IF($K103="","",IFERROR(UPPER(TRIM(LENH_GOC!Y104)),""))</x:f>
      </x:c>
      <x:c r="N103" s="249" t="str">
        <x:f>IFERROR(IF($K103="","",IF(LENH_GOC!G104="","",IF(ISNUMBER(LENH_GOC!G104),LENH_GOC!G104,DATE(VALUE(MID(LENH_GOC!G104,7,4)),VALUE(MID(LENH_GOC!G104,4,2)),VALUE(LEFT(LENH_GOC!G104,2)))+TIME(VALUE(MID(LENH_GOC!G104,12,2)),VALUE(MID(LENH_GOC!G104,15,2)),VALUE(MID(LENH_GOC!G104,18,2)))))), "")</x:f>
      </x:c>
      <x:c r="O103" t="str">
        <x:f>IF($K103="","",IF(LENH_GOC!E104="","",LENH_GOC!E104))</x:f>
      </x:c>
      <x:c r="P103" t="str">
        <x:f>IF($K103="","",IF(LENH_GOC!F104="","",LENH_GOC!F104))</x:f>
      </x:c>
      <x:c r="Q103" t="str">
        <x:f>IFERROR(IF($K103="","",IF(LENH_GOC!P104="","",IFERROR(VALUE(LENH_GOC!P104),IF(OR(LENH_GOC!P104=TRUE,UPPER(TRIM(LENH_GOC!P104))="TRUE"),1,0)))),"")</x:f>
      </x:c>
      <x:c r="R103" t="str">
        <x:f>IF($K103="","",IF(LENH_GOC!Q104="","",LENH_GOC!Q104))</x:f>
      </x:c>
      <x:c r="S103" s="249" t="str">
        <x:f>IF($K103="","",IF(LENH_GOC!R104="","",LENH_GOC!R104))</x:f>
      </x:c>
      <x:c r="T103" t="n">
        <x:f>IFERROR(IF($K103="",0,IF(AND(ISNUMBER($N103),INT($N103)=CAI_DAT!$B$4,LEFT(UPPER(TRIM($L103)),2)=LEFT(UPPER(TRIM(CAI_DAT!$B$5)),2),$Q103=1,OR(AND($M103="SO",ISNUMBER($P103),$P103&gt;0),AND($M103="MO",ISNUMBER($O103),$O103&gt;0))),1,0)),0)</x:f>
        <x:v>0</x:v>
      </x:c>
      <x:c r="U103" t="str">
        <x:f>IFERROR(IF($T103=0,"",IF($M103="SO",$P103,IF(AND($M103="MO",OR($R103=TRUE,$R103="TRUE"),ISNUMBER($P103),$P103&gt;0),$P103,$O103))),"")</x:f>
      </x:c>
      <x:c r="V103" t="str">
        <x:f>IFERROR(IF($T103=0,"",MOD($N103,1)*86400),"")</x:f>
      </x:c>
      <x:c r="W103" t="str">
        <x:f>IFERROR(IF($T103=0,"",COUNTIFS($T$3:$T$202,1,$V$3:$V$202,"&lt;"&amp;$V103)+COUNTIFS($T$3:$T103,1,$V$3:$V103,$V103)),"")</x:f>
      </x:c>
      <x:c r="X103" t="str">
        <x:f>IFERROR(IF($T103=0,"",IF($M103="SO","SO: dùng CS hoàn thành",IF(AND($M103="MO",OR($R103=TRUE,$R103="TRUE"),ISNUMBER($P103),$P103&gt;0),"MO dừng sớm: dùng CS hoàn thành","MO: dùng CS ra lệnh"))),"")</x:f>
      </x:c>
    </x:row>
    <x:row r="104">
      <x:c r="J104" t="str">
        <x:f>IF(LENH_GOC!A105="","",105)</x:f>
      </x:c>
      <x:c r="K104" t="str">
        <x:f>IF(LENH_GOC!A105="","",LENH_GOC!A105)</x:f>
      </x:c>
      <x:c r="L104" t="str">
        <x:f>IF($K104="","",IFERROR(TRIM(LENH_GOC!C105),""))</x:f>
      </x:c>
      <x:c r="M104" t="str">
        <x:f>IF($K104="","",IFERROR(UPPER(TRIM(LENH_GOC!Y105)),""))</x:f>
      </x:c>
      <x:c r="N104" s="249" t="str">
        <x:f>IFERROR(IF($K104="","",IF(LENH_GOC!G105="","",IF(ISNUMBER(LENH_GOC!G105),LENH_GOC!G105,DATE(VALUE(MID(LENH_GOC!G105,7,4)),VALUE(MID(LENH_GOC!G105,4,2)),VALUE(LEFT(LENH_GOC!G105,2)))+TIME(VALUE(MID(LENH_GOC!G105,12,2)),VALUE(MID(LENH_GOC!G105,15,2)),VALUE(MID(LENH_GOC!G105,18,2)))))), "")</x:f>
      </x:c>
      <x:c r="O104" t="str">
        <x:f>IF($K104="","",IF(LENH_GOC!E105="","",LENH_GOC!E105))</x:f>
      </x:c>
      <x:c r="P104" t="str">
        <x:f>IF($K104="","",IF(LENH_GOC!F105="","",LENH_GOC!F105))</x:f>
      </x:c>
      <x:c r="Q104" t="str">
        <x:f>IFERROR(IF($K104="","",IF(LENH_GOC!P105="","",IFERROR(VALUE(LENH_GOC!P105),IF(OR(LENH_GOC!P105=TRUE,UPPER(TRIM(LENH_GOC!P105))="TRUE"),1,0)))),"")</x:f>
      </x:c>
      <x:c r="R104" t="str">
        <x:f>IF($K104="","",IF(LENH_GOC!Q105="","",LENH_GOC!Q105))</x:f>
      </x:c>
      <x:c r="S104" s="249" t="str">
        <x:f>IF($K104="","",IF(LENH_GOC!R105="","",LENH_GOC!R105))</x:f>
      </x:c>
      <x:c r="T104" t="n">
        <x:f>IFERROR(IF($K104="",0,IF(AND(ISNUMBER($N104),INT($N104)=CAI_DAT!$B$4,LEFT(UPPER(TRIM($L104)),2)=LEFT(UPPER(TRIM(CAI_DAT!$B$5)),2),$Q104=1,OR(AND($M104="SO",ISNUMBER($P104),$P104&gt;0),AND($M104="MO",ISNUMBER($O104),$O104&gt;0))),1,0)),0)</x:f>
        <x:v>0</x:v>
      </x:c>
      <x:c r="U104" t="str">
        <x:f>IFERROR(IF($T104=0,"",IF($M104="SO",$P104,IF(AND($M104="MO",OR($R104=TRUE,$R104="TRUE"),ISNUMBER($P104),$P104&gt;0),$P104,$O104))),"")</x:f>
      </x:c>
      <x:c r="V104" t="str">
        <x:f>IFERROR(IF($T104=0,"",MOD($N104,1)*86400),"")</x:f>
      </x:c>
      <x:c r="W104" t="str">
        <x:f>IFERROR(IF($T104=0,"",COUNTIFS($T$3:$T$202,1,$V$3:$V$202,"&lt;"&amp;$V104)+COUNTIFS($T$3:$T104,1,$V$3:$V104,$V104)),"")</x:f>
      </x:c>
      <x:c r="X104" t="str">
        <x:f>IFERROR(IF($T104=0,"",IF($M104="SO","SO: dùng CS hoàn thành",IF(AND($M104="MO",OR($R104=TRUE,$R104="TRUE"),ISNUMBER($P104),$P104&gt;0),"MO dừng sớm: dùng CS hoàn thành","MO: dùng CS ra lệnh"))),"")</x:f>
      </x:c>
    </x:row>
    <x:row r="105">
      <x:c r="J105" t="str">
        <x:f>IF(LENH_GOC!A106="","",106)</x:f>
      </x:c>
      <x:c r="K105" t="str">
        <x:f>IF(LENH_GOC!A106="","",LENH_GOC!A106)</x:f>
      </x:c>
      <x:c r="L105" t="str">
        <x:f>IF($K105="","",IFERROR(TRIM(LENH_GOC!C106),""))</x:f>
      </x:c>
      <x:c r="M105" t="str">
        <x:f>IF($K105="","",IFERROR(UPPER(TRIM(LENH_GOC!Y106)),""))</x:f>
      </x:c>
      <x:c r="N105" s="249" t="str">
        <x:f>IFERROR(IF($K105="","",IF(LENH_GOC!G106="","",IF(ISNUMBER(LENH_GOC!G106),LENH_GOC!G106,DATE(VALUE(MID(LENH_GOC!G106,7,4)),VALUE(MID(LENH_GOC!G106,4,2)),VALUE(LEFT(LENH_GOC!G106,2)))+TIME(VALUE(MID(LENH_GOC!G106,12,2)),VALUE(MID(LENH_GOC!G106,15,2)),VALUE(MID(LENH_GOC!G106,18,2)))))), "")</x:f>
      </x:c>
      <x:c r="O105" t="str">
        <x:f>IF($K105="","",IF(LENH_GOC!E106="","",LENH_GOC!E106))</x:f>
      </x:c>
      <x:c r="P105" t="str">
        <x:f>IF($K105="","",IF(LENH_GOC!F106="","",LENH_GOC!F106))</x:f>
      </x:c>
      <x:c r="Q105" t="str">
        <x:f>IFERROR(IF($K105="","",IF(LENH_GOC!P106="","",IFERROR(VALUE(LENH_GOC!P106),IF(OR(LENH_GOC!P106=TRUE,UPPER(TRIM(LENH_GOC!P106))="TRUE"),1,0)))),"")</x:f>
      </x:c>
      <x:c r="R105" t="str">
        <x:f>IF($K105="","",IF(LENH_GOC!Q106="","",LENH_GOC!Q106))</x:f>
      </x:c>
      <x:c r="S105" s="249" t="str">
        <x:f>IF($K105="","",IF(LENH_GOC!R106="","",LENH_GOC!R106))</x:f>
      </x:c>
      <x:c r="T105" t="n">
        <x:f>IFERROR(IF($K105="",0,IF(AND(ISNUMBER($N105),INT($N105)=CAI_DAT!$B$4,LEFT(UPPER(TRIM($L105)),2)=LEFT(UPPER(TRIM(CAI_DAT!$B$5)),2),$Q105=1,OR(AND($M105="SO",ISNUMBER($P105),$P105&gt;0),AND($M105="MO",ISNUMBER($O105),$O105&gt;0))),1,0)),0)</x:f>
        <x:v>0</x:v>
      </x:c>
      <x:c r="U105" t="str">
        <x:f>IFERROR(IF($T105=0,"",IF($M105="SO",$P105,IF(AND($M105="MO",OR($R105=TRUE,$R105="TRUE"),ISNUMBER($P105),$P105&gt;0),$P105,$O105))),"")</x:f>
      </x:c>
      <x:c r="V105" t="str">
        <x:f>IFERROR(IF($T105=0,"",MOD($N105,1)*86400),"")</x:f>
      </x:c>
      <x:c r="W105" t="str">
        <x:f>IFERROR(IF($T105=0,"",COUNTIFS($T$3:$T$202,1,$V$3:$V$202,"&lt;"&amp;$V105)+COUNTIFS($T$3:$T105,1,$V$3:$V105,$V105)),"")</x:f>
      </x:c>
      <x:c r="X105" t="str">
        <x:f>IFERROR(IF($T105=0,"",IF($M105="SO","SO: dùng CS hoàn thành",IF(AND($M105="MO",OR($R105=TRUE,$R105="TRUE"),ISNUMBER($P105),$P105&gt;0),"MO dừng sớm: dùng CS hoàn thành","MO: dùng CS ra lệnh"))),"")</x:f>
      </x:c>
    </x:row>
    <x:row r="106">
      <x:c r="J106" t="str">
        <x:f>IF(LENH_GOC!A107="","",107)</x:f>
      </x:c>
      <x:c r="K106" t="str">
        <x:f>IF(LENH_GOC!A107="","",LENH_GOC!A107)</x:f>
      </x:c>
      <x:c r="L106" t="str">
        <x:f>IF($K106="","",IFERROR(TRIM(LENH_GOC!C107),""))</x:f>
      </x:c>
      <x:c r="M106" t="str">
        <x:f>IF($K106="","",IFERROR(UPPER(TRIM(LENH_GOC!Y107)),""))</x:f>
      </x:c>
      <x:c r="N106" s="249" t="str">
        <x:f>IFERROR(IF($K106="","",IF(LENH_GOC!G107="","",IF(ISNUMBER(LENH_GOC!G107),LENH_GOC!G107,DATE(VALUE(MID(LENH_GOC!G107,7,4)),VALUE(MID(LENH_GOC!G107,4,2)),VALUE(LEFT(LENH_GOC!G107,2)))+TIME(VALUE(MID(LENH_GOC!G107,12,2)),VALUE(MID(LENH_GOC!G107,15,2)),VALUE(MID(LENH_GOC!G107,18,2)))))), "")</x:f>
      </x:c>
      <x:c r="O106" t="str">
        <x:f>IF($K106="","",IF(LENH_GOC!E107="","",LENH_GOC!E107))</x:f>
      </x:c>
      <x:c r="P106" t="str">
        <x:f>IF($K106="","",IF(LENH_GOC!F107="","",LENH_GOC!F107))</x:f>
      </x:c>
      <x:c r="Q106" t="str">
        <x:f>IFERROR(IF($K106="","",IF(LENH_GOC!P107="","",IFERROR(VALUE(LENH_GOC!P107),IF(OR(LENH_GOC!P107=TRUE,UPPER(TRIM(LENH_GOC!P107))="TRUE"),1,0)))),"")</x:f>
      </x:c>
      <x:c r="R106" t="str">
        <x:f>IF($K106="","",IF(LENH_GOC!Q107="","",LENH_GOC!Q107))</x:f>
      </x:c>
      <x:c r="S106" s="249" t="str">
        <x:f>IF($K106="","",IF(LENH_GOC!R107="","",LENH_GOC!R107))</x:f>
      </x:c>
      <x:c r="T106" t="n">
        <x:f>IFERROR(IF($K106="",0,IF(AND(ISNUMBER($N106),INT($N106)=CAI_DAT!$B$4,LEFT(UPPER(TRIM($L106)),2)=LEFT(UPPER(TRIM(CAI_DAT!$B$5)),2),$Q106=1,OR(AND($M106="SO",ISNUMBER($P106),$P106&gt;0),AND($M106="MO",ISNUMBER($O106),$O106&gt;0))),1,0)),0)</x:f>
        <x:v>0</x:v>
      </x:c>
      <x:c r="U106" t="str">
        <x:f>IFERROR(IF($T106=0,"",IF($M106="SO",$P106,IF(AND($M106="MO",OR($R106=TRUE,$R106="TRUE"),ISNUMBER($P106),$P106&gt;0),$P106,$O106))),"")</x:f>
      </x:c>
      <x:c r="V106" t="str">
        <x:f>IFERROR(IF($T106=0,"",MOD($N106,1)*86400),"")</x:f>
      </x:c>
      <x:c r="W106" t="str">
        <x:f>IFERROR(IF($T106=0,"",COUNTIFS($T$3:$T$202,1,$V$3:$V$202,"&lt;"&amp;$V106)+COUNTIFS($T$3:$T106,1,$V$3:$V106,$V106)),"")</x:f>
      </x:c>
      <x:c r="X106" t="str">
        <x:f>IFERROR(IF($T106=0,"",IF($M106="SO","SO: dùng CS hoàn thành",IF(AND($M106="MO",OR($R106=TRUE,$R106="TRUE"),ISNUMBER($P106),$P106&gt;0),"MO dừng sớm: dùng CS hoàn thành","MO: dùng CS ra lệnh"))),"")</x:f>
      </x:c>
    </x:row>
    <x:row r="107">
      <x:c r="J107" t="str">
        <x:f>IF(LENH_GOC!A108="","",108)</x:f>
      </x:c>
      <x:c r="K107" t="str">
        <x:f>IF(LENH_GOC!A108="","",LENH_GOC!A108)</x:f>
      </x:c>
      <x:c r="L107" t="str">
        <x:f>IF($K107="","",IFERROR(TRIM(LENH_GOC!C108),""))</x:f>
      </x:c>
      <x:c r="M107" t="str">
        <x:f>IF($K107="","",IFERROR(UPPER(TRIM(LENH_GOC!Y108)),""))</x:f>
      </x:c>
      <x:c r="N107" s="249" t="str">
        <x:f>IFERROR(IF($K107="","",IF(LENH_GOC!G108="","",IF(ISNUMBER(LENH_GOC!G108),LENH_GOC!G108,DATE(VALUE(MID(LENH_GOC!G108,7,4)),VALUE(MID(LENH_GOC!G108,4,2)),VALUE(LEFT(LENH_GOC!G108,2)))+TIME(VALUE(MID(LENH_GOC!G108,12,2)),VALUE(MID(LENH_GOC!G108,15,2)),VALUE(MID(LENH_GOC!G108,18,2)))))), "")</x:f>
      </x:c>
      <x:c r="O107" t="str">
        <x:f>IF($K107="","",IF(LENH_GOC!E108="","",LENH_GOC!E108))</x:f>
      </x:c>
      <x:c r="P107" t="str">
        <x:f>IF($K107="","",IF(LENH_GOC!F108="","",LENH_GOC!F108))</x:f>
      </x:c>
      <x:c r="Q107" t="str">
        <x:f>IFERROR(IF($K107="","",IF(LENH_GOC!P108="","",IFERROR(VALUE(LENH_GOC!P108),IF(OR(LENH_GOC!P108=TRUE,UPPER(TRIM(LENH_GOC!P108))="TRUE"),1,0)))),"")</x:f>
      </x:c>
      <x:c r="R107" t="str">
        <x:f>IF($K107="","",IF(LENH_GOC!Q108="","",LENH_GOC!Q108))</x:f>
      </x:c>
      <x:c r="S107" s="249" t="str">
        <x:f>IF($K107="","",IF(LENH_GOC!R108="","",LENH_GOC!R108))</x:f>
      </x:c>
      <x:c r="T107" t="n">
        <x:f>IFERROR(IF($K107="",0,IF(AND(ISNUMBER($N107),INT($N107)=CAI_DAT!$B$4,LEFT(UPPER(TRIM($L107)),2)=LEFT(UPPER(TRIM(CAI_DAT!$B$5)),2),$Q107=1,OR(AND($M107="SO",ISNUMBER($P107),$P107&gt;0),AND($M107="MO",ISNUMBER($O107),$O107&gt;0))),1,0)),0)</x:f>
        <x:v>0</x:v>
      </x:c>
      <x:c r="U107" t="str">
        <x:f>IFERROR(IF($T107=0,"",IF($M107="SO",$P107,IF(AND($M107="MO",OR($R107=TRUE,$R107="TRUE"),ISNUMBER($P107),$P107&gt;0),$P107,$O107))),"")</x:f>
      </x:c>
      <x:c r="V107" t="str">
        <x:f>IFERROR(IF($T107=0,"",MOD($N107,1)*86400),"")</x:f>
      </x:c>
      <x:c r="W107" t="str">
        <x:f>IFERROR(IF($T107=0,"",COUNTIFS($T$3:$T$202,1,$V$3:$V$202,"&lt;"&amp;$V107)+COUNTIFS($T$3:$T107,1,$V$3:$V107,$V107)),"")</x:f>
      </x:c>
      <x:c r="X107" t="str">
        <x:f>IFERROR(IF($T107=0,"",IF($M107="SO","SO: dùng CS hoàn thành",IF(AND($M107="MO",OR($R107=TRUE,$R107="TRUE"),ISNUMBER($P107),$P107&gt;0),"MO dừng sớm: dùng CS hoàn thành","MO: dùng CS ra lệnh"))),"")</x:f>
      </x:c>
    </x:row>
    <x:row r="108">
      <x:c r="J108" t="str">
        <x:f>IF(LENH_GOC!A109="","",109)</x:f>
      </x:c>
      <x:c r="K108" t="str">
        <x:f>IF(LENH_GOC!A109="","",LENH_GOC!A109)</x:f>
      </x:c>
      <x:c r="L108" t="str">
        <x:f>IF($K108="","",IFERROR(TRIM(LENH_GOC!C109),""))</x:f>
      </x:c>
      <x:c r="M108" t="str">
        <x:f>IF($K108="","",IFERROR(UPPER(TRIM(LENH_GOC!Y109)),""))</x:f>
      </x:c>
      <x:c r="N108" s="249" t="str">
        <x:f>IFERROR(IF($K108="","",IF(LENH_GOC!G109="","",IF(ISNUMBER(LENH_GOC!G109),LENH_GOC!G109,DATE(VALUE(MID(LENH_GOC!G109,7,4)),VALUE(MID(LENH_GOC!G109,4,2)),VALUE(LEFT(LENH_GOC!G109,2)))+TIME(VALUE(MID(LENH_GOC!G109,12,2)),VALUE(MID(LENH_GOC!G109,15,2)),VALUE(MID(LENH_GOC!G109,18,2)))))), "")</x:f>
      </x:c>
      <x:c r="O108" t="str">
        <x:f>IF($K108="","",IF(LENH_GOC!E109="","",LENH_GOC!E109))</x:f>
      </x:c>
      <x:c r="P108" t="str">
        <x:f>IF($K108="","",IF(LENH_GOC!F109="","",LENH_GOC!F109))</x:f>
      </x:c>
      <x:c r="Q108" t="str">
        <x:f>IFERROR(IF($K108="","",IF(LENH_GOC!P109="","",IFERROR(VALUE(LENH_GOC!P109),IF(OR(LENH_GOC!P109=TRUE,UPPER(TRIM(LENH_GOC!P109))="TRUE"),1,0)))),"")</x:f>
      </x:c>
      <x:c r="R108" t="str">
        <x:f>IF($K108="","",IF(LENH_GOC!Q109="","",LENH_GOC!Q109))</x:f>
      </x:c>
      <x:c r="S108" s="249" t="str">
        <x:f>IF($K108="","",IF(LENH_GOC!R109="","",LENH_GOC!R109))</x:f>
      </x:c>
      <x:c r="T108" t="n">
        <x:f>IFERROR(IF($K108="",0,IF(AND(ISNUMBER($N108),INT($N108)=CAI_DAT!$B$4,LEFT(UPPER(TRIM($L108)),2)=LEFT(UPPER(TRIM(CAI_DAT!$B$5)),2),$Q108=1,OR(AND($M108="SO",ISNUMBER($P108),$P108&gt;0),AND($M108="MO",ISNUMBER($O108),$O108&gt;0))),1,0)),0)</x:f>
        <x:v>0</x:v>
      </x:c>
      <x:c r="U108" t="str">
        <x:f>IFERROR(IF($T108=0,"",IF($M108="SO",$P108,IF(AND($M108="MO",OR($R108=TRUE,$R108="TRUE"),ISNUMBER($P108),$P108&gt;0),$P108,$O108))),"")</x:f>
      </x:c>
      <x:c r="V108" t="str">
        <x:f>IFERROR(IF($T108=0,"",MOD($N108,1)*86400),"")</x:f>
      </x:c>
      <x:c r="W108" t="str">
        <x:f>IFERROR(IF($T108=0,"",COUNTIFS($T$3:$T$202,1,$V$3:$V$202,"&lt;"&amp;$V108)+COUNTIFS($T$3:$T108,1,$V$3:$V108,$V108)),"")</x:f>
      </x:c>
      <x:c r="X108" t="str">
        <x:f>IFERROR(IF($T108=0,"",IF($M108="SO","SO: dùng CS hoàn thành",IF(AND($M108="MO",OR($R108=TRUE,$R108="TRUE"),ISNUMBER($P108),$P108&gt;0),"MO dừng sớm: dùng CS hoàn thành","MO: dùng CS ra lệnh"))),"")</x:f>
      </x:c>
    </x:row>
    <x:row r="109">
      <x:c r="J109" t="str">
        <x:f>IF(LENH_GOC!A110="","",110)</x:f>
      </x:c>
      <x:c r="K109" t="str">
        <x:f>IF(LENH_GOC!A110="","",LENH_GOC!A110)</x:f>
      </x:c>
      <x:c r="L109" t="str">
        <x:f>IF($K109="","",IFERROR(TRIM(LENH_GOC!C110),""))</x:f>
      </x:c>
      <x:c r="M109" t="str">
        <x:f>IF($K109="","",IFERROR(UPPER(TRIM(LENH_GOC!Y110)),""))</x:f>
      </x:c>
      <x:c r="N109" s="249" t="str">
        <x:f>IFERROR(IF($K109="","",IF(LENH_GOC!G110="","",IF(ISNUMBER(LENH_GOC!G110),LENH_GOC!G110,DATE(VALUE(MID(LENH_GOC!G110,7,4)),VALUE(MID(LENH_GOC!G110,4,2)),VALUE(LEFT(LENH_GOC!G110,2)))+TIME(VALUE(MID(LENH_GOC!G110,12,2)),VALUE(MID(LENH_GOC!G110,15,2)),VALUE(MID(LENH_GOC!G110,18,2)))))), "")</x:f>
      </x:c>
      <x:c r="O109" t="str">
        <x:f>IF($K109="","",IF(LENH_GOC!E110="","",LENH_GOC!E110))</x:f>
      </x:c>
      <x:c r="P109" t="str">
        <x:f>IF($K109="","",IF(LENH_GOC!F110="","",LENH_GOC!F110))</x:f>
      </x:c>
      <x:c r="Q109" t="str">
        <x:f>IFERROR(IF($K109="","",IF(LENH_GOC!P110="","",IFERROR(VALUE(LENH_GOC!P110),IF(OR(LENH_GOC!P110=TRUE,UPPER(TRIM(LENH_GOC!P110))="TRUE"),1,0)))),"")</x:f>
      </x:c>
      <x:c r="R109" t="str">
        <x:f>IF($K109="","",IF(LENH_GOC!Q110="","",LENH_GOC!Q110))</x:f>
      </x:c>
      <x:c r="S109" s="249" t="str">
        <x:f>IF($K109="","",IF(LENH_GOC!R110="","",LENH_GOC!R110))</x:f>
      </x:c>
      <x:c r="T109" t="n">
        <x:f>IFERROR(IF($K109="",0,IF(AND(ISNUMBER($N109),INT($N109)=CAI_DAT!$B$4,LEFT(UPPER(TRIM($L109)),2)=LEFT(UPPER(TRIM(CAI_DAT!$B$5)),2),$Q109=1,OR(AND($M109="SO",ISNUMBER($P109),$P109&gt;0),AND($M109="MO",ISNUMBER($O109),$O109&gt;0))),1,0)),0)</x:f>
        <x:v>0</x:v>
      </x:c>
      <x:c r="U109" t="str">
        <x:f>IFERROR(IF($T109=0,"",IF($M109="SO",$P109,IF(AND($M109="MO",OR($R109=TRUE,$R109="TRUE"),ISNUMBER($P109),$P109&gt;0),$P109,$O109))),"")</x:f>
      </x:c>
      <x:c r="V109" t="str">
        <x:f>IFERROR(IF($T109=0,"",MOD($N109,1)*86400),"")</x:f>
      </x:c>
      <x:c r="W109" t="str">
        <x:f>IFERROR(IF($T109=0,"",COUNTIFS($T$3:$T$202,1,$V$3:$V$202,"&lt;"&amp;$V109)+COUNTIFS($T$3:$T109,1,$V$3:$V109,$V109)),"")</x:f>
      </x:c>
      <x:c r="X109" t="str">
        <x:f>IFERROR(IF($T109=0,"",IF($M109="SO","SO: dùng CS hoàn thành",IF(AND($M109="MO",OR($R109=TRUE,$R109="TRUE"),ISNUMBER($P109),$P109&gt;0),"MO dừng sớm: dùng CS hoàn thành","MO: dùng CS ra lệnh"))),"")</x:f>
      </x:c>
    </x:row>
    <x:row r="110">
      <x:c r="J110" t="str">
        <x:f>IF(LENH_GOC!A111="","",111)</x:f>
      </x:c>
      <x:c r="K110" t="str">
        <x:f>IF(LENH_GOC!A111="","",LENH_GOC!A111)</x:f>
      </x:c>
      <x:c r="L110" t="str">
        <x:f>IF($K110="","",IFERROR(TRIM(LENH_GOC!C111),""))</x:f>
      </x:c>
      <x:c r="M110" t="str">
        <x:f>IF($K110="","",IFERROR(UPPER(TRIM(LENH_GOC!Y111)),""))</x:f>
      </x:c>
      <x:c r="N110" s="249" t="str">
        <x:f>IFERROR(IF($K110="","",IF(LENH_GOC!G111="","",IF(ISNUMBER(LENH_GOC!G111),LENH_GOC!G111,DATE(VALUE(MID(LENH_GOC!G111,7,4)),VALUE(MID(LENH_GOC!G111,4,2)),VALUE(LEFT(LENH_GOC!G111,2)))+TIME(VALUE(MID(LENH_GOC!G111,12,2)),VALUE(MID(LENH_GOC!G111,15,2)),VALUE(MID(LENH_GOC!G111,18,2)))))), "")</x:f>
      </x:c>
      <x:c r="O110" t="str">
        <x:f>IF($K110="","",IF(LENH_GOC!E111="","",LENH_GOC!E111))</x:f>
      </x:c>
      <x:c r="P110" t="str">
        <x:f>IF($K110="","",IF(LENH_GOC!F111="","",LENH_GOC!F111))</x:f>
      </x:c>
      <x:c r="Q110" t="str">
        <x:f>IFERROR(IF($K110="","",IF(LENH_GOC!P111="","",IFERROR(VALUE(LENH_GOC!P111),IF(OR(LENH_GOC!P111=TRUE,UPPER(TRIM(LENH_GOC!P111))="TRUE"),1,0)))),"")</x:f>
      </x:c>
      <x:c r="R110" t="str">
        <x:f>IF($K110="","",IF(LENH_GOC!Q111="","",LENH_GOC!Q111))</x:f>
      </x:c>
      <x:c r="S110" s="249" t="str">
        <x:f>IF($K110="","",IF(LENH_GOC!R111="","",LENH_GOC!R111))</x:f>
      </x:c>
      <x:c r="T110" t="n">
        <x:f>IFERROR(IF($K110="",0,IF(AND(ISNUMBER($N110),INT($N110)=CAI_DAT!$B$4,LEFT(UPPER(TRIM($L110)),2)=LEFT(UPPER(TRIM(CAI_DAT!$B$5)),2),$Q110=1,OR(AND($M110="SO",ISNUMBER($P110),$P110&gt;0),AND($M110="MO",ISNUMBER($O110),$O110&gt;0))),1,0)),0)</x:f>
        <x:v>0</x:v>
      </x:c>
      <x:c r="U110" t="str">
        <x:f>IFERROR(IF($T110=0,"",IF($M110="SO",$P110,IF(AND($M110="MO",OR($R110=TRUE,$R110="TRUE"),ISNUMBER($P110),$P110&gt;0),$P110,$O110))),"")</x:f>
      </x:c>
      <x:c r="V110" t="str">
        <x:f>IFERROR(IF($T110=0,"",MOD($N110,1)*86400),"")</x:f>
      </x:c>
      <x:c r="W110" t="str">
        <x:f>IFERROR(IF($T110=0,"",COUNTIFS($T$3:$T$202,1,$V$3:$V$202,"&lt;"&amp;$V110)+COUNTIFS($T$3:$T110,1,$V$3:$V110,$V110)),"")</x:f>
      </x:c>
      <x:c r="X110" t="str">
        <x:f>IFERROR(IF($T110=0,"",IF($M110="SO","SO: dùng CS hoàn thành",IF(AND($M110="MO",OR($R110=TRUE,$R110="TRUE"),ISNUMBER($P110),$P110&gt;0),"MO dừng sớm: dùng CS hoàn thành","MO: dùng CS ra lệnh"))),"")</x:f>
      </x:c>
    </x:row>
    <x:row r="111">
      <x:c r="J111" t="str">
        <x:f>IF(LENH_GOC!A112="","",112)</x:f>
      </x:c>
      <x:c r="K111" t="str">
        <x:f>IF(LENH_GOC!A112="","",LENH_GOC!A112)</x:f>
      </x:c>
      <x:c r="L111" t="str">
        <x:f>IF($K111="","",IFERROR(TRIM(LENH_GOC!C112),""))</x:f>
      </x:c>
      <x:c r="M111" t="str">
        <x:f>IF($K111="","",IFERROR(UPPER(TRIM(LENH_GOC!Y112)),""))</x:f>
      </x:c>
      <x:c r="N111" s="249" t="str">
        <x:f>IFERROR(IF($K111="","",IF(LENH_GOC!G112="","",IF(ISNUMBER(LENH_GOC!G112),LENH_GOC!G112,DATE(VALUE(MID(LENH_GOC!G112,7,4)),VALUE(MID(LENH_GOC!G112,4,2)),VALUE(LEFT(LENH_GOC!G112,2)))+TIME(VALUE(MID(LENH_GOC!G112,12,2)),VALUE(MID(LENH_GOC!G112,15,2)),VALUE(MID(LENH_GOC!G112,18,2)))))), "")</x:f>
      </x:c>
      <x:c r="O111" t="str">
        <x:f>IF($K111="","",IF(LENH_GOC!E112="","",LENH_GOC!E112))</x:f>
      </x:c>
      <x:c r="P111" t="str">
        <x:f>IF($K111="","",IF(LENH_GOC!F112="","",LENH_GOC!F112))</x:f>
      </x:c>
      <x:c r="Q111" t="str">
        <x:f>IFERROR(IF($K111="","",IF(LENH_GOC!P112="","",IFERROR(VALUE(LENH_GOC!P112),IF(OR(LENH_GOC!P112=TRUE,UPPER(TRIM(LENH_GOC!P112))="TRUE"),1,0)))),"")</x:f>
      </x:c>
      <x:c r="R111" t="str">
        <x:f>IF($K111="","",IF(LENH_GOC!Q112="","",LENH_GOC!Q112))</x:f>
      </x:c>
      <x:c r="S111" s="249" t="str">
        <x:f>IF($K111="","",IF(LENH_GOC!R112="","",LENH_GOC!R112))</x:f>
      </x:c>
      <x:c r="T111" t="n">
        <x:f>IFERROR(IF($K111="",0,IF(AND(ISNUMBER($N111),INT($N111)=CAI_DAT!$B$4,LEFT(UPPER(TRIM($L111)),2)=LEFT(UPPER(TRIM(CAI_DAT!$B$5)),2),$Q111=1,OR(AND($M111="SO",ISNUMBER($P111),$P111&gt;0),AND($M111="MO",ISNUMBER($O111),$O111&gt;0))),1,0)),0)</x:f>
        <x:v>0</x:v>
      </x:c>
      <x:c r="U111" t="str">
        <x:f>IFERROR(IF($T111=0,"",IF($M111="SO",$P111,IF(AND($M111="MO",OR($R111=TRUE,$R111="TRUE"),ISNUMBER($P111),$P111&gt;0),$P111,$O111))),"")</x:f>
      </x:c>
      <x:c r="V111" t="str">
        <x:f>IFERROR(IF($T111=0,"",MOD($N111,1)*86400),"")</x:f>
      </x:c>
      <x:c r="W111" t="str">
        <x:f>IFERROR(IF($T111=0,"",COUNTIFS($T$3:$T$202,1,$V$3:$V$202,"&lt;"&amp;$V111)+COUNTIFS($T$3:$T111,1,$V$3:$V111,$V111)),"")</x:f>
      </x:c>
      <x:c r="X111" t="str">
        <x:f>IFERROR(IF($T111=0,"",IF($M111="SO","SO: dùng CS hoàn thành",IF(AND($M111="MO",OR($R111=TRUE,$R111="TRUE"),ISNUMBER($P111),$P111&gt;0),"MO dừng sớm: dùng CS hoàn thành","MO: dùng CS ra lệnh"))),"")</x:f>
      </x:c>
    </x:row>
    <x:row r="112">
      <x:c r="J112" t="str">
        <x:f>IF(LENH_GOC!A113="","",113)</x:f>
      </x:c>
      <x:c r="K112" t="str">
        <x:f>IF(LENH_GOC!A113="","",LENH_GOC!A113)</x:f>
      </x:c>
      <x:c r="L112" t="str">
        <x:f>IF($K112="","",IFERROR(TRIM(LENH_GOC!C113),""))</x:f>
      </x:c>
      <x:c r="M112" t="str">
        <x:f>IF($K112="","",IFERROR(UPPER(TRIM(LENH_GOC!Y113)),""))</x:f>
      </x:c>
      <x:c r="N112" s="249" t="str">
        <x:f>IFERROR(IF($K112="","",IF(LENH_GOC!G113="","",IF(ISNUMBER(LENH_GOC!G113),LENH_GOC!G113,DATE(VALUE(MID(LENH_GOC!G113,7,4)),VALUE(MID(LENH_GOC!G113,4,2)),VALUE(LEFT(LENH_GOC!G113,2)))+TIME(VALUE(MID(LENH_GOC!G113,12,2)),VALUE(MID(LENH_GOC!G113,15,2)),VALUE(MID(LENH_GOC!G113,18,2)))))), "")</x:f>
      </x:c>
      <x:c r="O112" t="str">
        <x:f>IF($K112="","",IF(LENH_GOC!E113="","",LENH_GOC!E113))</x:f>
      </x:c>
      <x:c r="P112" t="str">
        <x:f>IF($K112="","",IF(LENH_GOC!F113="","",LENH_GOC!F113))</x:f>
      </x:c>
      <x:c r="Q112" t="str">
        <x:f>IFERROR(IF($K112="","",IF(LENH_GOC!P113="","",IFERROR(VALUE(LENH_GOC!P113),IF(OR(LENH_GOC!P113=TRUE,UPPER(TRIM(LENH_GOC!P113))="TRUE"),1,0)))),"")</x:f>
      </x:c>
      <x:c r="R112" t="str">
        <x:f>IF($K112="","",IF(LENH_GOC!Q113="","",LENH_GOC!Q113))</x:f>
      </x:c>
      <x:c r="S112" s="249" t="str">
        <x:f>IF($K112="","",IF(LENH_GOC!R113="","",LENH_GOC!R113))</x:f>
      </x:c>
      <x:c r="T112" t="n">
        <x:f>IFERROR(IF($K112="",0,IF(AND(ISNUMBER($N112),INT($N112)=CAI_DAT!$B$4,LEFT(UPPER(TRIM($L112)),2)=LEFT(UPPER(TRIM(CAI_DAT!$B$5)),2),$Q112=1,OR(AND($M112="SO",ISNUMBER($P112),$P112&gt;0),AND($M112="MO",ISNUMBER($O112),$O112&gt;0))),1,0)),0)</x:f>
        <x:v>0</x:v>
      </x:c>
      <x:c r="U112" t="str">
        <x:f>IFERROR(IF($T112=0,"",IF($M112="SO",$P112,IF(AND($M112="MO",OR($R112=TRUE,$R112="TRUE"),ISNUMBER($P112),$P112&gt;0),$P112,$O112))),"")</x:f>
      </x:c>
      <x:c r="V112" t="str">
        <x:f>IFERROR(IF($T112=0,"",MOD($N112,1)*86400),"")</x:f>
      </x:c>
      <x:c r="W112" t="str">
        <x:f>IFERROR(IF($T112=0,"",COUNTIFS($T$3:$T$202,1,$V$3:$V$202,"&lt;"&amp;$V112)+COUNTIFS($T$3:$T112,1,$V$3:$V112,$V112)),"")</x:f>
      </x:c>
      <x:c r="X112" t="str">
        <x:f>IFERROR(IF($T112=0,"",IF($M112="SO","SO: dùng CS hoàn thành",IF(AND($M112="MO",OR($R112=TRUE,$R112="TRUE"),ISNUMBER($P112),$P112&gt;0),"MO dừng sớm: dùng CS hoàn thành","MO: dùng CS ra lệnh"))),"")</x:f>
      </x:c>
    </x:row>
    <x:row r="113">
      <x:c r="J113" t="str">
        <x:f>IF(LENH_GOC!A114="","",114)</x:f>
      </x:c>
      <x:c r="K113" t="str">
        <x:f>IF(LENH_GOC!A114="","",LENH_GOC!A114)</x:f>
      </x:c>
      <x:c r="L113" t="str">
        <x:f>IF($K113="","",IFERROR(TRIM(LENH_GOC!C114),""))</x:f>
      </x:c>
      <x:c r="M113" t="str">
        <x:f>IF($K113="","",IFERROR(UPPER(TRIM(LENH_GOC!Y114)),""))</x:f>
      </x:c>
      <x:c r="N113" s="249" t="str">
        <x:f>IFERROR(IF($K113="","",IF(LENH_GOC!G114="","",IF(ISNUMBER(LENH_GOC!G114),LENH_GOC!G114,DATE(VALUE(MID(LENH_GOC!G114,7,4)),VALUE(MID(LENH_GOC!G114,4,2)),VALUE(LEFT(LENH_GOC!G114,2)))+TIME(VALUE(MID(LENH_GOC!G114,12,2)),VALUE(MID(LENH_GOC!G114,15,2)),VALUE(MID(LENH_GOC!G114,18,2)))))), "")</x:f>
      </x:c>
      <x:c r="O113" t="str">
        <x:f>IF($K113="","",IF(LENH_GOC!E114="","",LENH_GOC!E114))</x:f>
      </x:c>
      <x:c r="P113" t="str">
        <x:f>IF($K113="","",IF(LENH_GOC!F114="","",LENH_GOC!F114))</x:f>
      </x:c>
      <x:c r="Q113" t="str">
        <x:f>IFERROR(IF($K113="","",IF(LENH_GOC!P114="","",IFERROR(VALUE(LENH_GOC!P114),IF(OR(LENH_GOC!P114=TRUE,UPPER(TRIM(LENH_GOC!P114))="TRUE"),1,0)))),"")</x:f>
      </x:c>
      <x:c r="R113" t="str">
        <x:f>IF($K113="","",IF(LENH_GOC!Q114="","",LENH_GOC!Q114))</x:f>
      </x:c>
      <x:c r="S113" s="249" t="str">
        <x:f>IF($K113="","",IF(LENH_GOC!R114="","",LENH_GOC!R114))</x:f>
      </x:c>
      <x:c r="T113" t="n">
        <x:f>IFERROR(IF($K113="",0,IF(AND(ISNUMBER($N113),INT($N113)=CAI_DAT!$B$4,LEFT(UPPER(TRIM($L113)),2)=LEFT(UPPER(TRIM(CAI_DAT!$B$5)),2),$Q113=1,OR(AND($M113="SO",ISNUMBER($P113),$P113&gt;0),AND($M113="MO",ISNUMBER($O113),$O113&gt;0))),1,0)),0)</x:f>
        <x:v>0</x:v>
      </x:c>
      <x:c r="U113" t="str">
        <x:f>IFERROR(IF($T113=0,"",IF($M113="SO",$P113,IF(AND($M113="MO",OR($R113=TRUE,$R113="TRUE"),ISNUMBER($P113),$P113&gt;0),$P113,$O113))),"")</x:f>
      </x:c>
      <x:c r="V113" t="str">
        <x:f>IFERROR(IF($T113=0,"",MOD($N113,1)*86400),"")</x:f>
      </x:c>
      <x:c r="W113" t="str">
        <x:f>IFERROR(IF($T113=0,"",COUNTIFS($T$3:$T$202,1,$V$3:$V$202,"&lt;"&amp;$V113)+COUNTIFS($T$3:$T113,1,$V$3:$V113,$V113)),"")</x:f>
      </x:c>
      <x:c r="X113" t="str">
        <x:f>IFERROR(IF($T113=0,"",IF($M113="SO","SO: dùng CS hoàn thành",IF(AND($M113="MO",OR($R113=TRUE,$R113="TRUE"),ISNUMBER($P113),$P113&gt;0),"MO dừng sớm: dùng CS hoàn thành","MO: dùng CS ra lệnh"))),"")</x:f>
      </x:c>
    </x:row>
    <x:row r="114">
      <x:c r="J114" t="str">
        <x:f>IF(LENH_GOC!A115="","",115)</x:f>
      </x:c>
      <x:c r="K114" t="str">
        <x:f>IF(LENH_GOC!A115="","",LENH_GOC!A115)</x:f>
      </x:c>
      <x:c r="L114" t="str">
        <x:f>IF($K114="","",IFERROR(TRIM(LENH_GOC!C115),""))</x:f>
      </x:c>
      <x:c r="M114" t="str">
        <x:f>IF($K114="","",IFERROR(UPPER(TRIM(LENH_GOC!Y115)),""))</x:f>
      </x:c>
      <x:c r="N114" s="249" t="str">
        <x:f>IFERROR(IF($K114="","",IF(LENH_GOC!G115="","",IF(ISNUMBER(LENH_GOC!G115),LENH_GOC!G115,DATE(VALUE(MID(LENH_GOC!G115,7,4)),VALUE(MID(LENH_GOC!G115,4,2)),VALUE(LEFT(LENH_GOC!G115,2)))+TIME(VALUE(MID(LENH_GOC!G115,12,2)),VALUE(MID(LENH_GOC!G115,15,2)),VALUE(MID(LENH_GOC!G115,18,2)))))), "")</x:f>
      </x:c>
      <x:c r="O114" t="str">
        <x:f>IF($K114="","",IF(LENH_GOC!E115="","",LENH_GOC!E115))</x:f>
      </x:c>
      <x:c r="P114" t="str">
        <x:f>IF($K114="","",IF(LENH_GOC!F115="","",LENH_GOC!F115))</x:f>
      </x:c>
      <x:c r="Q114" t="str">
        <x:f>IFERROR(IF($K114="","",IF(LENH_GOC!P115="","",IFERROR(VALUE(LENH_GOC!P115),IF(OR(LENH_GOC!P115=TRUE,UPPER(TRIM(LENH_GOC!P115))="TRUE"),1,0)))),"")</x:f>
      </x:c>
      <x:c r="R114" t="str">
        <x:f>IF($K114="","",IF(LENH_GOC!Q115="","",LENH_GOC!Q115))</x:f>
      </x:c>
      <x:c r="S114" s="249" t="str">
        <x:f>IF($K114="","",IF(LENH_GOC!R115="","",LENH_GOC!R115))</x:f>
      </x:c>
      <x:c r="T114" t="n">
        <x:f>IFERROR(IF($K114="",0,IF(AND(ISNUMBER($N114),INT($N114)=CAI_DAT!$B$4,LEFT(UPPER(TRIM($L114)),2)=LEFT(UPPER(TRIM(CAI_DAT!$B$5)),2),$Q114=1,OR(AND($M114="SO",ISNUMBER($P114),$P114&gt;0),AND($M114="MO",ISNUMBER($O114),$O114&gt;0))),1,0)),0)</x:f>
        <x:v>0</x:v>
      </x:c>
      <x:c r="U114" t="str">
        <x:f>IFERROR(IF($T114=0,"",IF($M114="SO",$P114,IF(AND($M114="MO",OR($R114=TRUE,$R114="TRUE"),ISNUMBER($P114),$P114&gt;0),$P114,$O114))),"")</x:f>
      </x:c>
      <x:c r="V114" t="str">
        <x:f>IFERROR(IF($T114=0,"",MOD($N114,1)*86400),"")</x:f>
      </x:c>
      <x:c r="W114" t="str">
        <x:f>IFERROR(IF($T114=0,"",COUNTIFS($T$3:$T$202,1,$V$3:$V$202,"&lt;"&amp;$V114)+COUNTIFS($T$3:$T114,1,$V$3:$V114,$V114)),"")</x:f>
      </x:c>
      <x:c r="X114" t="str">
        <x:f>IFERROR(IF($T114=0,"",IF($M114="SO","SO: dùng CS hoàn thành",IF(AND($M114="MO",OR($R114=TRUE,$R114="TRUE"),ISNUMBER($P114),$P114&gt;0),"MO dừng sớm: dùng CS hoàn thành","MO: dùng CS ra lệnh"))),"")</x:f>
      </x:c>
    </x:row>
    <x:row r="115">
      <x:c r="J115" t="str">
        <x:f>IF(LENH_GOC!A116="","",116)</x:f>
      </x:c>
      <x:c r="K115" t="str">
        <x:f>IF(LENH_GOC!A116="","",LENH_GOC!A116)</x:f>
      </x:c>
      <x:c r="L115" t="str">
        <x:f>IF($K115="","",IFERROR(TRIM(LENH_GOC!C116),""))</x:f>
      </x:c>
      <x:c r="M115" t="str">
        <x:f>IF($K115="","",IFERROR(UPPER(TRIM(LENH_GOC!Y116)),""))</x:f>
      </x:c>
      <x:c r="N115" s="249" t="str">
        <x:f>IFERROR(IF($K115="","",IF(LENH_GOC!G116="","",IF(ISNUMBER(LENH_GOC!G116),LENH_GOC!G116,DATE(VALUE(MID(LENH_GOC!G116,7,4)),VALUE(MID(LENH_GOC!G116,4,2)),VALUE(LEFT(LENH_GOC!G116,2)))+TIME(VALUE(MID(LENH_GOC!G116,12,2)),VALUE(MID(LENH_GOC!G116,15,2)),VALUE(MID(LENH_GOC!G116,18,2)))))), "")</x:f>
      </x:c>
      <x:c r="O115" t="str">
        <x:f>IF($K115="","",IF(LENH_GOC!E116="","",LENH_GOC!E116))</x:f>
      </x:c>
      <x:c r="P115" t="str">
        <x:f>IF($K115="","",IF(LENH_GOC!F116="","",LENH_GOC!F116))</x:f>
      </x:c>
      <x:c r="Q115" t="str">
        <x:f>IFERROR(IF($K115="","",IF(LENH_GOC!P116="","",IFERROR(VALUE(LENH_GOC!P116),IF(OR(LENH_GOC!P116=TRUE,UPPER(TRIM(LENH_GOC!P116))="TRUE"),1,0)))),"")</x:f>
      </x:c>
      <x:c r="R115" t="str">
        <x:f>IF($K115="","",IF(LENH_GOC!Q116="","",LENH_GOC!Q116))</x:f>
      </x:c>
      <x:c r="S115" s="249" t="str">
        <x:f>IF($K115="","",IF(LENH_GOC!R116="","",LENH_GOC!R116))</x:f>
      </x:c>
      <x:c r="T115" t="n">
        <x:f>IFERROR(IF($K115="",0,IF(AND(ISNUMBER($N115),INT($N115)=CAI_DAT!$B$4,LEFT(UPPER(TRIM($L115)),2)=LEFT(UPPER(TRIM(CAI_DAT!$B$5)),2),$Q115=1,OR(AND($M115="SO",ISNUMBER($P115),$P115&gt;0),AND($M115="MO",ISNUMBER($O115),$O115&gt;0))),1,0)),0)</x:f>
        <x:v>0</x:v>
      </x:c>
      <x:c r="U115" t="str">
        <x:f>IFERROR(IF($T115=0,"",IF($M115="SO",$P115,IF(AND($M115="MO",OR($R115=TRUE,$R115="TRUE"),ISNUMBER($P115),$P115&gt;0),$P115,$O115))),"")</x:f>
      </x:c>
      <x:c r="V115" t="str">
        <x:f>IFERROR(IF($T115=0,"",MOD($N115,1)*86400),"")</x:f>
      </x:c>
      <x:c r="W115" t="str">
        <x:f>IFERROR(IF($T115=0,"",COUNTIFS($T$3:$T$202,1,$V$3:$V$202,"&lt;"&amp;$V115)+COUNTIFS($T$3:$T115,1,$V$3:$V115,$V115)),"")</x:f>
      </x:c>
      <x:c r="X115" t="str">
        <x:f>IFERROR(IF($T115=0,"",IF($M115="SO","SO: dùng CS hoàn thành",IF(AND($M115="MO",OR($R115=TRUE,$R115="TRUE"),ISNUMBER($P115),$P115&gt;0),"MO dừng sớm: dùng CS hoàn thành","MO: dùng CS ra lệnh"))),"")</x:f>
      </x:c>
    </x:row>
    <x:row r="116">
      <x:c r="J116" t="str">
        <x:f>IF(LENH_GOC!A117="","",117)</x:f>
      </x:c>
      <x:c r="K116" t="str">
        <x:f>IF(LENH_GOC!A117="","",LENH_GOC!A117)</x:f>
      </x:c>
      <x:c r="L116" t="str">
        <x:f>IF($K116="","",IFERROR(TRIM(LENH_GOC!C117),""))</x:f>
      </x:c>
      <x:c r="M116" t="str">
        <x:f>IF($K116="","",IFERROR(UPPER(TRIM(LENH_GOC!Y117)),""))</x:f>
      </x:c>
      <x:c r="N116" s="249" t="str">
        <x:f>IFERROR(IF($K116="","",IF(LENH_GOC!G117="","",IF(ISNUMBER(LENH_GOC!G117),LENH_GOC!G117,DATE(VALUE(MID(LENH_GOC!G117,7,4)),VALUE(MID(LENH_GOC!G117,4,2)),VALUE(LEFT(LENH_GOC!G117,2)))+TIME(VALUE(MID(LENH_GOC!G117,12,2)),VALUE(MID(LENH_GOC!G117,15,2)),VALUE(MID(LENH_GOC!G117,18,2)))))), "")</x:f>
      </x:c>
      <x:c r="O116" t="str">
        <x:f>IF($K116="","",IF(LENH_GOC!E117="","",LENH_GOC!E117))</x:f>
      </x:c>
      <x:c r="P116" t="str">
        <x:f>IF($K116="","",IF(LENH_GOC!F117="","",LENH_GOC!F117))</x:f>
      </x:c>
      <x:c r="Q116" t="str">
        <x:f>IFERROR(IF($K116="","",IF(LENH_GOC!P117="","",IFERROR(VALUE(LENH_GOC!P117),IF(OR(LENH_GOC!P117=TRUE,UPPER(TRIM(LENH_GOC!P117))="TRUE"),1,0)))),"")</x:f>
      </x:c>
      <x:c r="R116" t="str">
        <x:f>IF($K116="","",IF(LENH_GOC!Q117="","",LENH_GOC!Q117))</x:f>
      </x:c>
      <x:c r="S116" s="249" t="str">
        <x:f>IF($K116="","",IF(LENH_GOC!R117="","",LENH_GOC!R117))</x:f>
      </x:c>
      <x:c r="T116" t="n">
        <x:f>IFERROR(IF($K116="",0,IF(AND(ISNUMBER($N116),INT($N116)=CAI_DAT!$B$4,LEFT(UPPER(TRIM($L116)),2)=LEFT(UPPER(TRIM(CAI_DAT!$B$5)),2),$Q116=1,OR(AND($M116="SO",ISNUMBER($P116),$P116&gt;0),AND($M116="MO",ISNUMBER($O116),$O116&gt;0))),1,0)),0)</x:f>
        <x:v>0</x:v>
      </x:c>
      <x:c r="U116" t="str">
        <x:f>IFERROR(IF($T116=0,"",IF($M116="SO",$P116,IF(AND($M116="MO",OR($R116=TRUE,$R116="TRUE"),ISNUMBER($P116),$P116&gt;0),$P116,$O116))),"")</x:f>
      </x:c>
      <x:c r="V116" t="str">
        <x:f>IFERROR(IF($T116=0,"",MOD($N116,1)*86400),"")</x:f>
      </x:c>
      <x:c r="W116" t="str">
        <x:f>IFERROR(IF($T116=0,"",COUNTIFS($T$3:$T$202,1,$V$3:$V$202,"&lt;"&amp;$V116)+COUNTIFS($T$3:$T116,1,$V$3:$V116,$V116)),"")</x:f>
      </x:c>
      <x:c r="X116" t="str">
        <x:f>IFERROR(IF($T116=0,"",IF($M116="SO","SO: dùng CS hoàn thành",IF(AND($M116="MO",OR($R116=TRUE,$R116="TRUE"),ISNUMBER($P116),$P116&gt;0),"MO dừng sớm: dùng CS hoàn thành","MO: dùng CS ra lệnh"))),"")</x:f>
      </x:c>
    </x:row>
    <x:row r="117">
      <x:c r="J117" t="str">
        <x:f>IF(LENH_GOC!A118="","",118)</x:f>
      </x:c>
      <x:c r="K117" t="str">
        <x:f>IF(LENH_GOC!A118="","",LENH_GOC!A118)</x:f>
      </x:c>
      <x:c r="L117" t="str">
        <x:f>IF($K117="","",IFERROR(TRIM(LENH_GOC!C118),""))</x:f>
      </x:c>
      <x:c r="M117" t="str">
        <x:f>IF($K117="","",IFERROR(UPPER(TRIM(LENH_GOC!Y118)),""))</x:f>
      </x:c>
      <x:c r="N117" s="249" t="str">
        <x:f>IFERROR(IF($K117="","",IF(LENH_GOC!G118="","",IF(ISNUMBER(LENH_GOC!G118),LENH_GOC!G118,DATE(VALUE(MID(LENH_GOC!G118,7,4)),VALUE(MID(LENH_GOC!G118,4,2)),VALUE(LEFT(LENH_GOC!G118,2)))+TIME(VALUE(MID(LENH_GOC!G118,12,2)),VALUE(MID(LENH_GOC!G118,15,2)),VALUE(MID(LENH_GOC!G118,18,2)))))), "")</x:f>
      </x:c>
      <x:c r="O117" t="str">
        <x:f>IF($K117="","",IF(LENH_GOC!E118="","",LENH_GOC!E118))</x:f>
      </x:c>
      <x:c r="P117" t="str">
        <x:f>IF($K117="","",IF(LENH_GOC!F118="","",LENH_GOC!F118))</x:f>
      </x:c>
      <x:c r="Q117" t="str">
        <x:f>IFERROR(IF($K117="","",IF(LENH_GOC!P118="","",IFERROR(VALUE(LENH_GOC!P118),IF(OR(LENH_GOC!P118=TRUE,UPPER(TRIM(LENH_GOC!P118))="TRUE"),1,0)))),"")</x:f>
      </x:c>
      <x:c r="R117" t="str">
        <x:f>IF($K117="","",IF(LENH_GOC!Q118="","",LENH_GOC!Q118))</x:f>
      </x:c>
      <x:c r="S117" s="249" t="str">
        <x:f>IF($K117="","",IF(LENH_GOC!R118="","",LENH_GOC!R118))</x:f>
      </x:c>
      <x:c r="T117" t="n">
        <x:f>IFERROR(IF($K117="",0,IF(AND(ISNUMBER($N117),INT($N117)=CAI_DAT!$B$4,LEFT(UPPER(TRIM($L117)),2)=LEFT(UPPER(TRIM(CAI_DAT!$B$5)),2),$Q117=1,OR(AND($M117="SO",ISNUMBER($P117),$P117&gt;0),AND($M117="MO",ISNUMBER($O117),$O117&gt;0))),1,0)),0)</x:f>
        <x:v>0</x:v>
      </x:c>
      <x:c r="U117" t="str">
        <x:f>IFERROR(IF($T117=0,"",IF($M117="SO",$P117,IF(AND($M117="MO",OR($R117=TRUE,$R117="TRUE"),ISNUMBER($P117),$P117&gt;0),$P117,$O117))),"")</x:f>
      </x:c>
      <x:c r="V117" t="str">
        <x:f>IFERROR(IF($T117=0,"",MOD($N117,1)*86400),"")</x:f>
      </x:c>
      <x:c r="W117" t="str">
        <x:f>IFERROR(IF($T117=0,"",COUNTIFS($T$3:$T$202,1,$V$3:$V$202,"&lt;"&amp;$V117)+COUNTIFS($T$3:$T117,1,$V$3:$V117,$V117)),"")</x:f>
      </x:c>
      <x:c r="X117" t="str">
        <x:f>IFERROR(IF($T117=0,"",IF($M117="SO","SO: dùng CS hoàn thành",IF(AND($M117="MO",OR($R117=TRUE,$R117="TRUE"),ISNUMBER($P117),$P117&gt;0),"MO dừng sớm: dùng CS hoàn thành","MO: dùng CS ra lệnh"))),"")</x:f>
      </x:c>
    </x:row>
    <x:row r="118">
      <x:c r="J118" t="str">
        <x:f>IF(LENH_GOC!A119="","",119)</x:f>
      </x:c>
      <x:c r="K118" t="str">
        <x:f>IF(LENH_GOC!A119="","",LENH_GOC!A119)</x:f>
      </x:c>
      <x:c r="L118" t="str">
        <x:f>IF($K118="","",IFERROR(TRIM(LENH_GOC!C119),""))</x:f>
      </x:c>
      <x:c r="M118" t="str">
        <x:f>IF($K118="","",IFERROR(UPPER(TRIM(LENH_GOC!Y119)),""))</x:f>
      </x:c>
      <x:c r="N118" s="249" t="str">
        <x:f>IFERROR(IF($K118="","",IF(LENH_GOC!G119="","",IF(ISNUMBER(LENH_GOC!G119),LENH_GOC!G119,DATE(VALUE(MID(LENH_GOC!G119,7,4)),VALUE(MID(LENH_GOC!G119,4,2)),VALUE(LEFT(LENH_GOC!G119,2)))+TIME(VALUE(MID(LENH_GOC!G119,12,2)),VALUE(MID(LENH_GOC!G119,15,2)),VALUE(MID(LENH_GOC!G119,18,2)))))), "")</x:f>
      </x:c>
      <x:c r="O118" t="str">
        <x:f>IF($K118="","",IF(LENH_GOC!E119="","",LENH_GOC!E119))</x:f>
      </x:c>
      <x:c r="P118" t="str">
        <x:f>IF($K118="","",IF(LENH_GOC!F119="","",LENH_GOC!F119))</x:f>
      </x:c>
      <x:c r="Q118" t="str">
        <x:f>IFERROR(IF($K118="","",IF(LENH_GOC!P119="","",IFERROR(VALUE(LENH_GOC!P119),IF(OR(LENH_GOC!P119=TRUE,UPPER(TRIM(LENH_GOC!P119))="TRUE"),1,0)))),"")</x:f>
      </x:c>
      <x:c r="R118" t="str">
        <x:f>IF($K118="","",IF(LENH_GOC!Q119="","",LENH_GOC!Q119))</x:f>
      </x:c>
      <x:c r="S118" s="249" t="str">
        <x:f>IF($K118="","",IF(LENH_GOC!R119="","",LENH_GOC!R119))</x:f>
      </x:c>
      <x:c r="T118" t="n">
        <x:f>IFERROR(IF($K118="",0,IF(AND(ISNUMBER($N118),INT($N118)=CAI_DAT!$B$4,LEFT(UPPER(TRIM($L118)),2)=LEFT(UPPER(TRIM(CAI_DAT!$B$5)),2),$Q118=1,OR(AND($M118="SO",ISNUMBER($P118),$P118&gt;0),AND($M118="MO",ISNUMBER($O118),$O118&gt;0))),1,0)),0)</x:f>
        <x:v>0</x:v>
      </x:c>
      <x:c r="U118" t="str">
        <x:f>IFERROR(IF($T118=0,"",IF($M118="SO",$P118,IF(AND($M118="MO",OR($R118=TRUE,$R118="TRUE"),ISNUMBER($P118),$P118&gt;0),$P118,$O118))),"")</x:f>
      </x:c>
      <x:c r="V118" t="str">
        <x:f>IFERROR(IF($T118=0,"",MOD($N118,1)*86400),"")</x:f>
      </x:c>
      <x:c r="W118" t="str">
        <x:f>IFERROR(IF($T118=0,"",COUNTIFS($T$3:$T$202,1,$V$3:$V$202,"&lt;"&amp;$V118)+COUNTIFS($T$3:$T118,1,$V$3:$V118,$V118)),"")</x:f>
      </x:c>
      <x:c r="X118" t="str">
        <x:f>IFERROR(IF($T118=0,"",IF($M118="SO","SO: dùng CS hoàn thành",IF(AND($M118="MO",OR($R118=TRUE,$R118="TRUE"),ISNUMBER($P118),$P118&gt;0),"MO dừng sớm: dùng CS hoàn thành","MO: dùng CS ra lệnh"))),"")</x:f>
      </x:c>
    </x:row>
    <x:row r="119">
      <x:c r="J119" t="str">
        <x:f>IF(LENH_GOC!A120="","",120)</x:f>
      </x:c>
      <x:c r="K119" t="str">
        <x:f>IF(LENH_GOC!A120="","",LENH_GOC!A120)</x:f>
      </x:c>
      <x:c r="L119" t="str">
        <x:f>IF($K119="","",IFERROR(TRIM(LENH_GOC!C120),""))</x:f>
      </x:c>
      <x:c r="M119" t="str">
        <x:f>IF($K119="","",IFERROR(UPPER(TRIM(LENH_GOC!Y120)),""))</x:f>
      </x:c>
      <x:c r="N119" s="249" t="str">
        <x:f>IFERROR(IF($K119="","",IF(LENH_GOC!G120="","",IF(ISNUMBER(LENH_GOC!G120),LENH_GOC!G120,DATE(VALUE(MID(LENH_GOC!G120,7,4)),VALUE(MID(LENH_GOC!G120,4,2)),VALUE(LEFT(LENH_GOC!G120,2)))+TIME(VALUE(MID(LENH_GOC!G120,12,2)),VALUE(MID(LENH_GOC!G120,15,2)),VALUE(MID(LENH_GOC!G120,18,2)))))), "")</x:f>
      </x:c>
      <x:c r="O119" t="str">
        <x:f>IF($K119="","",IF(LENH_GOC!E120="","",LENH_GOC!E120))</x:f>
      </x:c>
      <x:c r="P119" t="str">
        <x:f>IF($K119="","",IF(LENH_GOC!F120="","",LENH_GOC!F120))</x:f>
      </x:c>
      <x:c r="Q119" t="str">
        <x:f>IFERROR(IF($K119="","",IF(LENH_GOC!P120="","",IFERROR(VALUE(LENH_GOC!P120),IF(OR(LENH_GOC!P120=TRUE,UPPER(TRIM(LENH_GOC!P120))="TRUE"),1,0)))),"")</x:f>
      </x:c>
      <x:c r="R119" t="str">
        <x:f>IF($K119="","",IF(LENH_GOC!Q120="","",LENH_GOC!Q120))</x:f>
      </x:c>
      <x:c r="S119" s="249" t="str">
        <x:f>IF($K119="","",IF(LENH_GOC!R120="","",LENH_GOC!R120))</x:f>
      </x:c>
      <x:c r="T119" t="n">
        <x:f>IFERROR(IF($K119="",0,IF(AND(ISNUMBER($N119),INT($N119)=CAI_DAT!$B$4,LEFT(UPPER(TRIM($L119)),2)=LEFT(UPPER(TRIM(CAI_DAT!$B$5)),2),$Q119=1,OR(AND($M119="SO",ISNUMBER($P119),$P119&gt;0),AND($M119="MO",ISNUMBER($O119),$O119&gt;0))),1,0)),0)</x:f>
        <x:v>0</x:v>
      </x:c>
      <x:c r="U119" t="str">
        <x:f>IFERROR(IF($T119=0,"",IF($M119="SO",$P119,IF(AND($M119="MO",OR($R119=TRUE,$R119="TRUE"),ISNUMBER($P119),$P119&gt;0),$P119,$O119))),"")</x:f>
      </x:c>
      <x:c r="V119" t="str">
        <x:f>IFERROR(IF($T119=0,"",MOD($N119,1)*86400),"")</x:f>
      </x:c>
      <x:c r="W119" t="str">
        <x:f>IFERROR(IF($T119=0,"",COUNTIFS($T$3:$T$202,1,$V$3:$V$202,"&lt;"&amp;$V119)+COUNTIFS($T$3:$T119,1,$V$3:$V119,$V119)),"")</x:f>
      </x:c>
      <x:c r="X119" t="str">
        <x:f>IFERROR(IF($T119=0,"",IF($M119="SO","SO: dùng CS hoàn thành",IF(AND($M119="MO",OR($R119=TRUE,$R119="TRUE"),ISNUMBER($P119),$P119&gt;0),"MO dừng sớm: dùng CS hoàn thành","MO: dùng CS ra lệnh"))),"")</x:f>
      </x:c>
    </x:row>
    <x:row r="120">
      <x:c r="J120" t="str">
        <x:f>IF(LENH_GOC!A121="","",121)</x:f>
      </x:c>
      <x:c r="K120" t="str">
        <x:f>IF(LENH_GOC!A121="","",LENH_GOC!A121)</x:f>
      </x:c>
      <x:c r="L120" t="str">
        <x:f>IF($K120="","",IFERROR(TRIM(LENH_GOC!C121),""))</x:f>
      </x:c>
      <x:c r="M120" t="str">
        <x:f>IF($K120="","",IFERROR(UPPER(TRIM(LENH_GOC!Y121)),""))</x:f>
      </x:c>
      <x:c r="N120" s="249" t="str">
        <x:f>IFERROR(IF($K120="","",IF(LENH_GOC!G121="","",IF(ISNUMBER(LENH_GOC!G121),LENH_GOC!G121,DATE(VALUE(MID(LENH_GOC!G121,7,4)),VALUE(MID(LENH_GOC!G121,4,2)),VALUE(LEFT(LENH_GOC!G121,2)))+TIME(VALUE(MID(LENH_GOC!G121,12,2)),VALUE(MID(LENH_GOC!G121,15,2)),VALUE(MID(LENH_GOC!G121,18,2)))))), "")</x:f>
      </x:c>
      <x:c r="O120" t="str">
        <x:f>IF($K120="","",IF(LENH_GOC!E121="","",LENH_GOC!E121))</x:f>
      </x:c>
      <x:c r="P120" t="str">
        <x:f>IF($K120="","",IF(LENH_GOC!F121="","",LENH_GOC!F121))</x:f>
      </x:c>
      <x:c r="Q120" t="str">
        <x:f>IFERROR(IF($K120="","",IF(LENH_GOC!P121="","",IFERROR(VALUE(LENH_GOC!P121),IF(OR(LENH_GOC!P121=TRUE,UPPER(TRIM(LENH_GOC!P121))="TRUE"),1,0)))),"")</x:f>
      </x:c>
      <x:c r="R120" t="str">
        <x:f>IF($K120="","",IF(LENH_GOC!Q121="","",LENH_GOC!Q121))</x:f>
      </x:c>
      <x:c r="S120" s="249" t="str">
        <x:f>IF($K120="","",IF(LENH_GOC!R121="","",LENH_GOC!R121))</x:f>
      </x:c>
      <x:c r="T120" t="n">
        <x:f>IFERROR(IF($K120="",0,IF(AND(ISNUMBER($N120),INT($N120)=CAI_DAT!$B$4,LEFT(UPPER(TRIM($L120)),2)=LEFT(UPPER(TRIM(CAI_DAT!$B$5)),2),$Q120=1,OR(AND($M120="SO",ISNUMBER($P120),$P120&gt;0),AND($M120="MO",ISNUMBER($O120),$O120&gt;0))),1,0)),0)</x:f>
        <x:v>0</x:v>
      </x:c>
      <x:c r="U120" t="str">
        <x:f>IFERROR(IF($T120=0,"",IF($M120="SO",$P120,IF(AND($M120="MO",OR($R120=TRUE,$R120="TRUE"),ISNUMBER($P120),$P120&gt;0),$P120,$O120))),"")</x:f>
      </x:c>
      <x:c r="V120" t="str">
        <x:f>IFERROR(IF($T120=0,"",MOD($N120,1)*86400),"")</x:f>
      </x:c>
      <x:c r="W120" t="str">
        <x:f>IFERROR(IF($T120=0,"",COUNTIFS($T$3:$T$202,1,$V$3:$V$202,"&lt;"&amp;$V120)+COUNTIFS($T$3:$T120,1,$V$3:$V120,$V120)),"")</x:f>
      </x:c>
      <x:c r="X120" t="str">
        <x:f>IFERROR(IF($T120=0,"",IF($M120="SO","SO: dùng CS hoàn thành",IF(AND($M120="MO",OR($R120=TRUE,$R120="TRUE"),ISNUMBER($P120),$P120&gt;0),"MO dừng sớm: dùng CS hoàn thành","MO: dùng CS ra lệnh"))),"")</x:f>
      </x:c>
    </x:row>
    <x:row r="121">
      <x:c r="J121" t="str">
        <x:f>IF(LENH_GOC!A122="","",122)</x:f>
      </x:c>
      <x:c r="K121" t="str">
        <x:f>IF(LENH_GOC!A122="","",LENH_GOC!A122)</x:f>
      </x:c>
      <x:c r="L121" t="str">
        <x:f>IF($K121="","",IFERROR(TRIM(LENH_GOC!C122),""))</x:f>
      </x:c>
      <x:c r="M121" t="str">
        <x:f>IF($K121="","",IFERROR(UPPER(TRIM(LENH_GOC!Y122)),""))</x:f>
      </x:c>
      <x:c r="N121" s="249" t="str">
        <x:f>IFERROR(IF($K121="","",IF(LENH_GOC!G122="","",IF(ISNUMBER(LENH_GOC!G122),LENH_GOC!G122,DATE(VALUE(MID(LENH_GOC!G122,7,4)),VALUE(MID(LENH_GOC!G122,4,2)),VALUE(LEFT(LENH_GOC!G122,2)))+TIME(VALUE(MID(LENH_GOC!G122,12,2)),VALUE(MID(LENH_GOC!G122,15,2)),VALUE(MID(LENH_GOC!G122,18,2)))))), "")</x:f>
      </x:c>
      <x:c r="O121" t="str">
        <x:f>IF($K121="","",IF(LENH_GOC!E122="","",LENH_GOC!E122))</x:f>
      </x:c>
      <x:c r="P121" t="str">
        <x:f>IF($K121="","",IF(LENH_GOC!F122="","",LENH_GOC!F122))</x:f>
      </x:c>
      <x:c r="Q121" t="str">
        <x:f>IFERROR(IF($K121="","",IF(LENH_GOC!P122="","",IFERROR(VALUE(LENH_GOC!P122),IF(OR(LENH_GOC!P122=TRUE,UPPER(TRIM(LENH_GOC!P122))="TRUE"),1,0)))),"")</x:f>
      </x:c>
      <x:c r="R121" t="str">
        <x:f>IF($K121="","",IF(LENH_GOC!Q122="","",LENH_GOC!Q122))</x:f>
      </x:c>
      <x:c r="S121" s="249" t="str">
        <x:f>IF($K121="","",IF(LENH_GOC!R122="","",LENH_GOC!R122))</x:f>
      </x:c>
      <x:c r="T121" t="n">
        <x:f>IFERROR(IF($K121="",0,IF(AND(ISNUMBER($N121),INT($N121)=CAI_DAT!$B$4,LEFT(UPPER(TRIM($L121)),2)=LEFT(UPPER(TRIM(CAI_DAT!$B$5)),2),$Q121=1,OR(AND($M121="SO",ISNUMBER($P121),$P121&gt;0),AND($M121="MO",ISNUMBER($O121),$O121&gt;0))),1,0)),0)</x:f>
        <x:v>0</x:v>
      </x:c>
      <x:c r="U121" t="str">
        <x:f>IFERROR(IF($T121=0,"",IF($M121="SO",$P121,IF(AND($M121="MO",OR($R121=TRUE,$R121="TRUE"),ISNUMBER($P121),$P121&gt;0),$P121,$O121))),"")</x:f>
      </x:c>
      <x:c r="V121" t="str">
        <x:f>IFERROR(IF($T121=0,"",MOD($N121,1)*86400),"")</x:f>
      </x:c>
      <x:c r="W121" t="str">
        <x:f>IFERROR(IF($T121=0,"",COUNTIFS($T$3:$T$202,1,$V$3:$V$202,"&lt;"&amp;$V121)+COUNTIFS($T$3:$T121,1,$V$3:$V121,$V121)),"")</x:f>
      </x:c>
      <x:c r="X121" t="str">
        <x:f>IFERROR(IF($T121=0,"",IF($M121="SO","SO: dùng CS hoàn thành",IF(AND($M121="MO",OR($R121=TRUE,$R121="TRUE"),ISNUMBER($P121),$P121&gt;0),"MO dừng sớm: dùng CS hoàn thành","MO: dùng CS ra lệnh"))),"")</x:f>
      </x:c>
    </x:row>
    <x:row r="122">
      <x:c r="J122" t="str">
        <x:f>IF(LENH_GOC!A123="","",123)</x:f>
      </x:c>
      <x:c r="K122" t="str">
        <x:f>IF(LENH_GOC!A123="","",LENH_GOC!A123)</x:f>
      </x:c>
      <x:c r="L122" t="str">
        <x:f>IF($K122="","",IFERROR(TRIM(LENH_GOC!C123),""))</x:f>
      </x:c>
      <x:c r="M122" t="str">
        <x:f>IF($K122="","",IFERROR(UPPER(TRIM(LENH_GOC!Y123)),""))</x:f>
      </x:c>
      <x:c r="N122" s="249" t="str">
        <x:f>IFERROR(IF($K122="","",IF(LENH_GOC!G123="","",IF(ISNUMBER(LENH_GOC!G123),LENH_GOC!G123,DATE(VALUE(MID(LENH_GOC!G123,7,4)),VALUE(MID(LENH_GOC!G123,4,2)),VALUE(LEFT(LENH_GOC!G123,2)))+TIME(VALUE(MID(LENH_GOC!G123,12,2)),VALUE(MID(LENH_GOC!G123,15,2)),VALUE(MID(LENH_GOC!G123,18,2)))))), "")</x:f>
      </x:c>
      <x:c r="O122" t="str">
        <x:f>IF($K122="","",IF(LENH_GOC!E123="","",LENH_GOC!E123))</x:f>
      </x:c>
      <x:c r="P122" t="str">
        <x:f>IF($K122="","",IF(LENH_GOC!F123="","",LENH_GOC!F123))</x:f>
      </x:c>
      <x:c r="Q122" t="str">
        <x:f>IFERROR(IF($K122="","",IF(LENH_GOC!P123="","",IFERROR(VALUE(LENH_GOC!P123),IF(OR(LENH_GOC!P123=TRUE,UPPER(TRIM(LENH_GOC!P123))="TRUE"),1,0)))),"")</x:f>
      </x:c>
      <x:c r="R122" t="str">
        <x:f>IF($K122="","",IF(LENH_GOC!Q123="","",LENH_GOC!Q123))</x:f>
      </x:c>
      <x:c r="S122" s="249" t="str">
        <x:f>IF($K122="","",IF(LENH_GOC!R123="","",LENH_GOC!R123))</x:f>
      </x:c>
      <x:c r="T122" t="n">
        <x:f>IFERROR(IF($K122="",0,IF(AND(ISNUMBER($N122),INT($N122)=CAI_DAT!$B$4,LEFT(UPPER(TRIM($L122)),2)=LEFT(UPPER(TRIM(CAI_DAT!$B$5)),2),$Q122=1,OR(AND($M122="SO",ISNUMBER($P122),$P122&gt;0),AND($M122="MO",ISNUMBER($O122),$O122&gt;0))),1,0)),0)</x:f>
        <x:v>0</x:v>
      </x:c>
      <x:c r="U122" t="str">
        <x:f>IFERROR(IF($T122=0,"",IF($M122="SO",$P122,IF(AND($M122="MO",OR($R122=TRUE,$R122="TRUE"),ISNUMBER($P122),$P122&gt;0),$P122,$O122))),"")</x:f>
      </x:c>
      <x:c r="V122" t="str">
        <x:f>IFERROR(IF($T122=0,"",MOD($N122,1)*86400),"")</x:f>
      </x:c>
      <x:c r="W122" t="str">
        <x:f>IFERROR(IF($T122=0,"",COUNTIFS($T$3:$T$202,1,$V$3:$V$202,"&lt;"&amp;$V122)+COUNTIFS($T$3:$T122,1,$V$3:$V122,$V122)),"")</x:f>
      </x:c>
      <x:c r="X122" t="str">
        <x:f>IFERROR(IF($T122=0,"",IF($M122="SO","SO: dùng CS hoàn thành",IF(AND($M122="MO",OR($R122=TRUE,$R122="TRUE"),ISNUMBER($P122),$P122&gt;0),"MO dừng sớm: dùng CS hoàn thành","MO: dùng CS ra lệnh"))),"")</x:f>
      </x:c>
    </x:row>
    <x:row r="123">
      <x:c r="J123" t="str">
        <x:f>IF(LENH_GOC!A124="","",124)</x:f>
      </x:c>
      <x:c r="K123" t="str">
        <x:f>IF(LENH_GOC!A124="","",LENH_GOC!A124)</x:f>
      </x:c>
      <x:c r="L123" t="str">
        <x:f>IF($K123="","",IFERROR(TRIM(LENH_GOC!C124),""))</x:f>
      </x:c>
      <x:c r="M123" t="str">
        <x:f>IF($K123="","",IFERROR(UPPER(TRIM(LENH_GOC!Y124)),""))</x:f>
      </x:c>
      <x:c r="N123" s="249" t="str">
        <x:f>IFERROR(IF($K123="","",IF(LENH_GOC!G124="","",IF(ISNUMBER(LENH_GOC!G124),LENH_GOC!G124,DATE(VALUE(MID(LENH_GOC!G124,7,4)),VALUE(MID(LENH_GOC!G124,4,2)),VALUE(LEFT(LENH_GOC!G124,2)))+TIME(VALUE(MID(LENH_GOC!G124,12,2)),VALUE(MID(LENH_GOC!G124,15,2)),VALUE(MID(LENH_GOC!G124,18,2)))))), "")</x:f>
      </x:c>
      <x:c r="O123" t="str">
        <x:f>IF($K123="","",IF(LENH_GOC!E124="","",LENH_GOC!E124))</x:f>
      </x:c>
      <x:c r="P123" t="str">
        <x:f>IF($K123="","",IF(LENH_GOC!F124="","",LENH_GOC!F124))</x:f>
      </x:c>
      <x:c r="Q123" t="str">
        <x:f>IFERROR(IF($K123="","",IF(LENH_GOC!P124="","",IFERROR(VALUE(LENH_GOC!P124),IF(OR(LENH_GOC!P124=TRUE,UPPER(TRIM(LENH_GOC!P124))="TRUE"),1,0)))),"")</x:f>
      </x:c>
      <x:c r="R123" t="str">
        <x:f>IF($K123="","",IF(LENH_GOC!Q124="","",LENH_GOC!Q124))</x:f>
      </x:c>
      <x:c r="S123" s="249" t="str">
        <x:f>IF($K123="","",IF(LENH_GOC!R124="","",LENH_GOC!R124))</x:f>
      </x:c>
      <x:c r="T123" t="n">
        <x:f>IFERROR(IF($K123="",0,IF(AND(ISNUMBER($N123),INT($N123)=CAI_DAT!$B$4,LEFT(UPPER(TRIM($L123)),2)=LEFT(UPPER(TRIM(CAI_DAT!$B$5)),2),$Q123=1,OR(AND($M123="SO",ISNUMBER($P123),$P123&gt;0),AND($M123="MO",ISNUMBER($O123),$O123&gt;0))),1,0)),0)</x:f>
        <x:v>0</x:v>
      </x:c>
      <x:c r="U123" t="str">
        <x:f>IFERROR(IF($T123=0,"",IF($M123="SO",$P123,IF(AND($M123="MO",OR($R123=TRUE,$R123="TRUE"),ISNUMBER($P123),$P123&gt;0),$P123,$O123))),"")</x:f>
      </x:c>
      <x:c r="V123" t="str">
        <x:f>IFERROR(IF($T123=0,"",MOD($N123,1)*86400),"")</x:f>
      </x:c>
      <x:c r="W123" t="str">
        <x:f>IFERROR(IF($T123=0,"",COUNTIFS($T$3:$T$202,1,$V$3:$V$202,"&lt;"&amp;$V123)+COUNTIFS($T$3:$T123,1,$V$3:$V123,$V123)),"")</x:f>
      </x:c>
      <x:c r="X123" t="str">
        <x:f>IFERROR(IF($T123=0,"",IF($M123="SO","SO: dùng CS hoàn thành",IF(AND($M123="MO",OR($R123=TRUE,$R123="TRUE"),ISNUMBER($P123),$P123&gt;0),"MO dừng sớm: dùng CS hoàn thành","MO: dùng CS ra lệnh"))),"")</x:f>
      </x:c>
    </x:row>
    <x:row r="124">
      <x:c r="J124" t="str">
        <x:f>IF(LENH_GOC!A125="","",125)</x:f>
      </x:c>
      <x:c r="K124" t="str">
        <x:f>IF(LENH_GOC!A125="","",LENH_GOC!A125)</x:f>
      </x:c>
      <x:c r="L124" t="str">
        <x:f>IF($K124="","",IFERROR(TRIM(LENH_GOC!C125),""))</x:f>
      </x:c>
      <x:c r="M124" t="str">
        <x:f>IF($K124="","",IFERROR(UPPER(TRIM(LENH_GOC!Y125)),""))</x:f>
      </x:c>
      <x:c r="N124" s="249" t="str">
        <x:f>IFERROR(IF($K124="","",IF(LENH_GOC!G125="","",IF(ISNUMBER(LENH_GOC!G125),LENH_GOC!G125,DATE(VALUE(MID(LENH_GOC!G125,7,4)),VALUE(MID(LENH_GOC!G125,4,2)),VALUE(LEFT(LENH_GOC!G125,2)))+TIME(VALUE(MID(LENH_GOC!G125,12,2)),VALUE(MID(LENH_GOC!G125,15,2)),VALUE(MID(LENH_GOC!G125,18,2)))))), "")</x:f>
      </x:c>
      <x:c r="O124" t="str">
        <x:f>IF($K124="","",IF(LENH_GOC!E125="","",LENH_GOC!E125))</x:f>
      </x:c>
      <x:c r="P124" t="str">
        <x:f>IF($K124="","",IF(LENH_GOC!F125="","",LENH_GOC!F125))</x:f>
      </x:c>
      <x:c r="Q124" t="str">
        <x:f>IFERROR(IF($K124="","",IF(LENH_GOC!P125="","",IFERROR(VALUE(LENH_GOC!P125),IF(OR(LENH_GOC!P125=TRUE,UPPER(TRIM(LENH_GOC!P125))="TRUE"),1,0)))),"")</x:f>
      </x:c>
      <x:c r="R124" t="str">
        <x:f>IF($K124="","",IF(LENH_GOC!Q125="","",LENH_GOC!Q125))</x:f>
      </x:c>
      <x:c r="S124" s="249" t="str">
        <x:f>IF($K124="","",IF(LENH_GOC!R125="","",LENH_GOC!R125))</x:f>
      </x:c>
      <x:c r="T124" t="n">
        <x:f>IFERROR(IF($K124="",0,IF(AND(ISNUMBER($N124),INT($N124)=CAI_DAT!$B$4,LEFT(UPPER(TRIM($L124)),2)=LEFT(UPPER(TRIM(CAI_DAT!$B$5)),2),$Q124=1,OR(AND($M124="SO",ISNUMBER($P124),$P124&gt;0),AND($M124="MO",ISNUMBER($O124),$O124&gt;0))),1,0)),0)</x:f>
        <x:v>0</x:v>
      </x:c>
      <x:c r="U124" t="str">
        <x:f>IFERROR(IF($T124=0,"",IF($M124="SO",$P124,IF(AND($M124="MO",OR($R124=TRUE,$R124="TRUE"),ISNUMBER($P124),$P124&gt;0),$P124,$O124))),"")</x:f>
      </x:c>
      <x:c r="V124" t="str">
        <x:f>IFERROR(IF($T124=0,"",MOD($N124,1)*86400),"")</x:f>
      </x:c>
      <x:c r="W124" t="str">
        <x:f>IFERROR(IF($T124=0,"",COUNTIFS($T$3:$T$202,1,$V$3:$V$202,"&lt;"&amp;$V124)+COUNTIFS($T$3:$T124,1,$V$3:$V124,$V124)),"")</x:f>
      </x:c>
      <x:c r="X124" t="str">
        <x:f>IFERROR(IF($T124=0,"",IF($M124="SO","SO: dùng CS hoàn thành",IF(AND($M124="MO",OR($R124=TRUE,$R124="TRUE"),ISNUMBER($P124),$P124&gt;0),"MO dừng sớm: dùng CS hoàn thành","MO: dùng CS ra lệnh"))),"")</x:f>
      </x:c>
    </x:row>
    <x:row r="125">
      <x:c r="J125" t="str">
        <x:f>IF(LENH_GOC!A126="","",126)</x:f>
      </x:c>
      <x:c r="K125" t="str">
        <x:f>IF(LENH_GOC!A126="","",LENH_GOC!A126)</x:f>
      </x:c>
      <x:c r="L125" t="str">
        <x:f>IF($K125="","",IFERROR(TRIM(LENH_GOC!C126),""))</x:f>
      </x:c>
      <x:c r="M125" t="str">
        <x:f>IF($K125="","",IFERROR(UPPER(TRIM(LENH_GOC!Y126)),""))</x:f>
      </x:c>
      <x:c r="N125" s="249" t="str">
        <x:f>IFERROR(IF($K125="","",IF(LENH_GOC!G126="","",IF(ISNUMBER(LENH_GOC!G126),LENH_GOC!G126,DATE(VALUE(MID(LENH_GOC!G126,7,4)),VALUE(MID(LENH_GOC!G126,4,2)),VALUE(LEFT(LENH_GOC!G126,2)))+TIME(VALUE(MID(LENH_GOC!G126,12,2)),VALUE(MID(LENH_GOC!G126,15,2)),VALUE(MID(LENH_GOC!G126,18,2)))))), "")</x:f>
      </x:c>
      <x:c r="O125" t="str">
        <x:f>IF($K125="","",IF(LENH_GOC!E126="","",LENH_GOC!E126))</x:f>
      </x:c>
      <x:c r="P125" t="str">
        <x:f>IF($K125="","",IF(LENH_GOC!F126="","",LENH_GOC!F126))</x:f>
      </x:c>
      <x:c r="Q125" t="str">
        <x:f>IFERROR(IF($K125="","",IF(LENH_GOC!P126="","",IFERROR(VALUE(LENH_GOC!P126),IF(OR(LENH_GOC!P126=TRUE,UPPER(TRIM(LENH_GOC!P126))="TRUE"),1,0)))),"")</x:f>
      </x:c>
      <x:c r="R125" t="str">
        <x:f>IF($K125="","",IF(LENH_GOC!Q126="","",LENH_GOC!Q126))</x:f>
      </x:c>
      <x:c r="S125" s="249" t="str">
        <x:f>IF($K125="","",IF(LENH_GOC!R126="","",LENH_GOC!R126))</x:f>
      </x:c>
      <x:c r="T125" t="n">
        <x:f>IFERROR(IF($K125="",0,IF(AND(ISNUMBER($N125),INT($N125)=CAI_DAT!$B$4,LEFT(UPPER(TRIM($L125)),2)=LEFT(UPPER(TRIM(CAI_DAT!$B$5)),2),$Q125=1,OR(AND($M125="SO",ISNUMBER($P125),$P125&gt;0),AND($M125="MO",ISNUMBER($O125),$O125&gt;0))),1,0)),0)</x:f>
        <x:v>0</x:v>
      </x:c>
      <x:c r="U125" t="str">
        <x:f>IFERROR(IF($T125=0,"",IF($M125="SO",$P125,IF(AND($M125="MO",OR($R125=TRUE,$R125="TRUE"),ISNUMBER($P125),$P125&gt;0),$P125,$O125))),"")</x:f>
      </x:c>
      <x:c r="V125" t="str">
        <x:f>IFERROR(IF($T125=0,"",MOD($N125,1)*86400),"")</x:f>
      </x:c>
      <x:c r="W125" t="str">
        <x:f>IFERROR(IF($T125=0,"",COUNTIFS($T$3:$T$202,1,$V$3:$V$202,"&lt;"&amp;$V125)+COUNTIFS($T$3:$T125,1,$V$3:$V125,$V125)),"")</x:f>
      </x:c>
      <x:c r="X125" t="str">
        <x:f>IFERROR(IF($T125=0,"",IF($M125="SO","SO: dùng CS hoàn thành",IF(AND($M125="MO",OR($R125=TRUE,$R125="TRUE"),ISNUMBER($P125),$P125&gt;0),"MO dừng sớm: dùng CS hoàn thành","MO: dùng CS ra lệnh"))),"")</x:f>
      </x:c>
    </x:row>
    <x:row r="126">
      <x:c r="J126" t="str">
        <x:f>IF(LENH_GOC!A127="","",127)</x:f>
      </x:c>
      <x:c r="K126" t="str">
        <x:f>IF(LENH_GOC!A127="","",LENH_GOC!A127)</x:f>
      </x:c>
      <x:c r="L126" t="str">
        <x:f>IF($K126="","",IFERROR(TRIM(LENH_GOC!C127),""))</x:f>
      </x:c>
      <x:c r="M126" t="str">
        <x:f>IF($K126="","",IFERROR(UPPER(TRIM(LENH_GOC!Y127)),""))</x:f>
      </x:c>
      <x:c r="N126" s="249" t="str">
        <x:f>IFERROR(IF($K126="","",IF(LENH_GOC!G127="","",IF(ISNUMBER(LENH_GOC!G127),LENH_GOC!G127,DATE(VALUE(MID(LENH_GOC!G127,7,4)),VALUE(MID(LENH_GOC!G127,4,2)),VALUE(LEFT(LENH_GOC!G127,2)))+TIME(VALUE(MID(LENH_GOC!G127,12,2)),VALUE(MID(LENH_GOC!G127,15,2)),VALUE(MID(LENH_GOC!G127,18,2)))))), "")</x:f>
      </x:c>
      <x:c r="O126" t="str">
        <x:f>IF($K126="","",IF(LENH_GOC!E127="","",LENH_GOC!E127))</x:f>
      </x:c>
      <x:c r="P126" t="str">
        <x:f>IF($K126="","",IF(LENH_GOC!F127="","",LENH_GOC!F127))</x:f>
      </x:c>
      <x:c r="Q126" t="str">
        <x:f>IFERROR(IF($K126="","",IF(LENH_GOC!P127="","",IFERROR(VALUE(LENH_GOC!P127),IF(OR(LENH_GOC!P127=TRUE,UPPER(TRIM(LENH_GOC!P127))="TRUE"),1,0)))),"")</x:f>
      </x:c>
      <x:c r="R126" t="str">
        <x:f>IF($K126="","",IF(LENH_GOC!Q127="","",LENH_GOC!Q127))</x:f>
      </x:c>
      <x:c r="S126" s="249" t="str">
        <x:f>IF($K126="","",IF(LENH_GOC!R127="","",LENH_GOC!R127))</x:f>
      </x:c>
      <x:c r="T126" t="n">
        <x:f>IFERROR(IF($K126="",0,IF(AND(ISNUMBER($N126),INT($N126)=CAI_DAT!$B$4,LEFT(UPPER(TRIM($L126)),2)=LEFT(UPPER(TRIM(CAI_DAT!$B$5)),2),$Q126=1,OR(AND($M126="SO",ISNUMBER($P126),$P126&gt;0),AND($M126="MO",ISNUMBER($O126),$O126&gt;0))),1,0)),0)</x:f>
        <x:v>0</x:v>
      </x:c>
      <x:c r="U126" t="str">
        <x:f>IFERROR(IF($T126=0,"",IF($M126="SO",$P126,IF(AND($M126="MO",OR($R126=TRUE,$R126="TRUE"),ISNUMBER($P126),$P126&gt;0),$P126,$O126))),"")</x:f>
      </x:c>
      <x:c r="V126" t="str">
        <x:f>IFERROR(IF($T126=0,"",MOD($N126,1)*86400),"")</x:f>
      </x:c>
      <x:c r="W126" t="str">
        <x:f>IFERROR(IF($T126=0,"",COUNTIFS($T$3:$T$202,1,$V$3:$V$202,"&lt;"&amp;$V126)+COUNTIFS($T$3:$T126,1,$V$3:$V126,$V126)),"")</x:f>
      </x:c>
      <x:c r="X126" t="str">
        <x:f>IFERROR(IF($T126=0,"",IF($M126="SO","SO: dùng CS hoàn thành",IF(AND($M126="MO",OR($R126=TRUE,$R126="TRUE"),ISNUMBER($P126),$P126&gt;0),"MO dừng sớm: dùng CS hoàn thành","MO: dùng CS ra lệnh"))),"")</x:f>
      </x:c>
    </x:row>
    <x:row r="127">
      <x:c r="J127" t="str">
        <x:f>IF(LENH_GOC!A128="","",128)</x:f>
      </x:c>
      <x:c r="K127" t="str">
        <x:f>IF(LENH_GOC!A128="","",LENH_GOC!A128)</x:f>
      </x:c>
      <x:c r="L127" t="str">
        <x:f>IF($K127="","",IFERROR(TRIM(LENH_GOC!C128),""))</x:f>
      </x:c>
      <x:c r="M127" t="str">
        <x:f>IF($K127="","",IFERROR(UPPER(TRIM(LENH_GOC!Y128)),""))</x:f>
      </x:c>
      <x:c r="N127" s="249" t="str">
        <x:f>IFERROR(IF($K127="","",IF(LENH_GOC!G128="","",IF(ISNUMBER(LENH_GOC!G128),LENH_GOC!G128,DATE(VALUE(MID(LENH_GOC!G128,7,4)),VALUE(MID(LENH_GOC!G128,4,2)),VALUE(LEFT(LENH_GOC!G128,2)))+TIME(VALUE(MID(LENH_GOC!G128,12,2)),VALUE(MID(LENH_GOC!G128,15,2)),VALUE(MID(LENH_GOC!G128,18,2)))))), "")</x:f>
      </x:c>
      <x:c r="O127" t="str">
        <x:f>IF($K127="","",IF(LENH_GOC!E128="","",LENH_GOC!E128))</x:f>
      </x:c>
      <x:c r="P127" t="str">
        <x:f>IF($K127="","",IF(LENH_GOC!F128="","",LENH_GOC!F128))</x:f>
      </x:c>
      <x:c r="Q127" t="str">
        <x:f>IFERROR(IF($K127="","",IF(LENH_GOC!P128="","",IFERROR(VALUE(LENH_GOC!P128),IF(OR(LENH_GOC!P128=TRUE,UPPER(TRIM(LENH_GOC!P128))="TRUE"),1,0)))),"")</x:f>
      </x:c>
      <x:c r="R127" t="str">
        <x:f>IF($K127="","",IF(LENH_GOC!Q128="","",LENH_GOC!Q128))</x:f>
      </x:c>
      <x:c r="S127" s="249" t="str">
        <x:f>IF($K127="","",IF(LENH_GOC!R128="","",LENH_GOC!R128))</x:f>
      </x:c>
      <x:c r="T127" t="n">
        <x:f>IFERROR(IF($K127="",0,IF(AND(ISNUMBER($N127),INT($N127)=CAI_DAT!$B$4,LEFT(UPPER(TRIM($L127)),2)=LEFT(UPPER(TRIM(CAI_DAT!$B$5)),2),$Q127=1,OR(AND($M127="SO",ISNUMBER($P127),$P127&gt;0),AND($M127="MO",ISNUMBER($O127),$O127&gt;0))),1,0)),0)</x:f>
        <x:v>0</x:v>
      </x:c>
      <x:c r="U127" t="str">
        <x:f>IFERROR(IF($T127=0,"",IF($M127="SO",$P127,IF(AND($M127="MO",OR($R127=TRUE,$R127="TRUE"),ISNUMBER($P127),$P127&gt;0),$P127,$O127))),"")</x:f>
      </x:c>
      <x:c r="V127" t="str">
        <x:f>IFERROR(IF($T127=0,"",MOD($N127,1)*86400),"")</x:f>
      </x:c>
      <x:c r="W127" t="str">
        <x:f>IFERROR(IF($T127=0,"",COUNTIFS($T$3:$T$202,1,$V$3:$V$202,"&lt;"&amp;$V127)+COUNTIFS($T$3:$T127,1,$V$3:$V127,$V127)),"")</x:f>
      </x:c>
      <x:c r="X127" t="str">
        <x:f>IFERROR(IF($T127=0,"",IF($M127="SO","SO: dùng CS hoàn thành",IF(AND($M127="MO",OR($R127=TRUE,$R127="TRUE"),ISNUMBER($P127),$P127&gt;0),"MO dừng sớm: dùng CS hoàn thành","MO: dùng CS ra lệnh"))),"")</x:f>
      </x:c>
    </x:row>
    <x:row r="128">
      <x:c r="J128" t="str">
        <x:f>IF(LENH_GOC!A129="","",129)</x:f>
      </x:c>
      <x:c r="K128" t="str">
        <x:f>IF(LENH_GOC!A129="","",LENH_GOC!A129)</x:f>
      </x:c>
      <x:c r="L128" t="str">
        <x:f>IF($K128="","",IFERROR(TRIM(LENH_GOC!C129),""))</x:f>
      </x:c>
      <x:c r="M128" t="str">
        <x:f>IF($K128="","",IFERROR(UPPER(TRIM(LENH_GOC!Y129)),""))</x:f>
      </x:c>
      <x:c r="N128" s="249" t="str">
        <x:f>IFERROR(IF($K128="","",IF(LENH_GOC!G129="","",IF(ISNUMBER(LENH_GOC!G129),LENH_GOC!G129,DATE(VALUE(MID(LENH_GOC!G129,7,4)),VALUE(MID(LENH_GOC!G129,4,2)),VALUE(LEFT(LENH_GOC!G129,2)))+TIME(VALUE(MID(LENH_GOC!G129,12,2)),VALUE(MID(LENH_GOC!G129,15,2)),VALUE(MID(LENH_GOC!G129,18,2)))))), "")</x:f>
      </x:c>
      <x:c r="O128" t="str">
        <x:f>IF($K128="","",IF(LENH_GOC!E129="","",LENH_GOC!E129))</x:f>
      </x:c>
      <x:c r="P128" t="str">
        <x:f>IF($K128="","",IF(LENH_GOC!F129="","",LENH_GOC!F129))</x:f>
      </x:c>
      <x:c r="Q128" t="str">
        <x:f>IFERROR(IF($K128="","",IF(LENH_GOC!P129="","",IFERROR(VALUE(LENH_GOC!P129),IF(OR(LENH_GOC!P129=TRUE,UPPER(TRIM(LENH_GOC!P129))="TRUE"),1,0)))),"")</x:f>
      </x:c>
      <x:c r="R128" t="str">
        <x:f>IF($K128="","",IF(LENH_GOC!Q129="","",LENH_GOC!Q129))</x:f>
      </x:c>
      <x:c r="S128" s="249" t="str">
        <x:f>IF($K128="","",IF(LENH_GOC!R129="","",LENH_GOC!R129))</x:f>
      </x:c>
      <x:c r="T128" t="n">
        <x:f>IFERROR(IF($K128="",0,IF(AND(ISNUMBER($N128),INT($N128)=CAI_DAT!$B$4,LEFT(UPPER(TRIM($L128)),2)=LEFT(UPPER(TRIM(CAI_DAT!$B$5)),2),$Q128=1,OR(AND($M128="SO",ISNUMBER($P128),$P128&gt;0),AND($M128="MO",ISNUMBER($O128),$O128&gt;0))),1,0)),0)</x:f>
        <x:v>0</x:v>
      </x:c>
      <x:c r="U128" t="str">
        <x:f>IFERROR(IF($T128=0,"",IF($M128="SO",$P128,IF(AND($M128="MO",OR($R128=TRUE,$R128="TRUE"),ISNUMBER($P128),$P128&gt;0),$P128,$O128))),"")</x:f>
      </x:c>
      <x:c r="V128" t="str">
        <x:f>IFERROR(IF($T128=0,"",MOD($N128,1)*86400),"")</x:f>
      </x:c>
      <x:c r="W128" t="str">
        <x:f>IFERROR(IF($T128=0,"",COUNTIFS($T$3:$T$202,1,$V$3:$V$202,"&lt;"&amp;$V128)+COUNTIFS($T$3:$T128,1,$V$3:$V128,$V128)),"")</x:f>
      </x:c>
      <x:c r="X128" t="str">
        <x:f>IFERROR(IF($T128=0,"",IF($M128="SO","SO: dùng CS hoàn thành",IF(AND($M128="MO",OR($R128=TRUE,$R128="TRUE"),ISNUMBER($P128),$P128&gt;0),"MO dừng sớm: dùng CS hoàn thành","MO: dùng CS ra lệnh"))),"")</x:f>
      </x:c>
    </x:row>
    <x:row r="129">
      <x:c r="J129" t="str">
        <x:f>IF(LENH_GOC!A130="","",130)</x:f>
      </x:c>
      <x:c r="K129" t="str">
        <x:f>IF(LENH_GOC!A130="","",LENH_GOC!A130)</x:f>
      </x:c>
      <x:c r="L129" t="str">
        <x:f>IF($K129="","",IFERROR(TRIM(LENH_GOC!C130),""))</x:f>
      </x:c>
      <x:c r="M129" t="str">
        <x:f>IF($K129="","",IFERROR(UPPER(TRIM(LENH_GOC!Y130)),""))</x:f>
      </x:c>
      <x:c r="N129" s="249" t="str">
        <x:f>IFERROR(IF($K129="","",IF(LENH_GOC!G130="","",IF(ISNUMBER(LENH_GOC!G130),LENH_GOC!G130,DATE(VALUE(MID(LENH_GOC!G130,7,4)),VALUE(MID(LENH_GOC!G130,4,2)),VALUE(LEFT(LENH_GOC!G130,2)))+TIME(VALUE(MID(LENH_GOC!G130,12,2)),VALUE(MID(LENH_GOC!G130,15,2)),VALUE(MID(LENH_GOC!G130,18,2)))))), "")</x:f>
      </x:c>
      <x:c r="O129" t="str">
        <x:f>IF($K129="","",IF(LENH_GOC!E130="","",LENH_GOC!E130))</x:f>
      </x:c>
      <x:c r="P129" t="str">
        <x:f>IF($K129="","",IF(LENH_GOC!F130="","",LENH_GOC!F130))</x:f>
      </x:c>
      <x:c r="Q129" t="str">
        <x:f>IFERROR(IF($K129="","",IF(LENH_GOC!P130="","",IFERROR(VALUE(LENH_GOC!P130),IF(OR(LENH_GOC!P130=TRUE,UPPER(TRIM(LENH_GOC!P130))="TRUE"),1,0)))),"")</x:f>
      </x:c>
      <x:c r="R129" t="str">
        <x:f>IF($K129="","",IF(LENH_GOC!Q130="","",LENH_GOC!Q130))</x:f>
      </x:c>
      <x:c r="S129" s="249" t="str">
        <x:f>IF($K129="","",IF(LENH_GOC!R130="","",LENH_GOC!R130))</x:f>
      </x:c>
      <x:c r="T129" t="n">
        <x:f>IFERROR(IF($K129="",0,IF(AND(ISNUMBER($N129),INT($N129)=CAI_DAT!$B$4,LEFT(UPPER(TRIM($L129)),2)=LEFT(UPPER(TRIM(CAI_DAT!$B$5)),2),$Q129=1,OR(AND($M129="SO",ISNUMBER($P129),$P129&gt;0),AND($M129="MO",ISNUMBER($O129),$O129&gt;0))),1,0)),0)</x:f>
        <x:v>0</x:v>
      </x:c>
      <x:c r="U129" t="str">
        <x:f>IFERROR(IF($T129=0,"",IF($M129="SO",$P129,IF(AND($M129="MO",OR($R129=TRUE,$R129="TRUE"),ISNUMBER($P129),$P129&gt;0),$P129,$O129))),"")</x:f>
      </x:c>
      <x:c r="V129" t="str">
        <x:f>IFERROR(IF($T129=0,"",MOD($N129,1)*86400),"")</x:f>
      </x:c>
      <x:c r="W129" t="str">
        <x:f>IFERROR(IF($T129=0,"",COUNTIFS($T$3:$T$202,1,$V$3:$V$202,"&lt;"&amp;$V129)+COUNTIFS($T$3:$T129,1,$V$3:$V129,$V129)),"")</x:f>
      </x:c>
      <x:c r="X129" t="str">
        <x:f>IFERROR(IF($T129=0,"",IF($M129="SO","SO: dùng CS hoàn thành",IF(AND($M129="MO",OR($R129=TRUE,$R129="TRUE"),ISNUMBER($P129),$P129&gt;0),"MO dừng sớm: dùng CS hoàn thành","MO: dùng CS ra lệnh"))),"")</x:f>
      </x:c>
    </x:row>
    <x:row r="130">
      <x:c r="J130" t="str">
        <x:f>IF(LENH_GOC!A131="","",131)</x:f>
      </x:c>
      <x:c r="K130" t="str">
        <x:f>IF(LENH_GOC!A131="","",LENH_GOC!A131)</x:f>
      </x:c>
      <x:c r="L130" t="str">
        <x:f>IF($K130="","",IFERROR(TRIM(LENH_GOC!C131),""))</x:f>
      </x:c>
      <x:c r="M130" t="str">
        <x:f>IF($K130="","",IFERROR(UPPER(TRIM(LENH_GOC!Y131)),""))</x:f>
      </x:c>
      <x:c r="N130" s="249" t="str">
        <x:f>IFERROR(IF($K130="","",IF(LENH_GOC!G131="","",IF(ISNUMBER(LENH_GOC!G131),LENH_GOC!G131,DATE(VALUE(MID(LENH_GOC!G131,7,4)),VALUE(MID(LENH_GOC!G131,4,2)),VALUE(LEFT(LENH_GOC!G131,2)))+TIME(VALUE(MID(LENH_GOC!G131,12,2)),VALUE(MID(LENH_GOC!G131,15,2)),VALUE(MID(LENH_GOC!G131,18,2)))))), "")</x:f>
      </x:c>
      <x:c r="O130" t="str">
        <x:f>IF($K130="","",IF(LENH_GOC!E131="","",LENH_GOC!E131))</x:f>
      </x:c>
      <x:c r="P130" t="str">
        <x:f>IF($K130="","",IF(LENH_GOC!F131="","",LENH_GOC!F131))</x:f>
      </x:c>
      <x:c r="Q130" t="str">
        <x:f>IFERROR(IF($K130="","",IF(LENH_GOC!P131="","",IFERROR(VALUE(LENH_GOC!P131),IF(OR(LENH_GOC!P131=TRUE,UPPER(TRIM(LENH_GOC!P131))="TRUE"),1,0)))),"")</x:f>
      </x:c>
      <x:c r="R130" t="str">
        <x:f>IF($K130="","",IF(LENH_GOC!Q131="","",LENH_GOC!Q131))</x:f>
      </x:c>
      <x:c r="S130" s="249" t="str">
        <x:f>IF($K130="","",IF(LENH_GOC!R131="","",LENH_GOC!R131))</x:f>
      </x:c>
      <x:c r="T130" t="n">
        <x:f>IFERROR(IF($K130="",0,IF(AND(ISNUMBER($N130),INT($N130)=CAI_DAT!$B$4,LEFT(UPPER(TRIM($L130)),2)=LEFT(UPPER(TRIM(CAI_DAT!$B$5)),2),$Q130=1,OR(AND($M130="SO",ISNUMBER($P130),$P130&gt;0),AND($M130="MO",ISNUMBER($O130),$O130&gt;0))),1,0)),0)</x:f>
        <x:v>0</x:v>
      </x:c>
      <x:c r="U130" t="str">
        <x:f>IFERROR(IF($T130=0,"",IF($M130="SO",$P130,IF(AND($M130="MO",OR($R130=TRUE,$R130="TRUE"),ISNUMBER($P130),$P130&gt;0),$P130,$O130))),"")</x:f>
      </x:c>
      <x:c r="V130" t="str">
        <x:f>IFERROR(IF($T130=0,"",MOD($N130,1)*86400),"")</x:f>
      </x:c>
      <x:c r="W130" t="str">
        <x:f>IFERROR(IF($T130=0,"",COUNTIFS($T$3:$T$202,1,$V$3:$V$202,"&lt;"&amp;$V130)+COUNTIFS($T$3:$T130,1,$V$3:$V130,$V130)),"")</x:f>
      </x:c>
      <x:c r="X130" t="str">
        <x:f>IFERROR(IF($T130=0,"",IF($M130="SO","SO: dùng CS hoàn thành",IF(AND($M130="MO",OR($R130=TRUE,$R130="TRUE"),ISNUMBER($P130),$P130&gt;0),"MO dừng sớm: dùng CS hoàn thành","MO: dùng CS ra lệnh"))),"")</x:f>
      </x:c>
    </x:row>
    <x:row r="131">
      <x:c r="J131" t="str">
        <x:f>IF(LENH_GOC!A132="","",132)</x:f>
      </x:c>
      <x:c r="K131" t="str">
        <x:f>IF(LENH_GOC!A132="","",LENH_GOC!A132)</x:f>
      </x:c>
      <x:c r="L131" t="str">
        <x:f>IF($K131="","",IFERROR(TRIM(LENH_GOC!C132),""))</x:f>
      </x:c>
      <x:c r="M131" t="str">
        <x:f>IF($K131="","",IFERROR(UPPER(TRIM(LENH_GOC!Y132)),""))</x:f>
      </x:c>
      <x:c r="N131" s="249" t="str">
        <x:f>IFERROR(IF($K131="","",IF(LENH_GOC!G132="","",IF(ISNUMBER(LENH_GOC!G132),LENH_GOC!G132,DATE(VALUE(MID(LENH_GOC!G132,7,4)),VALUE(MID(LENH_GOC!G132,4,2)),VALUE(LEFT(LENH_GOC!G132,2)))+TIME(VALUE(MID(LENH_GOC!G132,12,2)),VALUE(MID(LENH_GOC!G132,15,2)),VALUE(MID(LENH_GOC!G132,18,2)))))), "")</x:f>
      </x:c>
      <x:c r="O131" t="str">
        <x:f>IF($K131="","",IF(LENH_GOC!E132="","",LENH_GOC!E132))</x:f>
      </x:c>
      <x:c r="P131" t="str">
        <x:f>IF($K131="","",IF(LENH_GOC!F132="","",LENH_GOC!F132))</x:f>
      </x:c>
      <x:c r="Q131" t="str">
        <x:f>IFERROR(IF($K131="","",IF(LENH_GOC!P132="","",IFERROR(VALUE(LENH_GOC!P132),IF(OR(LENH_GOC!P132=TRUE,UPPER(TRIM(LENH_GOC!P132))="TRUE"),1,0)))),"")</x:f>
      </x:c>
      <x:c r="R131" t="str">
        <x:f>IF($K131="","",IF(LENH_GOC!Q132="","",LENH_GOC!Q132))</x:f>
      </x:c>
      <x:c r="S131" s="249" t="str">
        <x:f>IF($K131="","",IF(LENH_GOC!R132="","",LENH_GOC!R132))</x:f>
      </x:c>
      <x:c r="T131" t="n">
        <x:f>IFERROR(IF($K131="",0,IF(AND(ISNUMBER($N131),INT($N131)=CAI_DAT!$B$4,LEFT(UPPER(TRIM($L131)),2)=LEFT(UPPER(TRIM(CAI_DAT!$B$5)),2),$Q131=1,OR(AND($M131="SO",ISNUMBER($P131),$P131&gt;0),AND($M131="MO",ISNUMBER($O131),$O131&gt;0))),1,0)),0)</x:f>
        <x:v>0</x:v>
      </x:c>
      <x:c r="U131" t="str">
        <x:f>IFERROR(IF($T131=0,"",IF($M131="SO",$P131,IF(AND($M131="MO",OR($R131=TRUE,$R131="TRUE"),ISNUMBER($P131),$P131&gt;0),$P131,$O131))),"")</x:f>
      </x:c>
      <x:c r="V131" t="str">
        <x:f>IFERROR(IF($T131=0,"",MOD($N131,1)*86400),"")</x:f>
      </x:c>
      <x:c r="W131" t="str">
        <x:f>IFERROR(IF($T131=0,"",COUNTIFS($T$3:$T$202,1,$V$3:$V$202,"&lt;"&amp;$V131)+COUNTIFS($T$3:$T131,1,$V$3:$V131,$V131)),"")</x:f>
      </x:c>
      <x:c r="X131" t="str">
        <x:f>IFERROR(IF($T131=0,"",IF($M131="SO","SO: dùng CS hoàn thành",IF(AND($M131="MO",OR($R131=TRUE,$R131="TRUE"),ISNUMBER($P131),$P131&gt;0),"MO dừng sớm: dùng CS hoàn thành","MO: dùng CS ra lệnh"))),"")</x:f>
      </x:c>
    </x:row>
    <x:row r="132">
      <x:c r="J132" t="str">
        <x:f>IF(LENH_GOC!A133="","",133)</x:f>
      </x:c>
      <x:c r="K132" t="str">
        <x:f>IF(LENH_GOC!A133="","",LENH_GOC!A133)</x:f>
      </x:c>
      <x:c r="L132" t="str">
        <x:f>IF($K132="","",IFERROR(TRIM(LENH_GOC!C133),""))</x:f>
      </x:c>
      <x:c r="M132" t="str">
        <x:f>IF($K132="","",IFERROR(UPPER(TRIM(LENH_GOC!Y133)),""))</x:f>
      </x:c>
      <x:c r="N132" s="249" t="str">
        <x:f>IFERROR(IF($K132="","",IF(LENH_GOC!G133="","",IF(ISNUMBER(LENH_GOC!G133),LENH_GOC!G133,DATE(VALUE(MID(LENH_GOC!G133,7,4)),VALUE(MID(LENH_GOC!G133,4,2)),VALUE(LEFT(LENH_GOC!G133,2)))+TIME(VALUE(MID(LENH_GOC!G133,12,2)),VALUE(MID(LENH_GOC!G133,15,2)),VALUE(MID(LENH_GOC!G133,18,2)))))), "")</x:f>
      </x:c>
      <x:c r="O132" t="str">
        <x:f>IF($K132="","",IF(LENH_GOC!E133="","",LENH_GOC!E133))</x:f>
      </x:c>
      <x:c r="P132" t="str">
        <x:f>IF($K132="","",IF(LENH_GOC!F133="","",LENH_GOC!F133))</x:f>
      </x:c>
      <x:c r="Q132" t="str">
        <x:f>IFERROR(IF($K132="","",IF(LENH_GOC!P133="","",IFERROR(VALUE(LENH_GOC!P133),IF(OR(LENH_GOC!P133=TRUE,UPPER(TRIM(LENH_GOC!P133))="TRUE"),1,0)))),"")</x:f>
      </x:c>
      <x:c r="R132" t="str">
        <x:f>IF($K132="","",IF(LENH_GOC!Q133="","",LENH_GOC!Q133))</x:f>
      </x:c>
      <x:c r="S132" s="249" t="str">
        <x:f>IF($K132="","",IF(LENH_GOC!R133="","",LENH_GOC!R133))</x:f>
      </x:c>
      <x:c r="T132" t="n">
        <x:f>IFERROR(IF($K132="",0,IF(AND(ISNUMBER($N132),INT($N132)=CAI_DAT!$B$4,LEFT(UPPER(TRIM($L132)),2)=LEFT(UPPER(TRIM(CAI_DAT!$B$5)),2),$Q132=1,OR(AND($M132="SO",ISNUMBER($P132),$P132&gt;0),AND($M132="MO",ISNUMBER($O132),$O132&gt;0))),1,0)),0)</x:f>
        <x:v>0</x:v>
      </x:c>
      <x:c r="U132" t="str">
        <x:f>IFERROR(IF($T132=0,"",IF($M132="SO",$P132,IF(AND($M132="MO",OR($R132=TRUE,$R132="TRUE"),ISNUMBER($P132),$P132&gt;0),$P132,$O132))),"")</x:f>
      </x:c>
      <x:c r="V132" t="str">
        <x:f>IFERROR(IF($T132=0,"",MOD($N132,1)*86400),"")</x:f>
      </x:c>
      <x:c r="W132" t="str">
        <x:f>IFERROR(IF($T132=0,"",COUNTIFS($T$3:$T$202,1,$V$3:$V$202,"&lt;"&amp;$V132)+COUNTIFS($T$3:$T132,1,$V$3:$V132,$V132)),"")</x:f>
      </x:c>
      <x:c r="X132" t="str">
        <x:f>IFERROR(IF($T132=0,"",IF($M132="SO","SO: dùng CS hoàn thành",IF(AND($M132="MO",OR($R132=TRUE,$R132="TRUE"),ISNUMBER($P132),$P132&gt;0),"MO dừng sớm: dùng CS hoàn thành","MO: dùng CS ra lệnh"))),"")</x:f>
      </x:c>
    </x:row>
    <x:row r="133">
      <x:c r="J133" t="str">
        <x:f>IF(LENH_GOC!A134="","",134)</x:f>
      </x:c>
      <x:c r="K133" t="str">
        <x:f>IF(LENH_GOC!A134="","",LENH_GOC!A134)</x:f>
      </x:c>
      <x:c r="L133" t="str">
        <x:f>IF($K133="","",IFERROR(TRIM(LENH_GOC!C134),""))</x:f>
      </x:c>
      <x:c r="M133" t="str">
        <x:f>IF($K133="","",IFERROR(UPPER(TRIM(LENH_GOC!Y134)),""))</x:f>
      </x:c>
      <x:c r="N133" s="249" t="str">
        <x:f>IFERROR(IF($K133="","",IF(LENH_GOC!G134="","",IF(ISNUMBER(LENH_GOC!G134),LENH_GOC!G134,DATE(VALUE(MID(LENH_GOC!G134,7,4)),VALUE(MID(LENH_GOC!G134,4,2)),VALUE(LEFT(LENH_GOC!G134,2)))+TIME(VALUE(MID(LENH_GOC!G134,12,2)),VALUE(MID(LENH_GOC!G134,15,2)),VALUE(MID(LENH_GOC!G134,18,2)))))), "")</x:f>
      </x:c>
      <x:c r="O133" t="str">
        <x:f>IF($K133="","",IF(LENH_GOC!E134="","",LENH_GOC!E134))</x:f>
      </x:c>
      <x:c r="P133" t="str">
        <x:f>IF($K133="","",IF(LENH_GOC!F134="","",LENH_GOC!F134))</x:f>
      </x:c>
      <x:c r="Q133" t="str">
        <x:f>IFERROR(IF($K133="","",IF(LENH_GOC!P134="","",IFERROR(VALUE(LENH_GOC!P134),IF(OR(LENH_GOC!P134=TRUE,UPPER(TRIM(LENH_GOC!P134))="TRUE"),1,0)))),"")</x:f>
      </x:c>
      <x:c r="R133" t="str">
        <x:f>IF($K133="","",IF(LENH_GOC!Q134="","",LENH_GOC!Q134))</x:f>
      </x:c>
      <x:c r="S133" s="249" t="str">
        <x:f>IF($K133="","",IF(LENH_GOC!R134="","",LENH_GOC!R134))</x:f>
      </x:c>
      <x:c r="T133" t="n">
        <x:f>IFERROR(IF($K133="",0,IF(AND(ISNUMBER($N133),INT($N133)=CAI_DAT!$B$4,LEFT(UPPER(TRIM($L133)),2)=LEFT(UPPER(TRIM(CAI_DAT!$B$5)),2),$Q133=1,OR(AND($M133="SO",ISNUMBER($P133),$P133&gt;0),AND($M133="MO",ISNUMBER($O133),$O133&gt;0))),1,0)),0)</x:f>
        <x:v>0</x:v>
      </x:c>
      <x:c r="U133" t="str">
        <x:f>IFERROR(IF($T133=0,"",IF($M133="SO",$P133,IF(AND($M133="MO",OR($R133=TRUE,$R133="TRUE"),ISNUMBER($P133),$P133&gt;0),$P133,$O133))),"")</x:f>
      </x:c>
      <x:c r="V133" t="str">
        <x:f>IFERROR(IF($T133=0,"",MOD($N133,1)*86400),"")</x:f>
      </x:c>
      <x:c r="W133" t="str">
        <x:f>IFERROR(IF($T133=0,"",COUNTIFS($T$3:$T$202,1,$V$3:$V$202,"&lt;"&amp;$V133)+COUNTIFS($T$3:$T133,1,$V$3:$V133,$V133)),"")</x:f>
      </x:c>
      <x:c r="X133" t="str">
        <x:f>IFERROR(IF($T133=0,"",IF($M133="SO","SO: dùng CS hoàn thành",IF(AND($M133="MO",OR($R133=TRUE,$R133="TRUE"),ISNUMBER($P133),$P133&gt;0),"MO dừng sớm: dùng CS hoàn thành","MO: dùng CS ra lệnh"))),"")</x:f>
      </x:c>
    </x:row>
    <x:row r="134">
      <x:c r="J134" t="str">
        <x:f>IF(LENH_GOC!A135="","",135)</x:f>
      </x:c>
      <x:c r="K134" t="str">
        <x:f>IF(LENH_GOC!A135="","",LENH_GOC!A135)</x:f>
      </x:c>
      <x:c r="L134" t="str">
        <x:f>IF($K134="","",IFERROR(TRIM(LENH_GOC!C135),""))</x:f>
      </x:c>
      <x:c r="M134" t="str">
        <x:f>IF($K134="","",IFERROR(UPPER(TRIM(LENH_GOC!Y135)),""))</x:f>
      </x:c>
      <x:c r="N134" s="249" t="str">
        <x:f>IFERROR(IF($K134="","",IF(LENH_GOC!G135="","",IF(ISNUMBER(LENH_GOC!G135),LENH_GOC!G135,DATE(VALUE(MID(LENH_GOC!G135,7,4)),VALUE(MID(LENH_GOC!G135,4,2)),VALUE(LEFT(LENH_GOC!G135,2)))+TIME(VALUE(MID(LENH_GOC!G135,12,2)),VALUE(MID(LENH_GOC!G135,15,2)),VALUE(MID(LENH_GOC!G135,18,2)))))), "")</x:f>
      </x:c>
      <x:c r="O134" t="str">
        <x:f>IF($K134="","",IF(LENH_GOC!E135="","",LENH_GOC!E135))</x:f>
      </x:c>
      <x:c r="P134" t="str">
        <x:f>IF($K134="","",IF(LENH_GOC!F135="","",LENH_GOC!F135))</x:f>
      </x:c>
      <x:c r="Q134" t="str">
        <x:f>IFERROR(IF($K134="","",IF(LENH_GOC!P135="","",IFERROR(VALUE(LENH_GOC!P135),IF(OR(LENH_GOC!P135=TRUE,UPPER(TRIM(LENH_GOC!P135))="TRUE"),1,0)))),"")</x:f>
      </x:c>
      <x:c r="R134" t="str">
        <x:f>IF($K134="","",IF(LENH_GOC!Q135="","",LENH_GOC!Q135))</x:f>
      </x:c>
      <x:c r="S134" s="249" t="str">
        <x:f>IF($K134="","",IF(LENH_GOC!R135="","",LENH_GOC!R135))</x:f>
      </x:c>
      <x:c r="T134" t="n">
        <x:f>IFERROR(IF($K134="",0,IF(AND(ISNUMBER($N134),INT($N134)=CAI_DAT!$B$4,LEFT(UPPER(TRIM($L134)),2)=LEFT(UPPER(TRIM(CAI_DAT!$B$5)),2),$Q134=1,OR(AND($M134="SO",ISNUMBER($P134),$P134&gt;0),AND($M134="MO",ISNUMBER($O134),$O134&gt;0))),1,0)),0)</x:f>
        <x:v>0</x:v>
      </x:c>
      <x:c r="U134" t="str">
        <x:f>IFERROR(IF($T134=0,"",IF($M134="SO",$P134,IF(AND($M134="MO",OR($R134=TRUE,$R134="TRUE"),ISNUMBER($P134),$P134&gt;0),$P134,$O134))),"")</x:f>
      </x:c>
      <x:c r="V134" t="str">
        <x:f>IFERROR(IF($T134=0,"",MOD($N134,1)*86400),"")</x:f>
      </x:c>
      <x:c r="W134" t="str">
        <x:f>IFERROR(IF($T134=0,"",COUNTIFS($T$3:$T$202,1,$V$3:$V$202,"&lt;"&amp;$V134)+COUNTIFS($T$3:$T134,1,$V$3:$V134,$V134)),"")</x:f>
      </x:c>
      <x:c r="X134" t="str">
        <x:f>IFERROR(IF($T134=0,"",IF($M134="SO","SO: dùng CS hoàn thành",IF(AND($M134="MO",OR($R134=TRUE,$R134="TRUE"),ISNUMBER($P134),$P134&gt;0),"MO dừng sớm: dùng CS hoàn thành","MO: dùng CS ra lệnh"))),"")</x:f>
      </x:c>
    </x:row>
    <x:row r="135">
      <x:c r="J135" t="str">
        <x:f>IF(LENH_GOC!A136="","",136)</x:f>
      </x:c>
      <x:c r="K135" t="str">
        <x:f>IF(LENH_GOC!A136="","",LENH_GOC!A136)</x:f>
      </x:c>
      <x:c r="L135" t="str">
        <x:f>IF($K135="","",IFERROR(TRIM(LENH_GOC!C136),""))</x:f>
      </x:c>
      <x:c r="M135" t="str">
        <x:f>IF($K135="","",IFERROR(UPPER(TRIM(LENH_GOC!Y136)),""))</x:f>
      </x:c>
      <x:c r="N135" s="249" t="str">
        <x:f>IFERROR(IF($K135="","",IF(LENH_GOC!G136="","",IF(ISNUMBER(LENH_GOC!G136),LENH_GOC!G136,DATE(VALUE(MID(LENH_GOC!G136,7,4)),VALUE(MID(LENH_GOC!G136,4,2)),VALUE(LEFT(LENH_GOC!G136,2)))+TIME(VALUE(MID(LENH_GOC!G136,12,2)),VALUE(MID(LENH_GOC!G136,15,2)),VALUE(MID(LENH_GOC!G136,18,2)))))), "")</x:f>
      </x:c>
      <x:c r="O135" t="str">
        <x:f>IF($K135="","",IF(LENH_GOC!E136="","",LENH_GOC!E136))</x:f>
      </x:c>
      <x:c r="P135" t="str">
        <x:f>IF($K135="","",IF(LENH_GOC!F136="","",LENH_GOC!F136))</x:f>
      </x:c>
      <x:c r="Q135" t="str">
        <x:f>IFERROR(IF($K135="","",IF(LENH_GOC!P136="","",IFERROR(VALUE(LENH_GOC!P136),IF(OR(LENH_GOC!P136=TRUE,UPPER(TRIM(LENH_GOC!P136))="TRUE"),1,0)))),"")</x:f>
      </x:c>
      <x:c r="R135" t="str">
        <x:f>IF($K135="","",IF(LENH_GOC!Q136="","",LENH_GOC!Q136))</x:f>
      </x:c>
      <x:c r="S135" s="249" t="str">
        <x:f>IF($K135="","",IF(LENH_GOC!R136="","",LENH_GOC!R136))</x:f>
      </x:c>
      <x:c r="T135" t="n">
        <x:f>IFERROR(IF($K135="",0,IF(AND(ISNUMBER($N135),INT($N135)=CAI_DAT!$B$4,LEFT(UPPER(TRIM($L135)),2)=LEFT(UPPER(TRIM(CAI_DAT!$B$5)),2),$Q135=1,OR(AND($M135="SO",ISNUMBER($P135),$P135&gt;0),AND($M135="MO",ISNUMBER($O135),$O135&gt;0))),1,0)),0)</x:f>
        <x:v>0</x:v>
      </x:c>
      <x:c r="U135" t="str">
        <x:f>IFERROR(IF($T135=0,"",IF($M135="SO",$P135,IF(AND($M135="MO",OR($R135=TRUE,$R135="TRUE"),ISNUMBER($P135),$P135&gt;0),$P135,$O135))),"")</x:f>
      </x:c>
      <x:c r="V135" t="str">
        <x:f>IFERROR(IF($T135=0,"",MOD($N135,1)*86400),"")</x:f>
      </x:c>
      <x:c r="W135" t="str">
        <x:f>IFERROR(IF($T135=0,"",COUNTIFS($T$3:$T$202,1,$V$3:$V$202,"&lt;"&amp;$V135)+COUNTIFS($T$3:$T135,1,$V$3:$V135,$V135)),"")</x:f>
      </x:c>
      <x:c r="X135" t="str">
        <x:f>IFERROR(IF($T135=0,"",IF($M135="SO","SO: dùng CS hoàn thành",IF(AND($M135="MO",OR($R135=TRUE,$R135="TRUE"),ISNUMBER($P135),$P135&gt;0),"MO dừng sớm: dùng CS hoàn thành","MO: dùng CS ra lệnh"))),"")</x:f>
      </x:c>
    </x:row>
    <x:row r="136">
      <x:c r="J136" t="str">
        <x:f>IF(LENH_GOC!A137="","",137)</x:f>
      </x:c>
      <x:c r="K136" t="str">
        <x:f>IF(LENH_GOC!A137="","",LENH_GOC!A137)</x:f>
      </x:c>
      <x:c r="L136" t="str">
        <x:f>IF($K136="","",IFERROR(TRIM(LENH_GOC!C137),""))</x:f>
      </x:c>
      <x:c r="M136" t="str">
        <x:f>IF($K136="","",IFERROR(UPPER(TRIM(LENH_GOC!Y137)),""))</x:f>
      </x:c>
      <x:c r="N136" s="249" t="str">
        <x:f>IFERROR(IF($K136="","",IF(LENH_GOC!G137="","",IF(ISNUMBER(LENH_GOC!G137),LENH_GOC!G137,DATE(VALUE(MID(LENH_GOC!G137,7,4)),VALUE(MID(LENH_GOC!G137,4,2)),VALUE(LEFT(LENH_GOC!G137,2)))+TIME(VALUE(MID(LENH_GOC!G137,12,2)),VALUE(MID(LENH_GOC!G137,15,2)),VALUE(MID(LENH_GOC!G137,18,2)))))), "")</x:f>
      </x:c>
      <x:c r="O136" t="str">
        <x:f>IF($K136="","",IF(LENH_GOC!E137="","",LENH_GOC!E137))</x:f>
      </x:c>
      <x:c r="P136" t="str">
        <x:f>IF($K136="","",IF(LENH_GOC!F137="","",LENH_GOC!F137))</x:f>
      </x:c>
      <x:c r="Q136" t="str">
        <x:f>IFERROR(IF($K136="","",IF(LENH_GOC!P137="","",IFERROR(VALUE(LENH_GOC!P137),IF(OR(LENH_GOC!P137=TRUE,UPPER(TRIM(LENH_GOC!P137))="TRUE"),1,0)))),"")</x:f>
      </x:c>
      <x:c r="R136" t="str">
        <x:f>IF($K136="","",IF(LENH_GOC!Q137="","",LENH_GOC!Q137))</x:f>
      </x:c>
      <x:c r="S136" s="249" t="str">
        <x:f>IF($K136="","",IF(LENH_GOC!R137="","",LENH_GOC!R137))</x:f>
      </x:c>
      <x:c r="T136" t="n">
        <x:f>IFERROR(IF($K136="",0,IF(AND(ISNUMBER($N136),INT($N136)=CAI_DAT!$B$4,LEFT(UPPER(TRIM($L136)),2)=LEFT(UPPER(TRIM(CAI_DAT!$B$5)),2),$Q136=1,OR(AND($M136="SO",ISNUMBER($P136),$P136&gt;0),AND($M136="MO",ISNUMBER($O136),$O136&gt;0))),1,0)),0)</x:f>
        <x:v>0</x:v>
      </x:c>
      <x:c r="U136" t="str">
        <x:f>IFERROR(IF($T136=0,"",IF($M136="SO",$P136,IF(AND($M136="MO",OR($R136=TRUE,$R136="TRUE"),ISNUMBER($P136),$P136&gt;0),$P136,$O136))),"")</x:f>
      </x:c>
      <x:c r="V136" t="str">
        <x:f>IFERROR(IF($T136=0,"",MOD($N136,1)*86400),"")</x:f>
      </x:c>
      <x:c r="W136" t="str">
        <x:f>IFERROR(IF($T136=0,"",COUNTIFS($T$3:$T$202,1,$V$3:$V$202,"&lt;"&amp;$V136)+COUNTIFS($T$3:$T136,1,$V$3:$V136,$V136)),"")</x:f>
      </x:c>
      <x:c r="X136" t="str">
        <x:f>IFERROR(IF($T136=0,"",IF($M136="SO","SO: dùng CS hoàn thành",IF(AND($M136="MO",OR($R136=TRUE,$R136="TRUE"),ISNUMBER($P136),$P136&gt;0),"MO dừng sớm: dùng CS hoàn thành","MO: dùng CS ra lệnh"))),"")</x:f>
      </x:c>
    </x:row>
    <x:row r="137">
      <x:c r="J137" t="str">
        <x:f>IF(LENH_GOC!A138="","",138)</x:f>
      </x:c>
      <x:c r="K137" t="str">
        <x:f>IF(LENH_GOC!A138="","",LENH_GOC!A138)</x:f>
      </x:c>
      <x:c r="L137" t="str">
        <x:f>IF($K137="","",IFERROR(TRIM(LENH_GOC!C138),""))</x:f>
      </x:c>
      <x:c r="M137" t="str">
        <x:f>IF($K137="","",IFERROR(UPPER(TRIM(LENH_GOC!Y138)),""))</x:f>
      </x:c>
      <x:c r="N137" s="249" t="str">
        <x:f>IFERROR(IF($K137="","",IF(LENH_GOC!G138="","",IF(ISNUMBER(LENH_GOC!G138),LENH_GOC!G138,DATE(VALUE(MID(LENH_GOC!G138,7,4)),VALUE(MID(LENH_GOC!G138,4,2)),VALUE(LEFT(LENH_GOC!G138,2)))+TIME(VALUE(MID(LENH_GOC!G138,12,2)),VALUE(MID(LENH_GOC!G138,15,2)),VALUE(MID(LENH_GOC!G138,18,2)))))), "")</x:f>
      </x:c>
      <x:c r="O137" t="str">
        <x:f>IF($K137="","",IF(LENH_GOC!E138="","",LENH_GOC!E138))</x:f>
      </x:c>
      <x:c r="P137" t="str">
        <x:f>IF($K137="","",IF(LENH_GOC!F138="","",LENH_GOC!F138))</x:f>
      </x:c>
      <x:c r="Q137" t="str">
        <x:f>IFERROR(IF($K137="","",IF(LENH_GOC!P138="","",IFERROR(VALUE(LENH_GOC!P138),IF(OR(LENH_GOC!P138=TRUE,UPPER(TRIM(LENH_GOC!P138))="TRUE"),1,0)))),"")</x:f>
      </x:c>
      <x:c r="R137" t="str">
        <x:f>IF($K137="","",IF(LENH_GOC!Q138="","",LENH_GOC!Q138))</x:f>
      </x:c>
      <x:c r="S137" s="249" t="str">
        <x:f>IF($K137="","",IF(LENH_GOC!R138="","",LENH_GOC!R138))</x:f>
      </x:c>
      <x:c r="T137" t="n">
        <x:f>IFERROR(IF($K137="",0,IF(AND(ISNUMBER($N137),INT($N137)=CAI_DAT!$B$4,LEFT(UPPER(TRIM($L137)),2)=LEFT(UPPER(TRIM(CAI_DAT!$B$5)),2),$Q137=1,OR(AND($M137="SO",ISNUMBER($P137),$P137&gt;0),AND($M137="MO",ISNUMBER($O137),$O137&gt;0))),1,0)),0)</x:f>
        <x:v>0</x:v>
      </x:c>
      <x:c r="U137" t="str">
        <x:f>IFERROR(IF($T137=0,"",IF($M137="SO",$P137,IF(AND($M137="MO",OR($R137=TRUE,$R137="TRUE"),ISNUMBER($P137),$P137&gt;0),$P137,$O137))),"")</x:f>
      </x:c>
      <x:c r="V137" t="str">
        <x:f>IFERROR(IF($T137=0,"",MOD($N137,1)*86400),"")</x:f>
      </x:c>
      <x:c r="W137" t="str">
        <x:f>IFERROR(IF($T137=0,"",COUNTIFS($T$3:$T$202,1,$V$3:$V$202,"&lt;"&amp;$V137)+COUNTIFS($T$3:$T137,1,$V$3:$V137,$V137)),"")</x:f>
      </x:c>
      <x:c r="X137" t="str">
        <x:f>IFERROR(IF($T137=0,"",IF($M137="SO","SO: dùng CS hoàn thành",IF(AND($M137="MO",OR($R137=TRUE,$R137="TRUE"),ISNUMBER($P137),$P137&gt;0),"MO dừng sớm: dùng CS hoàn thành","MO: dùng CS ra lệnh"))),"")</x:f>
      </x:c>
    </x:row>
    <x:row r="138">
      <x:c r="J138" t="str">
        <x:f>IF(LENH_GOC!A139="","",139)</x:f>
      </x:c>
      <x:c r="K138" t="str">
        <x:f>IF(LENH_GOC!A139="","",LENH_GOC!A139)</x:f>
      </x:c>
      <x:c r="L138" t="str">
        <x:f>IF($K138="","",IFERROR(TRIM(LENH_GOC!C139),""))</x:f>
      </x:c>
      <x:c r="M138" t="str">
        <x:f>IF($K138="","",IFERROR(UPPER(TRIM(LENH_GOC!Y139)),""))</x:f>
      </x:c>
      <x:c r="N138" s="249" t="str">
        <x:f>IFERROR(IF($K138="","",IF(LENH_GOC!G139="","",IF(ISNUMBER(LENH_GOC!G139),LENH_GOC!G139,DATE(VALUE(MID(LENH_GOC!G139,7,4)),VALUE(MID(LENH_GOC!G139,4,2)),VALUE(LEFT(LENH_GOC!G139,2)))+TIME(VALUE(MID(LENH_GOC!G139,12,2)),VALUE(MID(LENH_GOC!G139,15,2)),VALUE(MID(LENH_GOC!G139,18,2)))))), "")</x:f>
      </x:c>
      <x:c r="O138" t="str">
        <x:f>IF($K138="","",IF(LENH_GOC!E139="","",LENH_GOC!E139))</x:f>
      </x:c>
      <x:c r="P138" t="str">
        <x:f>IF($K138="","",IF(LENH_GOC!F139="","",LENH_GOC!F139))</x:f>
      </x:c>
      <x:c r="Q138" t="str">
        <x:f>IFERROR(IF($K138="","",IF(LENH_GOC!P139="","",IFERROR(VALUE(LENH_GOC!P139),IF(OR(LENH_GOC!P139=TRUE,UPPER(TRIM(LENH_GOC!P139))="TRUE"),1,0)))),"")</x:f>
      </x:c>
      <x:c r="R138" t="str">
        <x:f>IF($K138="","",IF(LENH_GOC!Q139="","",LENH_GOC!Q139))</x:f>
      </x:c>
      <x:c r="S138" s="249" t="str">
        <x:f>IF($K138="","",IF(LENH_GOC!R139="","",LENH_GOC!R139))</x:f>
      </x:c>
      <x:c r="T138" t="n">
        <x:f>IFERROR(IF($K138="",0,IF(AND(ISNUMBER($N138),INT($N138)=CAI_DAT!$B$4,LEFT(UPPER(TRIM($L138)),2)=LEFT(UPPER(TRIM(CAI_DAT!$B$5)),2),$Q138=1,OR(AND($M138="SO",ISNUMBER($P138),$P138&gt;0),AND($M138="MO",ISNUMBER($O138),$O138&gt;0))),1,0)),0)</x:f>
        <x:v>0</x:v>
      </x:c>
      <x:c r="U138" t="str">
        <x:f>IFERROR(IF($T138=0,"",IF($M138="SO",$P138,IF(AND($M138="MO",OR($R138=TRUE,$R138="TRUE"),ISNUMBER($P138),$P138&gt;0),$P138,$O138))),"")</x:f>
      </x:c>
      <x:c r="V138" t="str">
        <x:f>IFERROR(IF($T138=0,"",MOD($N138,1)*86400),"")</x:f>
      </x:c>
      <x:c r="W138" t="str">
        <x:f>IFERROR(IF($T138=0,"",COUNTIFS($T$3:$T$202,1,$V$3:$V$202,"&lt;"&amp;$V138)+COUNTIFS($T$3:$T138,1,$V$3:$V138,$V138)),"")</x:f>
      </x:c>
      <x:c r="X138" t="str">
        <x:f>IFERROR(IF($T138=0,"",IF($M138="SO","SO: dùng CS hoàn thành",IF(AND($M138="MO",OR($R138=TRUE,$R138="TRUE"),ISNUMBER($P138),$P138&gt;0),"MO dừng sớm: dùng CS hoàn thành","MO: dùng CS ra lệnh"))),"")</x:f>
      </x:c>
    </x:row>
    <x:row r="139">
      <x:c r="J139" t="str">
        <x:f>IF(LENH_GOC!A140="","",140)</x:f>
      </x:c>
      <x:c r="K139" t="str">
        <x:f>IF(LENH_GOC!A140="","",LENH_GOC!A140)</x:f>
      </x:c>
      <x:c r="L139" t="str">
        <x:f>IF($K139="","",IFERROR(TRIM(LENH_GOC!C140),""))</x:f>
      </x:c>
      <x:c r="M139" t="str">
        <x:f>IF($K139="","",IFERROR(UPPER(TRIM(LENH_GOC!Y140)),""))</x:f>
      </x:c>
      <x:c r="N139" s="249" t="str">
        <x:f>IFERROR(IF($K139="","",IF(LENH_GOC!G140="","",IF(ISNUMBER(LENH_GOC!G140),LENH_GOC!G140,DATE(VALUE(MID(LENH_GOC!G140,7,4)),VALUE(MID(LENH_GOC!G140,4,2)),VALUE(LEFT(LENH_GOC!G140,2)))+TIME(VALUE(MID(LENH_GOC!G140,12,2)),VALUE(MID(LENH_GOC!G140,15,2)),VALUE(MID(LENH_GOC!G140,18,2)))))), "")</x:f>
      </x:c>
      <x:c r="O139" t="str">
        <x:f>IF($K139="","",IF(LENH_GOC!E140="","",LENH_GOC!E140))</x:f>
      </x:c>
      <x:c r="P139" t="str">
        <x:f>IF($K139="","",IF(LENH_GOC!F140="","",LENH_GOC!F140))</x:f>
      </x:c>
      <x:c r="Q139" t="str">
        <x:f>IFERROR(IF($K139="","",IF(LENH_GOC!P140="","",IFERROR(VALUE(LENH_GOC!P140),IF(OR(LENH_GOC!P140=TRUE,UPPER(TRIM(LENH_GOC!P140))="TRUE"),1,0)))),"")</x:f>
      </x:c>
      <x:c r="R139" t="str">
        <x:f>IF($K139="","",IF(LENH_GOC!Q140="","",LENH_GOC!Q140))</x:f>
      </x:c>
      <x:c r="S139" s="249" t="str">
        <x:f>IF($K139="","",IF(LENH_GOC!R140="","",LENH_GOC!R140))</x:f>
      </x:c>
      <x:c r="T139" t="n">
        <x:f>IFERROR(IF($K139="",0,IF(AND(ISNUMBER($N139),INT($N139)=CAI_DAT!$B$4,LEFT(UPPER(TRIM($L139)),2)=LEFT(UPPER(TRIM(CAI_DAT!$B$5)),2),$Q139=1,OR(AND($M139="SO",ISNUMBER($P139),$P139&gt;0),AND($M139="MO",ISNUMBER($O139),$O139&gt;0))),1,0)),0)</x:f>
        <x:v>0</x:v>
      </x:c>
      <x:c r="U139" t="str">
        <x:f>IFERROR(IF($T139=0,"",IF($M139="SO",$P139,IF(AND($M139="MO",OR($R139=TRUE,$R139="TRUE"),ISNUMBER($P139),$P139&gt;0),$P139,$O139))),"")</x:f>
      </x:c>
      <x:c r="V139" t="str">
        <x:f>IFERROR(IF($T139=0,"",MOD($N139,1)*86400),"")</x:f>
      </x:c>
      <x:c r="W139" t="str">
        <x:f>IFERROR(IF($T139=0,"",COUNTIFS($T$3:$T$202,1,$V$3:$V$202,"&lt;"&amp;$V139)+COUNTIFS($T$3:$T139,1,$V$3:$V139,$V139)),"")</x:f>
      </x:c>
      <x:c r="X139" t="str">
        <x:f>IFERROR(IF($T139=0,"",IF($M139="SO","SO: dùng CS hoàn thành",IF(AND($M139="MO",OR($R139=TRUE,$R139="TRUE"),ISNUMBER($P139),$P139&gt;0),"MO dừng sớm: dùng CS hoàn thành","MO: dùng CS ra lệnh"))),"")</x:f>
      </x:c>
    </x:row>
    <x:row r="140">
      <x:c r="J140" t="str">
        <x:f>IF(LENH_GOC!A141="","",141)</x:f>
      </x:c>
      <x:c r="K140" t="str">
        <x:f>IF(LENH_GOC!A141="","",LENH_GOC!A141)</x:f>
      </x:c>
      <x:c r="L140" t="str">
        <x:f>IF($K140="","",IFERROR(TRIM(LENH_GOC!C141),""))</x:f>
      </x:c>
      <x:c r="M140" t="str">
        <x:f>IF($K140="","",IFERROR(UPPER(TRIM(LENH_GOC!Y141)),""))</x:f>
      </x:c>
      <x:c r="N140" s="249" t="str">
        <x:f>IFERROR(IF($K140="","",IF(LENH_GOC!G141="","",IF(ISNUMBER(LENH_GOC!G141),LENH_GOC!G141,DATE(VALUE(MID(LENH_GOC!G141,7,4)),VALUE(MID(LENH_GOC!G141,4,2)),VALUE(LEFT(LENH_GOC!G141,2)))+TIME(VALUE(MID(LENH_GOC!G141,12,2)),VALUE(MID(LENH_GOC!G141,15,2)),VALUE(MID(LENH_GOC!G141,18,2)))))), "")</x:f>
      </x:c>
      <x:c r="O140" t="str">
        <x:f>IF($K140="","",IF(LENH_GOC!E141="","",LENH_GOC!E141))</x:f>
      </x:c>
      <x:c r="P140" t="str">
        <x:f>IF($K140="","",IF(LENH_GOC!F141="","",LENH_GOC!F141))</x:f>
      </x:c>
      <x:c r="Q140" t="str">
        <x:f>IFERROR(IF($K140="","",IF(LENH_GOC!P141="","",IFERROR(VALUE(LENH_GOC!P141),IF(OR(LENH_GOC!P141=TRUE,UPPER(TRIM(LENH_GOC!P141))="TRUE"),1,0)))),"")</x:f>
      </x:c>
      <x:c r="R140" t="str">
        <x:f>IF($K140="","",IF(LENH_GOC!Q141="","",LENH_GOC!Q141))</x:f>
      </x:c>
      <x:c r="S140" s="249" t="str">
        <x:f>IF($K140="","",IF(LENH_GOC!R141="","",LENH_GOC!R141))</x:f>
      </x:c>
      <x:c r="T140" t="n">
        <x:f>IFERROR(IF($K140="",0,IF(AND(ISNUMBER($N140),INT($N140)=CAI_DAT!$B$4,LEFT(UPPER(TRIM($L140)),2)=LEFT(UPPER(TRIM(CAI_DAT!$B$5)),2),$Q140=1,OR(AND($M140="SO",ISNUMBER($P140),$P140&gt;0),AND($M140="MO",ISNUMBER($O140),$O140&gt;0))),1,0)),0)</x:f>
        <x:v>0</x:v>
      </x:c>
      <x:c r="U140" t="str">
        <x:f>IFERROR(IF($T140=0,"",IF($M140="SO",$P140,IF(AND($M140="MO",OR($R140=TRUE,$R140="TRUE"),ISNUMBER($P140),$P140&gt;0),$P140,$O140))),"")</x:f>
      </x:c>
      <x:c r="V140" t="str">
        <x:f>IFERROR(IF($T140=0,"",MOD($N140,1)*86400),"")</x:f>
      </x:c>
      <x:c r="W140" t="str">
        <x:f>IFERROR(IF($T140=0,"",COUNTIFS($T$3:$T$202,1,$V$3:$V$202,"&lt;"&amp;$V140)+COUNTIFS($T$3:$T140,1,$V$3:$V140,$V140)),"")</x:f>
      </x:c>
      <x:c r="X140" t="str">
        <x:f>IFERROR(IF($T140=0,"",IF($M140="SO","SO: dùng CS hoàn thành",IF(AND($M140="MO",OR($R140=TRUE,$R140="TRUE"),ISNUMBER($P140),$P140&gt;0),"MO dừng sớm: dùng CS hoàn thành","MO: dùng CS ra lệnh"))),"")</x:f>
      </x:c>
    </x:row>
    <x:row r="141">
      <x:c r="J141" t="str">
        <x:f>IF(LENH_GOC!A142="","",142)</x:f>
      </x:c>
      <x:c r="K141" t="str">
        <x:f>IF(LENH_GOC!A142="","",LENH_GOC!A142)</x:f>
      </x:c>
      <x:c r="L141" t="str">
        <x:f>IF($K141="","",IFERROR(TRIM(LENH_GOC!C142),""))</x:f>
      </x:c>
      <x:c r="M141" t="str">
        <x:f>IF($K141="","",IFERROR(UPPER(TRIM(LENH_GOC!Y142)),""))</x:f>
      </x:c>
      <x:c r="N141" s="249" t="str">
        <x:f>IFERROR(IF($K141="","",IF(LENH_GOC!G142="","",IF(ISNUMBER(LENH_GOC!G142),LENH_GOC!G142,DATE(VALUE(MID(LENH_GOC!G142,7,4)),VALUE(MID(LENH_GOC!G142,4,2)),VALUE(LEFT(LENH_GOC!G142,2)))+TIME(VALUE(MID(LENH_GOC!G142,12,2)),VALUE(MID(LENH_GOC!G142,15,2)),VALUE(MID(LENH_GOC!G142,18,2)))))), "")</x:f>
      </x:c>
      <x:c r="O141" t="str">
        <x:f>IF($K141="","",IF(LENH_GOC!E142="","",LENH_GOC!E142))</x:f>
      </x:c>
      <x:c r="P141" t="str">
        <x:f>IF($K141="","",IF(LENH_GOC!F142="","",LENH_GOC!F142))</x:f>
      </x:c>
      <x:c r="Q141" t="str">
        <x:f>IFERROR(IF($K141="","",IF(LENH_GOC!P142="","",IFERROR(VALUE(LENH_GOC!P142),IF(OR(LENH_GOC!P142=TRUE,UPPER(TRIM(LENH_GOC!P142))="TRUE"),1,0)))),"")</x:f>
      </x:c>
      <x:c r="R141" t="str">
        <x:f>IF($K141="","",IF(LENH_GOC!Q142="","",LENH_GOC!Q142))</x:f>
      </x:c>
      <x:c r="S141" s="249" t="str">
        <x:f>IF($K141="","",IF(LENH_GOC!R142="","",LENH_GOC!R142))</x:f>
      </x:c>
      <x:c r="T141" t="n">
        <x:f>IFERROR(IF($K141="",0,IF(AND(ISNUMBER($N141),INT($N141)=CAI_DAT!$B$4,LEFT(UPPER(TRIM($L141)),2)=LEFT(UPPER(TRIM(CAI_DAT!$B$5)),2),$Q141=1,OR(AND($M141="SO",ISNUMBER($P141),$P141&gt;0),AND($M141="MO",ISNUMBER($O141),$O141&gt;0))),1,0)),0)</x:f>
        <x:v>0</x:v>
      </x:c>
      <x:c r="U141" t="str">
        <x:f>IFERROR(IF($T141=0,"",IF($M141="SO",$P141,IF(AND($M141="MO",OR($R141=TRUE,$R141="TRUE"),ISNUMBER($P141),$P141&gt;0),$P141,$O141))),"")</x:f>
      </x:c>
      <x:c r="V141" t="str">
        <x:f>IFERROR(IF($T141=0,"",MOD($N141,1)*86400),"")</x:f>
      </x:c>
      <x:c r="W141" t="str">
        <x:f>IFERROR(IF($T141=0,"",COUNTIFS($T$3:$T$202,1,$V$3:$V$202,"&lt;"&amp;$V141)+COUNTIFS($T$3:$T141,1,$V$3:$V141,$V141)),"")</x:f>
      </x:c>
      <x:c r="X141" t="str">
        <x:f>IFERROR(IF($T141=0,"",IF($M141="SO","SO: dùng CS hoàn thành",IF(AND($M141="MO",OR($R141=TRUE,$R141="TRUE"),ISNUMBER($P141),$P141&gt;0),"MO dừng sớm: dùng CS hoàn thành","MO: dùng CS ra lệnh"))),"")</x:f>
      </x:c>
    </x:row>
    <x:row r="142">
      <x:c r="J142" t="str">
        <x:f>IF(LENH_GOC!A143="","",143)</x:f>
      </x:c>
      <x:c r="K142" t="str">
        <x:f>IF(LENH_GOC!A143="","",LENH_GOC!A143)</x:f>
      </x:c>
      <x:c r="L142" t="str">
        <x:f>IF($K142="","",IFERROR(TRIM(LENH_GOC!C143),""))</x:f>
      </x:c>
      <x:c r="M142" t="str">
        <x:f>IF($K142="","",IFERROR(UPPER(TRIM(LENH_GOC!Y143)),""))</x:f>
      </x:c>
      <x:c r="N142" s="249" t="str">
        <x:f>IFERROR(IF($K142="","",IF(LENH_GOC!G143="","",IF(ISNUMBER(LENH_GOC!G143),LENH_GOC!G143,DATE(VALUE(MID(LENH_GOC!G143,7,4)),VALUE(MID(LENH_GOC!G143,4,2)),VALUE(LEFT(LENH_GOC!G143,2)))+TIME(VALUE(MID(LENH_GOC!G143,12,2)),VALUE(MID(LENH_GOC!G143,15,2)),VALUE(MID(LENH_GOC!G143,18,2)))))), "")</x:f>
      </x:c>
      <x:c r="O142" t="str">
        <x:f>IF($K142="","",IF(LENH_GOC!E143="","",LENH_GOC!E143))</x:f>
      </x:c>
      <x:c r="P142" t="str">
        <x:f>IF($K142="","",IF(LENH_GOC!F143="","",LENH_GOC!F143))</x:f>
      </x:c>
      <x:c r="Q142" t="str">
        <x:f>IFERROR(IF($K142="","",IF(LENH_GOC!P143="","",IFERROR(VALUE(LENH_GOC!P143),IF(OR(LENH_GOC!P143=TRUE,UPPER(TRIM(LENH_GOC!P143))="TRUE"),1,0)))),"")</x:f>
      </x:c>
      <x:c r="R142" t="str">
        <x:f>IF($K142="","",IF(LENH_GOC!Q143="","",LENH_GOC!Q143))</x:f>
      </x:c>
      <x:c r="S142" s="249" t="str">
        <x:f>IF($K142="","",IF(LENH_GOC!R143="","",LENH_GOC!R143))</x:f>
      </x:c>
      <x:c r="T142" t="n">
        <x:f>IFERROR(IF($K142="",0,IF(AND(ISNUMBER($N142),INT($N142)=CAI_DAT!$B$4,LEFT(UPPER(TRIM($L142)),2)=LEFT(UPPER(TRIM(CAI_DAT!$B$5)),2),$Q142=1,OR(AND($M142="SO",ISNUMBER($P142),$P142&gt;0),AND($M142="MO",ISNUMBER($O142),$O142&gt;0))),1,0)),0)</x:f>
        <x:v>0</x:v>
      </x:c>
      <x:c r="U142" t="str">
        <x:f>IFERROR(IF($T142=0,"",IF($M142="SO",$P142,IF(AND($M142="MO",OR($R142=TRUE,$R142="TRUE"),ISNUMBER($P142),$P142&gt;0),$P142,$O142))),"")</x:f>
      </x:c>
      <x:c r="V142" t="str">
        <x:f>IFERROR(IF($T142=0,"",MOD($N142,1)*86400),"")</x:f>
      </x:c>
      <x:c r="W142" t="str">
        <x:f>IFERROR(IF($T142=0,"",COUNTIFS($T$3:$T$202,1,$V$3:$V$202,"&lt;"&amp;$V142)+COUNTIFS($T$3:$T142,1,$V$3:$V142,$V142)),"")</x:f>
      </x:c>
      <x:c r="X142" t="str">
        <x:f>IFERROR(IF($T142=0,"",IF($M142="SO","SO: dùng CS hoàn thành",IF(AND($M142="MO",OR($R142=TRUE,$R142="TRUE"),ISNUMBER($P142),$P142&gt;0),"MO dừng sớm: dùng CS hoàn thành","MO: dùng CS ra lệnh"))),"")</x:f>
      </x:c>
    </x:row>
    <x:row r="143">
      <x:c r="J143" t="str">
        <x:f>IF(LENH_GOC!A144="","",144)</x:f>
      </x:c>
      <x:c r="K143" t="str">
        <x:f>IF(LENH_GOC!A144="","",LENH_GOC!A144)</x:f>
      </x:c>
      <x:c r="L143" t="str">
        <x:f>IF($K143="","",IFERROR(TRIM(LENH_GOC!C144),""))</x:f>
      </x:c>
      <x:c r="M143" t="str">
        <x:f>IF($K143="","",IFERROR(UPPER(TRIM(LENH_GOC!Y144)),""))</x:f>
      </x:c>
      <x:c r="N143" s="249" t="str">
        <x:f>IFERROR(IF($K143="","",IF(LENH_GOC!G144="","",IF(ISNUMBER(LENH_GOC!G144),LENH_GOC!G144,DATE(VALUE(MID(LENH_GOC!G144,7,4)),VALUE(MID(LENH_GOC!G144,4,2)),VALUE(LEFT(LENH_GOC!G144,2)))+TIME(VALUE(MID(LENH_GOC!G144,12,2)),VALUE(MID(LENH_GOC!G144,15,2)),VALUE(MID(LENH_GOC!G144,18,2)))))), "")</x:f>
      </x:c>
      <x:c r="O143" t="str">
        <x:f>IF($K143="","",IF(LENH_GOC!E144="","",LENH_GOC!E144))</x:f>
      </x:c>
      <x:c r="P143" t="str">
        <x:f>IF($K143="","",IF(LENH_GOC!F144="","",LENH_GOC!F144))</x:f>
      </x:c>
      <x:c r="Q143" t="str">
        <x:f>IFERROR(IF($K143="","",IF(LENH_GOC!P144="","",IFERROR(VALUE(LENH_GOC!P144),IF(OR(LENH_GOC!P144=TRUE,UPPER(TRIM(LENH_GOC!P144))="TRUE"),1,0)))),"")</x:f>
      </x:c>
      <x:c r="R143" t="str">
        <x:f>IF($K143="","",IF(LENH_GOC!Q144="","",LENH_GOC!Q144))</x:f>
      </x:c>
      <x:c r="S143" s="249" t="str">
        <x:f>IF($K143="","",IF(LENH_GOC!R144="","",LENH_GOC!R144))</x:f>
      </x:c>
      <x:c r="T143" t="n">
        <x:f>IFERROR(IF($K143="",0,IF(AND(ISNUMBER($N143),INT($N143)=CAI_DAT!$B$4,LEFT(UPPER(TRIM($L143)),2)=LEFT(UPPER(TRIM(CAI_DAT!$B$5)),2),$Q143=1,OR(AND($M143="SO",ISNUMBER($P143),$P143&gt;0),AND($M143="MO",ISNUMBER($O143),$O143&gt;0))),1,0)),0)</x:f>
        <x:v>0</x:v>
      </x:c>
      <x:c r="U143" t="str">
        <x:f>IFERROR(IF($T143=0,"",IF($M143="SO",$P143,IF(AND($M143="MO",OR($R143=TRUE,$R143="TRUE"),ISNUMBER($P143),$P143&gt;0),$P143,$O143))),"")</x:f>
      </x:c>
      <x:c r="V143" t="str">
        <x:f>IFERROR(IF($T143=0,"",MOD($N143,1)*86400),"")</x:f>
      </x:c>
      <x:c r="W143" t="str">
        <x:f>IFERROR(IF($T143=0,"",COUNTIFS($T$3:$T$202,1,$V$3:$V$202,"&lt;"&amp;$V143)+COUNTIFS($T$3:$T143,1,$V$3:$V143,$V143)),"")</x:f>
      </x:c>
      <x:c r="X143" t="str">
        <x:f>IFERROR(IF($T143=0,"",IF($M143="SO","SO: dùng CS hoàn thành",IF(AND($M143="MO",OR($R143=TRUE,$R143="TRUE"),ISNUMBER($P143),$P143&gt;0),"MO dừng sớm: dùng CS hoàn thành","MO: dùng CS ra lệnh"))),"")</x:f>
      </x:c>
    </x:row>
    <x:row r="144">
      <x:c r="J144" t="str">
        <x:f>IF(LENH_GOC!A145="","",145)</x:f>
      </x:c>
      <x:c r="K144" t="str">
        <x:f>IF(LENH_GOC!A145="","",LENH_GOC!A145)</x:f>
      </x:c>
      <x:c r="L144" t="str">
        <x:f>IF($K144="","",IFERROR(TRIM(LENH_GOC!C145),""))</x:f>
      </x:c>
      <x:c r="M144" t="str">
        <x:f>IF($K144="","",IFERROR(UPPER(TRIM(LENH_GOC!Y145)),""))</x:f>
      </x:c>
      <x:c r="N144" s="249" t="str">
        <x:f>IFERROR(IF($K144="","",IF(LENH_GOC!G145="","",IF(ISNUMBER(LENH_GOC!G145),LENH_GOC!G145,DATE(VALUE(MID(LENH_GOC!G145,7,4)),VALUE(MID(LENH_GOC!G145,4,2)),VALUE(LEFT(LENH_GOC!G145,2)))+TIME(VALUE(MID(LENH_GOC!G145,12,2)),VALUE(MID(LENH_GOC!G145,15,2)),VALUE(MID(LENH_GOC!G145,18,2)))))), "")</x:f>
      </x:c>
      <x:c r="O144" t="str">
        <x:f>IF($K144="","",IF(LENH_GOC!E145="","",LENH_GOC!E145))</x:f>
      </x:c>
      <x:c r="P144" t="str">
        <x:f>IF($K144="","",IF(LENH_GOC!F145="","",LENH_GOC!F145))</x:f>
      </x:c>
      <x:c r="Q144" t="str">
        <x:f>IFERROR(IF($K144="","",IF(LENH_GOC!P145="","",IFERROR(VALUE(LENH_GOC!P145),IF(OR(LENH_GOC!P145=TRUE,UPPER(TRIM(LENH_GOC!P145))="TRUE"),1,0)))),"")</x:f>
      </x:c>
      <x:c r="R144" t="str">
        <x:f>IF($K144="","",IF(LENH_GOC!Q145="","",LENH_GOC!Q145))</x:f>
      </x:c>
      <x:c r="S144" s="249" t="str">
        <x:f>IF($K144="","",IF(LENH_GOC!R145="","",LENH_GOC!R145))</x:f>
      </x:c>
      <x:c r="T144" t="n">
        <x:f>IFERROR(IF($K144="",0,IF(AND(ISNUMBER($N144),INT($N144)=CAI_DAT!$B$4,LEFT(UPPER(TRIM($L144)),2)=LEFT(UPPER(TRIM(CAI_DAT!$B$5)),2),$Q144=1,OR(AND($M144="SO",ISNUMBER($P144),$P144&gt;0),AND($M144="MO",ISNUMBER($O144),$O144&gt;0))),1,0)),0)</x:f>
        <x:v>0</x:v>
      </x:c>
      <x:c r="U144" t="str">
        <x:f>IFERROR(IF($T144=0,"",IF($M144="SO",$P144,IF(AND($M144="MO",OR($R144=TRUE,$R144="TRUE"),ISNUMBER($P144),$P144&gt;0),$P144,$O144))),"")</x:f>
      </x:c>
      <x:c r="V144" t="str">
        <x:f>IFERROR(IF($T144=0,"",MOD($N144,1)*86400),"")</x:f>
      </x:c>
      <x:c r="W144" t="str">
        <x:f>IFERROR(IF($T144=0,"",COUNTIFS($T$3:$T$202,1,$V$3:$V$202,"&lt;"&amp;$V144)+COUNTIFS($T$3:$T144,1,$V$3:$V144,$V144)),"")</x:f>
      </x:c>
      <x:c r="X144" t="str">
        <x:f>IFERROR(IF($T144=0,"",IF($M144="SO","SO: dùng CS hoàn thành",IF(AND($M144="MO",OR($R144=TRUE,$R144="TRUE"),ISNUMBER($P144),$P144&gt;0),"MO dừng sớm: dùng CS hoàn thành","MO: dùng CS ra lệnh"))),"")</x:f>
      </x:c>
    </x:row>
    <x:row r="145">
      <x:c r="J145" t="str">
        <x:f>IF(LENH_GOC!A146="","",146)</x:f>
      </x:c>
      <x:c r="K145" t="str">
        <x:f>IF(LENH_GOC!A146="","",LENH_GOC!A146)</x:f>
      </x:c>
      <x:c r="L145" t="str">
        <x:f>IF($K145="","",IFERROR(TRIM(LENH_GOC!C146),""))</x:f>
      </x:c>
      <x:c r="M145" t="str">
        <x:f>IF($K145="","",IFERROR(UPPER(TRIM(LENH_GOC!Y146)),""))</x:f>
      </x:c>
      <x:c r="N145" s="249" t="str">
        <x:f>IFERROR(IF($K145="","",IF(LENH_GOC!G146="","",IF(ISNUMBER(LENH_GOC!G146),LENH_GOC!G146,DATE(VALUE(MID(LENH_GOC!G146,7,4)),VALUE(MID(LENH_GOC!G146,4,2)),VALUE(LEFT(LENH_GOC!G146,2)))+TIME(VALUE(MID(LENH_GOC!G146,12,2)),VALUE(MID(LENH_GOC!G146,15,2)),VALUE(MID(LENH_GOC!G146,18,2)))))), "")</x:f>
      </x:c>
      <x:c r="O145" t="str">
        <x:f>IF($K145="","",IF(LENH_GOC!E146="","",LENH_GOC!E146))</x:f>
      </x:c>
      <x:c r="P145" t="str">
        <x:f>IF($K145="","",IF(LENH_GOC!F146="","",LENH_GOC!F146))</x:f>
      </x:c>
      <x:c r="Q145" t="str">
        <x:f>IFERROR(IF($K145="","",IF(LENH_GOC!P146="","",IFERROR(VALUE(LENH_GOC!P146),IF(OR(LENH_GOC!P146=TRUE,UPPER(TRIM(LENH_GOC!P146))="TRUE"),1,0)))),"")</x:f>
      </x:c>
      <x:c r="R145" t="str">
        <x:f>IF($K145="","",IF(LENH_GOC!Q146="","",LENH_GOC!Q146))</x:f>
      </x:c>
      <x:c r="S145" s="249" t="str">
        <x:f>IF($K145="","",IF(LENH_GOC!R146="","",LENH_GOC!R146))</x:f>
      </x:c>
      <x:c r="T145" t="n">
        <x:f>IFERROR(IF($K145="",0,IF(AND(ISNUMBER($N145),INT($N145)=CAI_DAT!$B$4,LEFT(UPPER(TRIM($L145)),2)=LEFT(UPPER(TRIM(CAI_DAT!$B$5)),2),$Q145=1,OR(AND($M145="SO",ISNUMBER($P145),$P145&gt;0),AND($M145="MO",ISNUMBER($O145),$O145&gt;0))),1,0)),0)</x:f>
        <x:v>0</x:v>
      </x:c>
      <x:c r="U145" t="str">
        <x:f>IFERROR(IF($T145=0,"",IF($M145="SO",$P145,IF(AND($M145="MO",OR($R145=TRUE,$R145="TRUE"),ISNUMBER($P145),$P145&gt;0),$P145,$O145))),"")</x:f>
      </x:c>
      <x:c r="V145" t="str">
        <x:f>IFERROR(IF($T145=0,"",MOD($N145,1)*86400),"")</x:f>
      </x:c>
      <x:c r="W145" t="str">
        <x:f>IFERROR(IF($T145=0,"",COUNTIFS($T$3:$T$202,1,$V$3:$V$202,"&lt;"&amp;$V145)+COUNTIFS($T$3:$T145,1,$V$3:$V145,$V145)),"")</x:f>
      </x:c>
      <x:c r="X145" t="str">
        <x:f>IFERROR(IF($T145=0,"",IF($M145="SO","SO: dùng CS hoàn thành",IF(AND($M145="MO",OR($R145=TRUE,$R145="TRUE"),ISNUMBER($P145),$P145&gt;0),"MO dừng sớm: dùng CS hoàn thành","MO: dùng CS ra lệnh"))),"")</x:f>
      </x:c>
    </x:row>
    <x:row r="146">
      <x:c r="J146" t="str">
        <x:f>IF(LENH_GOC!A147="","",147)</x:f>
      </x:c>
      <x:c r="K146" t="str">
        <x:f>IF(LENH_GOC!A147="","",LENH_GOC!A147)</x:f>
      </x:c>
      <x:c r="L146" t="str">
        <x:f>IF($K146="","",IFERROR(TRIM(LENH_GOC!C147),""))</x:f>
      </x:c>
      <x:c r="M146" t="str">
        <x:f>IF($K146="","",IFERROR(UPPER(TRIM(LENH_GOC!Y147)),""))</x:f>
      </x:c>
      <x:c r="N146" s="249" t="str">
        <x:f>IFERROR(IF($K146="","",IF(LENH_GOC!G147="","",IF(ISNUMBER(LENH_GOC!G147),LENH_GOC!G147,DATE(VALUE(MID(LENH_GOC!G147,7,4)),VALUE(MID(LENH_GOC!G147,4,2)),VALUE(LEFT(LENH_GOC!G147,2)))+TIME(VALUE(MID(LENH_GOC!G147,12,2)),VALUE(MID(LENH_GOC!G147,15,2)),VALUE(MID(LENH_GOC!G147,18,2)))))), "")</x:f>
      </x:c>
      <x:c r="O146" t="str">
        <x:f>IF($K146="","",IF(LENH_GOC!E147="","",LENH_GOC!E147))</x:f>
      </x:c>
      <x:c r="P146" t="str">
        <x:f>IF($K146="","",IF(LENH_GOC!F147="","",LENH_GOC!F147))</x:f>
      </x:c>
      <x:c r="Q146" t="str">
        <x:f>IFERROR(IF($K146="","",IF(LENH_GOC!P147="","",IFERROR(VALUE(LENH_GOC!P147),IF(OR(LENH_GOC!P147=TRUE,UPPER(TRIM(LENH_GOC!P147))="TRUE"),1,0)))),"")</x:f>
      </x:c>
      <x:c r="R146" t="str">
        <x:f>IF($K146="","",IF(LENH_GOC!Q147="","",LENH_GOC!Q147))</x:f>
      </x:c>
      <x:c r="S146" s="249" t="str">
        <x:f>IF($K146="","",IF(LENH_GOC!R147="","",LENH_GOC!R147))</x:f>
      </x:c>
      <x:c r="T146" t="n">
        <x:f>IFERROR(IF($K146="",0,IF(AND(ISNUMBER($N146),INT($N146)=CAI_DAT!$B$4,LEFT(UPPER(TRIM($L146)),2)=LEFT(UPPER(TRIM(CAI_DAT!$B$5)),2),$Q146=1,OR(AND($M146="SO",ISNUMBER($P146),$P146&gt;0),AND($M146="MO",ISNUMBER($O146),$O146&gt;0))),1,0)),0)</x:f>
        <x:v>0</x:v>
      </x:c>
      <x:c r="U146" t="str">
        <x:f>IFERROR(IF($T146=0,"",IF($M146="SO",$P146,IF(AND($M146="MO",OR($R146=TRUE,$R146="TRUE"),ISNUMBER($P146),$P146&gt;0),$P146,$O146))),"")</x:f>
      </x:c>
      <x:c r="V146" t="str">
        <x:f>IFERROR(IF($T146=0,"",MOD($N146,1)*86400),"")</x:f>
      </x:c>
      <x:c r="W146" t="str">
        <x:f>IFERROR(IF($T146=0,"",COUNTIFS($T$3:$T$202,1,$V$3:$V$202,"&lt;"&amp;$V146)+COUNTIFS($T$3:$T146,1,$V$3:$V146,$V146)),"")</x:f>
      </x:c>
      <x:c r="X146" t="str">
        <x:f>IFERROR(IF($T146=0,"",IF($M146="SO","SO: dùng CS hoàn thành",IF(AND($M146="MO",OR($R146=TRUE,$R146="TRUE"),ISNUMBER($P146),$P146&gt;0),"MO dừng sớm: dùng CS hoàn thành","MO: dùng CS ra lệnh"))),"")</x:f>
      </x:c>
    </x:row>
    <x:row r="147">
      <x:c r="J147" t="str">
        <x:f>IF(LENH_GOC!A148="","",148)</x:f>
      </x:c>
      <x:c r="K147" t="str">
        <x:f>IF(LENH_GOC!A148="","",LENH_GOC!A148)</x:f>
      </x:c>
      <x:c r="L147" t="str">
        <x:f>IF($K147="","",IFERROR(TRIM(LENH_GOC!C148),""))</x:f>
      </x:c>
      <x:c r="M147" t="str">
        <x:f>IF($K147="","",IFERROR(UPPER(TRIM(LENH_GOC!Y148)),""))</x:f>
      </x:c>
      <x:c r="N147" s="249" t="str">
        <x:f>IFERROR(IF($K147="","",IF(LENH_GOC!G148="","",IF(ISNUMBER(LENH_GOC!G148),LENH_GOC!G148,DATE(VALUE(MID(LENH_GOC!G148,7,4)),VALUE(MID(LENH_GOC!G148,4,2)),VALUE(LEFT(LENH_GOC!G148,2)))+TIME(VALUE(MID(LENH_GOC!G148,12,2)),VALUE(MID(LENH_GOC!G148,15,2)),VALUE(MID(LENH_GOC!G148,18,2)))))), "")</x:f>
      </x:c>
      <x:c r="O147" t="str">
        <x:f>IF($K147="","",IF(LENH_GOC!E148="","",LENH_GOC!E148))</x:f>
      </x:c>
      <x:c r="P147" t="str">
        <x:f>IF($K147="","",IF(LENH_GOC!F148="","",LENH_GOC!F148))</x:f>
      </x:c>
      <x:c r="Q147" t="str">
        <x:f>IFERROR(IF($K147="","",IF(LENH_GOC!P148="","",IFERROR(VALUE(LENH_GOC!P148),IF(OR(LENH_GOC!P148=TRUE,UPPER(TRIM(LENH_GOC!P148))="TRUE"),1,0)))),"")</x:f>
      </x:c>
      <x:c r="R147" t="str">
        <x:f>IF($K147="","",IF(LENH_GOC!Q148="","",LENH_GOC!Q148))</x:f>
      </x:c>
      <x:c r="S147" s="249" t="str">
        <x:f>IF($K147="","",IF(LENH_GOC!R148="","",LENH_GOC!R148))</x:f>
      </x:c>
      <x:c r="T147" t="n">
        <x:f>IFERROR(IF($K147="",0,IF(AND(ISNUMBER($N147),INT($N147)=CAI_DAT!$B$4,LEFT(UPPER(TRIM($L147)),2)=LEFT(UPPER(TRIM(CAI_DAT!$B$5)),2),$Q147=1,OR(AND($M147="SO",ISNUMBER($P147),$P147&gt;0),AND($M147="MO",ISNUMBER($O147),$O147&gt;0))),1,0)),0)</x:f>
        <x:v>0</x:v>
      </x:c>
      <x:c r="U147" t="str">
        <x:f>IFERROR(IF($T147=0,"",IF($M147="SO",$P147,IF(AND($M147="MO",OR($R147=TRUE,$R147="TRUE"),ISNUMBER($P147),$P147&gt;0),$P147,$O147))),"")</x:f>
      </x:c>
      <x:c r="V147" t="str">
        <x:f>IFERROR(IF($T147=0,"",MOD($N147,1)*86400),"")</x:f>
      </x:c>
      <x:c r="W147" t="str">
        <x:f>IFERROR(IF($T147=0,"",COUNTIFS($T$3:$T$202,1,$V$3:$V$202,"&lt;"&amp;$V147)+COUNTIFS($T$3:$T147,1,$V$3:$V147,$V147)),"")</x:f>
      </x:c>
      <x:c r="X147" t="str">
        <x:f>IFERROR(IF($T147=0,"",IF($M147="SO","SO: dùng CS hoàn thành",IF(AND($M147="MO",OR($R147=TRUE,$R147="TRUE"),ISNUMBER($P147),$P147&gt;0),"MO dừng sớm: dùng CS hoàn thành","MO: dùng CS ra lệnh"))),"")</x:f>
      </x:c>
    </x:row>
    <x:row r="148">
      <x:c r="J148" t="str">
        <x:f>IF(LENH_GOC!A149="","",149)</x:f>
      </x:c>
      <x:c r="K148" t="str">
        <x:f>IF(LENH_GOC!A149="","",LENH_GOC!A149)</x:f>
      </x:c>
      <x:c r="L148" t="str">
        <x:f>IF($K148="","",IFERROR(TRIM(LENH_GOC!C149),""))</x:f>
      </x:c>
      <x:c r="M148" t="str">
        <x:f>IF($K148="","",IFERROR(UPPER(TRIM(LENH_GOC!Y149)),""))</x:f>
      </x:c>
      <x:c r="N148" s="249" t="str">
        <x:f>IFERROR(IF($K148="","",IF(LENH_GOC!G149="","",IF(ISNUMBER(LENH_GOC!G149),LENH_GOC!G149,DATE(VALUE(MID(LENH_GOC!G149,7,4)),VALUE(MID(LENH_GOC!G149,4,2)),VALUE(LEFT(LENH_GOC!G149,2)))+TIME(VALUE(MID(LENH_GOC!G149,12,2)),VALUE(MID(LENH_GOC!G149,15,2)),VALUE(MID(LENH_GOC!G149,18,2)))))), "")</x:f>
      </x:c>
      <x:c r="O148" t="str">
        <x:f>IF($K148="","",IF(LENH_GOC!E149="","",LENH_GOC!E149))</x:f>
      </x:c>
      <x:c r="P148" t="str">
        <x:f>IF($K148="","",IF(LENH_GOC!F149="","",LENH_GOC!F149))</x:f>
      </x:c>
      <x:c r="Q148" t="str">
        <x:f>IFERROR(IF($K148="","",IF(LENH_GOC!P149="","",IFERROR(VALUE(LENH_GOC!P149),IF(OR(LENH_GOC!P149=TRUE,UPPER(TRIM(LENH_GOC!P149))="TRUE"),1,0)))),"")</x:f>
      </x:c>
      <x:c r="R148" t="str">
        <x:f>IF($K148="","",IF(LENH_GOC!Q149="","",LENH_GOC!Q149))</x:f>
      </x:c>
      <x:c r="S148" s="249" t="str">
        <x:f>IF($K148="","",IF(LENH_GOC!R149="","",LENH_GOC!R149))</x:f>
      </x:c>
      <x:c r="T148" t="n">
        <x:f>IFERROR(IF($K148="",0,IF(AND(ISNUMBER($N148),INT($N148)=CAI_DAT!$B$4,LEFT(UPPER(TRIM($L148)),2)=LEFT(UPPER(TRIM(CAI_DAT!$B$5)),2),$Q148=1,OR(AND($M148="SO",ISNUMBER($P148),$P148&gt;0),AND($M148="MO",ISNUMBER($O148),$O148&gt;0))),1,0)),0)</x:f>
        <x:v>0</x:v>
      </x:c>
      <x:c r="U148" t="str">
        <x:f>IFERROR(IF($T148=0,"",IF($M148="SO",$P148,IF(AND($M148="MO",OR($R148=TRUE,$R148="TRUE"),ISNUMBER($P148),$P148&gt;0),$P148,$O148))),"")</x:f>
      </x:c>
      <x:c r="V148" t="str">
        <x:f>IFERROR(IF($T148=0,"",MOD($N148,1)*86400),"")</x:f>
      </x:c>
      <x:c r="W148" t="str">
        <x:f>IFERROR(IF($T148=0,"",COUNTIFS($T$3:$T$202,1,$V$3:$V$202,"&lt;"&amp;$V148)+COUNTIFS($T$3:$T148,1,$V$3:$V148,$V148)),"")</x:f>
      </x:c>
      <x:c r="X148" t="str">
        <x:f>IFERROR(IF($T148=0,"",IF($M148="SO","SO: dùng CS hoàn thành",IF(AND($M148="MO",OR($R148=TRUE,$R148="TRUE"),ISNUMBER($P148),$P148&gt;0),"MO dừng sớm: dùng CS hoàn thành","MO: dùng CS ra lệnh"))),"")</x:f>
      </x:c>
    </x:row>
    <x:row r="149">
      <x:c r="J149" t="str">
        <x:f>IF(LENH_GOC!A150="","",150)</x:f>
      </x:c>
      <x:c r="K149" t="str">
        <x:f>IF(LENH_GOC!A150="","",LENH_GOC!A150)</x:f>
      </x:c>
      <x:c r="L149" t="str">
        <x:f>IF($K149="","",IFERROR(TRIM(LENH_GOC!C150),""))</x:f>
      </x:c>
      <x:c r="M149" t="str">
        <x:f>IF($K149="","",IFERROR(UPPER(TRIM(LENH_GOC!Y150)),""))</x:f>
      </x:c>
      <x:c r="N149" s="249" t="str">
        <x:f>IFERROR(IF($K149="","",IF(LENH_GOC!G150="","",IF(ISNUMBER(LENH_GOC!G150),LENH_GOC!G150,DATE(VALUE(MID(LENH_GOC!G150,7,4)),VALUE(MID(LENH_GOC!G150,4,2)),VALUE(LEFT(LENH_GOC!G150,2)))+TIME(VALUE(MID(LENH_GOC!G150,12,2)),VALUE(MID(LENH_GOC!G150,15,2)),VALUE(MID(LENH_GOC!G150,18,2)))))), "")</x:f>
      </x:c>
      <x:c r="O149" t="str">
        <x:f>IF($K149="","",IF(LENH_GOC!E150="","",LENH_GOC!E150))</x:f>
      </x:c>
      <x:c r="P149" t="str">
        <x:f>IF($K149="","",IF(LENH_GOC!F150="","",LENH_GOC!F150))</x:f>
      </x:c>
      <x:c r="Q149" t="str">
        <x:f>IFERROR(IF($K149="","",IF(LENH_GOC!P150="","",IFERROR(VALUE(LENH_GOC!P150),IF(OR(LENH_GOC!P150=TRUE,UPPER(TRIM(LENH_GOC!P150))="TRUE"),1,0)))),"")</x:f>
      </x:c>
      <x:c r="R149" t="str">
        <x:f>IF($K149="","",IF(LENH_GOC!Q150="","",LENH_GOC!Q150))</x:f>
      </x:c>
      <x:c r="S149" s="249" t="str">
        <x:f>IF($K149="","",IF(LENH_GOC!R150="","",LENH_GOC!R150))</x:f>
      </x:c>
      <x:c r="T149" t="n">
        <x:f>IFERROR(IF($K149="",0,IF(AND(ISNUMBER($N149),INT($N149)=CAI_DAT!$B$4,LEFT(UPPER(TRIM($L149)),2)=LEFT(UPPER(TRIM(CAI_DAT!$B$5)),2),$Q149=1,OR(AND($M149="SO",ISNUMBER($P149),$P149&gt;0),AND($M149="MO",ISNUMBER($O149),$O149&gt;0))),1,0)),0)</x:f>
        <x:v>0</x:v>
      </x:c>
      <x:c r="U149" t="str">
        <x:f>IFERROR(IF($T149=0,"",IF($M149="SO",$P149,IF(AND($M149="MO",OR($R149=TRUE,$R149="TRUE"),ISNUMBER($P149),$P149&gt;0),$P149,$O149))),"")</x:f>
      </x:c>
      <x:c r="V149" t="str">
        <x:f>IFERROR(IF($T149=0,"",MOD($N149,1)*86400),"")</x:f>
      </x:c>
      <x:c r="W149" t="str">
        <x:f>IFERROR(IF($T149=0,"",COUNTIFS($T$3:$T$202,1,$V$3:$V$202,"&lt;"&amp;$V149)+COUNTIFS($T$3:$T149,1,$V$3:$V149,$V149)),"")</x:f>
      </x:c>
      <x:c r="X149" t="str">
        <x:f>IFERROR(IF($T149=0,"",IF($M149="SO","SO: dùng CS hoàn thành",IF(AND($M149="MO",OR($R149=TRUE,$R149="TRUE"),ISNUMBER($P149),$P149&gt;0),"MO dừng sớm: dùng CS hoàn thành","MO: dùng CS ra lệnh"))),"")</x:f>
      </x:c>
    </x:row>
    <x:row r="150">
      <x:c r="J150" t="str">
        <x:f>IF(LENH_GOC!A151="","",151)</x:f>
      </x:c>
      <x:c r="K150" t="str">
        <x:f>IF(LENH_GOC!A151="","",LENH_GOC!A151)</x:f>
      </x:c>
      <x:c r="L150" t="str">
        <x:f>IF($K150="","",IFERROR(TRIM(LENH_GOC!C151),""))</x:f>
      </x:c>
      <x:c r="M150" t="str">
        <x:f>IF($K150="","",IFERROR(UPPER(TRIM(LENH_GOC!Y151)),""))</x:f>
      </x:c>
      <x:c r="N150" s="249" t="str">
        <x:f>IFERROR(IF($K150="","",IF(LENH_GOC!G151="","",IF(ISNUMBER(LENH_GOC!G151),LENH_GOC!G151,DATE(VALUE(MID(LENH_GOC!G151,7,4)),VALUE(MID(LENH_GOC!G151,4,2)),VALUE(LEFT(LENH_GOC!G151,2)))+TIME(VALUE(MID(LENH_GOC!G151,12,2)),VALUE(MID(LENH_GOC!G151,15,2)),VALUE(MID(LENH_GOC!G151,18,2)))))), "")</x:f>
      </x:c>
      <x:c r="O150" t="str">
        <x:f>IF($K150="","",IF(LENH_GOC!E151="","",LENH_GOC!E151))</x:f>
      </x:c>
      <x:c r="P150" t="str">
        <x:f>IF($K150="","",IF(LENH_GOC!F151="","",LENH_GOC!F151))</x:f>
      </x:c>
      <x:c r="Q150" t="str">
        <x:f>IFERROR(IF($K150="","",IF(LENH_GOC!P151="","",IFERROR(VALUE(LENH_GOC!P151),IF(OR(LENH_GOC!P151=TRUE,UPPER(TRIM(LENH_GOC!P151))="TRUE"),1,0)))),"")</x:f>
      </x:c>
      <x:c r="R150" t="str">
        <x:f>IF($K150="","",IF(LENH_GOC!Q151="","",LENH_GOC!Q151))</x:f>
      </x:c>
      <x:c r="S150" s="249" t="str">
        <x:f>IF($K150="","",IF(LENH_GOC!R151="","",LENH_GOC!R151))</x:f>
      </x:c>
      <x:c r="T150" t="n">
        <x:f>IFERROR(IF($K150="",0,IF(AND(ISNUMBER($N150),INT($N150)=CAI_DAT!$B$4,LEFT(UPPER(TRIM($L150)),2)=LEFT(UPPER(TRIM(CAI_DAT!$B$5)),2),$Q150=1,OR(AND($M150="SO",ISNUMBER($P150),$P150&gt;0),AND($M150="MO",ISNUMBER($O150),$O150&gt;0))),1,0)),0)</x:f>
        <x:v>0</x:v>
      </x:c>
      <x:c r="U150" t="str">
        <x:f>IFERROR(IF($T150=0,"",IF($M150="SO",$P150,IF(AND($M150="MO",OR($R150=TRUE,$R150="TRUE"),ISNUMBER($P150),$P150&gt;0),$P150,$O150))),"")</x:f>
      </x:c>
      <x:c r="V150" t="str">
        <x:f>IFERROR(IF($T150=0,"",MOD($N150,1)*86400),"")</x:f>
      </x:c>
      <x:c r="W150" t="str">
        <x:f>IFERROR(IF($T150=0,"",COUNTIFS($T$3:$T$202,1,$V$3:$V$202,"&lt;"&amp;$V150)+COUNTIFS($T$3:$T150,1,$V$3:$V150,$V150)),"")</x:f>
      </x:c>
      <x:c r="X150" t="str">
        <x:f>IFERROR(IF($T150=0,"",IF($M150="SO","SO: dùng CS hoàn thành",IF(AND($M150="MO",OR($R150=TRUE,$R150="TRUE"),ISNUMBER($P150),$P150&gt;0),"MO dừng sớm: dùng CS hoàn thành","MO: dùng CS ra lệnh"))),"")</x:f>
      </x:c>
    </x:row>
    <x:row r="151">
      <x:c r="J151" t="str">
        <x:f>IF(LENH_GOC!A152="","",152)</x:f>
      </x:c>
      <x:c r="K151" t="str">
        <x:f>IF(LENH_GOC!A152="","",LENH_GOC!A152)</x:f>
      </x:c>
      <x:c r="L151" t="str">
        <x:f>IF($K151="","",IFERROR(TRIM(LENH_GOC!C152),""))</x:f>
      </x:c>
      <x:c r="M151" t="str">
        <x:f>IF($K151="","",IFERROR(UPPER(TRIM(LENH_GOC!Y152)),""))</x:f>
      </x:c>
      <x:c r="N151" s="249" t="str">
        <x:f>IFERROR(IF($K151="","",IF(LENH_GOC!G152="","",IF(ISNUMBER(LENH_GOC!G152),LENH_GOC!G152,DATE(VALUE(MID(LENH_GOC!G152,7,4)),VALUE(MID(LENH_GOC!G152,4,2)),VALUE(LEFT(LENH_GOC!G152,2)))+TIME(VALUE(MID(LENH_GOC!G152,12,2)),VALUE(MID(LENH_GOC!G152,15,2)),VALUE(MID(LENH_GOC!G152,18,2)))))), "")</x:f>
      </x:c>
      <x:c r="O151" t="str">
        <x:f>IF($K151="","",IF(LENH_GOC!E152="","",LENH_GOC!E152))</x:f>
      </x:c>
      <x:c r="P151" t="str">
        <x:f>IF($K151="","",IF(LENH_GOC!F152="","",LENH_GOC!F152))</x:f>
      </x:c>
      <x:c r="Q151" t="str">
        <x:f>IFERROR(IF($K151="","",IF(LENH_GOC!P152="","",IFERROR(VALUE(LENH_GOC!P152),IF(OR(LENH_GOC!P152=TRUE,UPPER(TRIM(LENH_GOC!P152))="TRUE"),1,0)))),"")</x:f>
      </x:c>
      <x:c r="R151" t="str">
        <x:f>IF($K151="","",IF(LENH_GOC!Q152="","",LENH_GOC!Q152))</x:f>
      </x:c>
      <x:c r="S151" s="249" t="str">
        <x:f>IF($K151="","",IF(LENH_GOC!R152="","",LENH_GOC!R152))</x:f>
      </x:c>
      <x:c r="T151" t="n">
        <x:f>IFERROR(IF($K151="",0,IF(AND(ISNUMBER($N151),INT($N151)=CAI_DAT!$B$4,LEFT(UPPER(TRIM($L151)),2)=LEFT(UPPER(TRIM(CAI_DAT!$B$5)),2),$Q151=1,OR(AND($M151="SO",ISNUMBER($P151),$P151&gt;0),AND($M151="MO",ISNUMBER($O151),$O151&gt;0))),1,0)),0)</x:f>
        <x:v>0</x:v>
      </x:c>
      <x:c r="U151" t="str">
        <x:f>IFERROR(IF($T151=0,"",IF($M151="SO",$P151,IF(AND($M151="MO",OR($R151=TRUE,$R151="TRUE"),ISNUMBER($P151),$P151&gt;0),$P151,$O151))),"")</x:f>
      </x:c>
      <x:c r="V151" t="str">
        <x:f>IFERROR(IF($T151=0,"",MOD($N151,1)*86400),"")</x:f>
      </x:c>
      <x:c r="W151" t="str">
        <x:f>IFERROR(IF($T151=0,"",COUNTIFS($T$3:$T$202,1,$V$3:$V$202,"&lt;"&amp;$V151)+COUNTIFS($T$3:$T151,1,$V$3:$V151,$V151)),"")</x:f>
      </x:c>
      <x:c r="X151" t="str">
        <x:f>IFERROR(IF($T151=0,"",IF($M151="SO","SO: dùng CS hoàn thành",IF(AND($M151="MO",OR($R151=TRUE,$R151="TRUE"),ISNUMBER($P151),$P151&gt;0),"MO dừng sớm: dùng CS hoàn thành","MO: dùng CS ra lệnh"))),"")</x:f>
      </x:c>
    </x:row>
    <x:row r="152">
      <x:c r="J152" t="str">
        <x:f>IF(LENH_GOC!A153="","",153)</x:f>
      </x:c>
      <x:c r="K152" t="str">
        <x:f>IF(LENH_GOC!A153="","",LENH_GOC!A153)</x:f>
      </x:c>
      <x:c r="L152" t="str">
        <x:f>IF($K152="","",IFERROR(TRIM(LENH_GOC!C153),""))</x:f>
      </x:c>
      <x:c r="M152" t="str">
        <x:f>IF($K152="","",IFERROR(UPPER(TRIM(LENH_GOC!Y153)),""))</x:f>
      </x:c>
      <x:c r="N152" s="249" t="str">
        <x:f>IFERROR(IF($K152="","",IF(LENH_GOC!G153="","",IF(ISNUMBER(LENH_GOC!G153),LENH_GOC!G153,DATE(VALUE(MID(LENH_GOC!G153,7,4)),VALUE(MID(LENH_GOC!G153,4,2)),VALUE(LEFT(LENH_GOC!G153,2)))+TIME(VALUE(MID(LENH_GOC!G153,12,2)),VALUE(MID(LENH_GOC!G153,15,2)),VALUE(MID(LENH_GOC!G153,18,2)))))), "")</x:f>
      </x:c>
      <x:c r="O152" t="str">
        <x:f>IF($K152="","",IF(LENH_GOC!E153="","",LENH_GOC!E153))</x:f>
      </x:c>
      <x:c r="P152" t="str">
        <x:f>IF($K152="","",IF(LENH_GOC!F153="","",LENH_GOC!F153))</x:f>
      </x:c>
      <x:c r="Q152" t="str">
        <x:f>IFERROR(IF($K152="","",IF(LENH_GOC!P153="","",IFERROR(VALUE(LENH_GOC!P153),IF(OR(LENH_GOC!P153=TRUE,UPPER(TRIM(LENH_GOC!P153))="TRUE"),1,0)))),"")</x:f>
      </x:c>
      <x:c r="R152" t="str">
        <x:f>IF($K152="","",IF(LENH_GOC!Q153="","",LENH_GOC!Q153))</x:f>
      </x:c>
      <x:c r="S152" s="249" t="str">
        <x:f>IF($K152="","",IF(LENH_GOC!R153="","",LENH_GOC!R153))</x:f>
      </x:c>
      <x:c r="T152" t="n">
        <x:f>IFERROR(IF($K152="",0,IF(AND(ISNUMBER($N152),INT($N152)=CAI_DAT!$B$4,LEFT(UPPER(TRIM($L152)),2)=LEFT(UPPER(TRIM(CAI_DAT!$B$5)),2),$Q152=1,OR(AND($M152="SO",ISNUMBER($P152),$P152&gt;0),AND($M152="MO",ISNUMBER($O152),$O152&gt;0))),1,0)),0)</x:f>
        <x:v>0</x:v>
      </x:c>
      <x:c r="U152" t="str">
        <x:f>IFERROR(IF($T152=0,"",IF($M152="SO",$P152,IF(AND($M152="MO",OR($R152=TRUE,$R152="TRUE"),ISNUMBER($P152),$P152&gt;0),$P152,$O152))),"")</x:f>
      </x:c>
      <x:c r="V152" t="str">
        <x:f>IFERROR(IF($T152=0,"",MOD($N152,1)*86400),"")</x:f>
      </x:c>
      <x:c r="W152" t="str">
        <x:f>IFERROR(IF($T152=0,"",COUNTIFS($T$3:$T$202,1,$V$3:$V$202,"&lt;"&amp;$V152)+COUNTIFS($T$3:$T152,1,$V$3:$V152,$V152)),"")</x:f>
      </x:c>
      <x:c r="X152" t="str">
        <x:f>IFERROR(IF($T152=0,"",IF($M152="SO","SO: dùng CS hoàn thành",IF(AND($M152="MO",OR($R152=TRUE,$R152="TRUE"),ISNUMBER($P152),$P152&gt;0),"MO dừng sớm: dùng CS hoàn thành","MO: dùng CS ra lệnh"))),"")</x:f>
      </x:c>
    </x:row>
    <x:row r="153">
      <x:c r="J153" t="str">
        <x:f>IF(LENH_GOC!A154="","",154)</x:f>
      </x:c>
      <x:c r="K153" t="str">
        <x:f>IF(LENH_GOC!A154="","",LENH_GOC!A154)</x:f>
      </x:c>
      <x:c r="L153" t="str">
        <x:f>IF($K153="","",IFERROR(TRIM(LENH_GOC!C154),""))</x:f>
      </x:c>
      <x:c r="M153" t="str">
        <x:f>IF($K153="","",IFERROR(UPPER(TRIM(LENH_GOC!Y154)),""))</x:f>
      </x:c>
      <x:c r="N153" s="249" t="str">
        <x:f>IFERROR(IF($K153="","",IF(LENH_GOC!G154="","",IF(ISNUMBER(LENH_GOC!G154),LENH_GOC!G154,DATE(VALUE(MID(LENH_GOC!G154,7,4)),VALUE(MID(LENH_GOC!G154,4,2)),VALUE(LEFT(LENH_GOC!G154,2)))+TIME(VALUE(MID(LENH_GOC!G154,12,2)),VALUE(MID(LENH_GOC!G154,15,2)),VALUE(MID(LENH_GOC!G154,18,2)))))), "")</x:f>
      </x:c>
      <x:c r="O153" t="str">
        <x:f>IF($K153="","",IF(LENH_GOC!E154="","",LENH_GOC!E154))</x:f>
      </x:c>
      <x:c r="P153" t="str">
        <x:f>IF($K153="","",IF(LENH_GOC!F154="","",LENH_GOC!F154))</x:f>
      </x:c>
      <x:c r="Q153" t="str">
        <x:f>IFERROR(IF($K153="","",IF(LENH_GOC!P154="","",IFERROR(VALUE(LENH_GOC!P154),IF(OR(LENH_GOC!P154=TRUE,UPPER(TRIM(LENH_GOC!P154))="TRUE"),1,0)))),"")</x:f>
      </x:c>
      <x:c r="R153" t="str">
        <x:f>IF($K153="","",IF(LENH_GOC!Q154="","",LENH_GOC!Q154))</x:f>
      </x:c>
      <x:c r="S153" s="249" t="str">
        <x:f>IF($K153="","",IF(LENH_GOC!R154="","",LENH_GOC!R154))</x:f>
      </x:c>
      <x:c r="T153" t="n">
        <x:f>IFERROR(IF($K153="",0,IF(AND(ISNUMBER($N153),INT($N153)=CAI_DAT!$B$4,LEFT(UPPER(TRIM($L153)),2)=LEFT(UPPER(TRIM(CAI_DAT!$B$5)),2),$Q153=1,OR(AND($M153="SO",ISNUMBER($P153),$P153&gt;0),AND($M153="MO",ISNUMBER($O153),$O153&gt;0))),1,0)),0)</x:f>
        <x:v>0</x:v>
      </x:c>
      <x:c r="U153" t="str">
        <x:f>IFERROR(IF($T153=0,"",IF($M153="SO",$P153,IF(AND($M153="MO",OR($R153=TRUE,$R153="TRUE"),ISNUMBER($P153),$P153&gt;0),$P153,$O153))),"")</x:f>
      </x:c>
      <x:c r="V153" t="str">
        <x:f>IFERROR(IF($T153=0,"",MOD($N153,1)*86400),"")</x:f>
      </x:c>
      <x:c r="W153" t="str">
        <x:f>IFERROR(IF($T153=0,"",COUNTIFS($T$3:$T$202,1,$V$3:$V$202,"&lt;"&amp;$V153)+COUNTIFS($T$3:$T153,1,$V$3:$V153,$V153)),"")</x:f>
      </x:c>
      <x:c r="X153" t="str">
        <x:f>IFERROR(IF($T153=0,"",IF($M153="SO","SO: dùng CS hoàn thành",IF(AND($M153="MO",OR($R153=TRUE,$R153="TRUE"),ISNUMBER($P153),$P153&gt;0),"MO dừng sớm: dùng CS hoàn thành","MO: dùng CS ra lệnh"))),"")</x:f>
      </x:c>
    </x:row>
    <x:row r="154">
      <x:c r="J154" t="str">
        <x:f>IF(LENH_GOC!A155="","",155)</x:f>
      </x:c>
      <x:c r="K154" t="str">
        <x:f>IF(LENH_GOC!A155="","",LENH_GOC!A155)</x:f>
      </x:c>
      <x:c r="L154" t="str">
        <x:f>IF($K154="","",IFERROR(TRIM(LENH_GOC!C155),""))</x:f>
      </x:c>
      <x:c r="M154" t="str">
        <x:f>IF($K154="","",IFERROR(UPPER(TRIM(LENH_GOC!Y155)),""))</x:f>
      </x:c>
      <x:c r="N154" s="249" t="str">
        <x:f>IFERROR(IF($K154="","",IF(LENH_GOC!G155="","",IF(ISNUMBER(LENH_GOC!G155),LENH_GOC!G155,DATE(VALUE(MID(LENH_GOC!G155,7,4)),VALUE(MID(LENH_GOC!G155,4,2)),VALUE(LEFT(LENH_GOC!G155,2)))+TIME(VALUE(MID(LENH_GOC!G155,12,2)),VALUE(MID(LENH_GOC!G155,15,2)),VALUE(MID(LENH_GOC!G155,18,2)))))), "")</x:f>
      </x:c>
      <x:c r="O154" t="str">
        <x:f>IF($K154="","",IF(LENH_GOC!E155="","",LENH_GOC!E155))</x:f>
      </x:c>
      <x:c r="P154" t="str">
        <x:f>IF($K154="","",IF(LENH_GOC!F155="","",LENH_GOC!F155))</x:f>
      </x:c>
      <x:c r="Q154" t="str">
        <x:f>IFERROR(IF($K154="","",IF(LENH_GOC!P155="","",IFERROR(VALUE(LENH_GOC!P155),IF(OR(LENH_GOC!P155=TRUE,UPPER(TRIM(LENH_GOC!P155))="TRUE"),1,0)))),"")</x:f>
      </x:c>
      <x:c r="R154" t="str">
        <x:f>IF($K154="","",IF(LENH_GOC!Q155="","",LENH_GOC!Q155))</x:f>
      </x:c>
      <x:c r="S154" s="249" t="str">
        <x:f>IF($K154="","",IF(LENH_GOC!R155="","",LENH_GOC!R155))</x:f>
      </x:c>
      <x:c r="T154" t="n">
        <x:f>IFERROR(IF($K154="",0,IF(AND(ISNUMBER($N154),INT($N154)=CAI_DAT!$B$4,LEFT(UPPER(TRIM($L154)),2)=LEFT(UPPER(TRIM(CAI_DAT!$B$5)),2),$Q154=1,OR(AND($M154="SO",ISNUMBER($P154),$P154&gt;0),AND($M154="MO",ISNUMBER($O154),$O154&gt;0))),1,0)),0)</x:f>
        <x:v>0</x:v>
      </x:c>
      <x:c r="U154" t="str">
        <x:f>IFERROR(IF($T154=0,"",IF($M154="SO",$P154,IF(AND($M154="MO",OR($R154=TRUE,$R154="TRUE"),ISNUMBER($P154),$P154&gt;0),$P154,$O154))),"")</x:f>
      </x:c>
      <x:c r="V154" t="str">
        <x:f>IFERROR(IF($T154=0,"",MOD($N154,1)*86400),"")</x:f>
      </x:c>
      <x:c r="W154" t="str">
        <x:f>IFERROR(IF($T154=0,"",COUNTIFS($T$3:$T$202,1,$V$3:$V$202,"&lt;"&amp;$V154)+COUNTIFS($T$3:$T154,1,$V$3:$V154,$V154)),"")</x:f>
      </x:c>
      <x:c r="X154" t="str">
        <x:f>IFERROR(IF($T154=0,"",IF($M154="SO","SO: dùng CS hoàn thành",IF(AND($M154="MO",OR($R154=TRUE,$R154="TRUE"),ISNUMBER($P154),$P154&gt;0),"MO dừng sớm: dùng CS hoàn thành","MO: dùng CS ra lệnh"))),"")</x:f>
      </x:c>
    </x:row>
    <x:row r="155">
      <x:c r="J155" t="str">
        <x:f>IF(LENH_GOC!A156="","",156)</x:f>
      </x:c>
      <x:c r="K155" t="str">
        <x:f>IF(LENH_GOC!A156="","",LENH_GOC!A156)</x:f>
      </x:c>
      <x:c r="L155" t="str">
        <x:f>IF($K155="","",IFERROR(TRIM(LENH_GOC!C156),""))</x:f>
      </x:c>
      <x:c r="M155" t="str">
        <x:f>IF($K155="","",IFERROR(UPPER(TRIM(LENH_GOC!Y156)),""))</x:f>
      </x:c>
      <x:c r="N155" s="249" t="str">
        <x:f>IFERROR(IF($K155="","",IF(LENH_GOC!G156="","",IF(ISNUMBER(LENH_GOC!G156),LENH_GOC!G156,DATE(VALUE(MID(LENH_GOC!G156,7,4)),VALUE(MID(LENH_GOC!G156,4,2)),VALUE(LEFT(LENH_GOC!G156,2)))+TIME(VALUE(MID(LENH_GOC!G156,12,2)),VALUE(MID(LENH_GOC!G156,15,2)),VALUE(MID(LENH_GOC!G156,18,2)))))), "")</x:f>
      </x:c>
      <x:c r="O155" t="str">
        <x:f>IF($K155="","",IF(LENH_GOC!E156="","",LENH_GOC!E156))</x:f>
      </x:c>
      <x:c r="P155" t="str">
        <x:f>IF($K155="","",IF(LENH_GOC!F156="","",LENH_GOC!F156))</x:f>
      </x:c>
      <x:c r="Q155" t="str">
        <x:f>IFERROR(IF($K155="","",IF(LENH_GOC!P156="","",IFERROR(VALUE(LENH_GOC!P156),IF(OR(LENH_GOC!P156=TRUE,UPPER(TRIM(LENH_GOC!P156))="TRUE"),1,0)))),"")</x:f>
      </x:c>
      <x:c r="R155" t="str">
        <x:f>IF($K155="","",IF(LENH_GOC!Q156="","",LENH_GOC!Q156))</x:f>
      </x:c>
      <x:c r="S155" s="249" t="str">
        <x:f>IF($K155="","",IF(LENH_GOC!R156="","",LENH_GOC!R156))</x:f>
      </x:c>
      <x:c r="T155" t="n">
        <x:f>IFERROR(IF($K155="",0,IF(AND(ISNUMBER($N155),INT($N155)=CAI_DAT!$B$4,LEFT(UPPER(TRIM($L155)),2)=LEFT(UPPER(TRIM(CAI_DAT!$B$5)),2),$Q155=1,OR(AND($M155="SO",ISNUMBER($P155),$P155&gt;0),AND($M155="MO",ISNUMBER($O155),$O155&gt;0))),1,0)),0)</x:f>
        <x:v>0</x:v>
      </x:c>
      <x:c r="U155" t="str">
        <x:f>IFERROR(IF($T155=0,"",IF($M155="SO",$P155,IF(AND($M155="MO",OR($R155=TRUE,$R155="TRUE"),ISNUMBER($P155),$P155&gt;0),$P155,$O155))),"")</x:f>
      </x:c>
      <x:c r="V155" t="str">
        <x:f>IFERROR(IF($T155=0,"",MOD($N155,1)*86400),"")</x:f>
      </x:c>
      <x:c r="W155" t="str">
        <x:f>IFERROR(IF($T155=0,"",COUNTIFS($T$3:$T$202,1,$V$3:$V$202,"&lt;"&amp;$V155)+COUNTIFS($T$3:$T155,1,$V$3:$V155,$V155)),"")</x:f>
      </x:c>
      <x:c r="X155" t="str">
        <x:f>IFERROR(IF($T155=0,"",IF($M155="SO","SO: dùng CS hoàn thành",IF(AND($M155="MO",OR($R155=TRUE,$R155="TRUE"),ISNUMBER($P155),$P155&gt;0),"MO dừng sớm: dùng CS hoàn thành","MO: dùng CS ra lệnh"))),"")</x:f>
      </x:c>
    </x:row>
    <x:row r="156">
      <x:c r="J156" t="str">
        <x:f>IF(LENH_GOC!A157="","",157)</x:f>
      </x:c>
      <x:c r="K156" t="str">
        <x:f>IF(LENH_GOC!A157="","",LENH_GOC!A157)</x:f>
      </x:c>
      <x:c r="L156" t="str">
        <x:f>IF($K156="","",IFERROR(TRIM(LENH_GOC!C157),""))</x:f>
      </x:c>
      <x:c r="M156" t="str">
        <x:f>IF($K156="","",IFERROR(UPPER(TRIM(LENH_GOC!Y157)),""))</x:f>
      </x:c>
      <x:c r="N156" s="249" t="str">
        <x:f>IFERROR(IF($K156="","",IF(LENH_GOC!G157="","",IF(ISNUMBER(LENH_GOC!G157),LENH_GOC!G157,DATE(VALUE(MID(LENH_GOC!G157,7,4)),VALUE(MID(LENH_GOC!G157,4,2)),VALUE(LEFT(LENH_GOC!G157,2)))+TIME(VALUE(MID(LENH_GOC!G157,12,2)),VALUE(MID(LENH_GOC!G157,15,2)),VALUE(MID(LENH_GOC!G157,18,2)))))), "")</x:f>
      </x:c>
      <x:c r="O156" t="str">
        <x:f>IF($K156="","",IF(LENH_GOC!E157="","",LENH_GOC!E157))</x:f>
      </x:c>
      <x:c r="P156" t="str">
        <x:f>IF($K156="","",IF(LENH_GOC!F157="","",LENH_GOC!F157))</x:f>
      </x:c>
      <x:c r="Q156" t="str">
        <x:f>IFERROR(IF($K156="","",IF(LENH_GOC!P157="","",IFERROR(VALUE(LENH_GOC!P157),IF(OR(LENH_GOC!P157=TRUE,UPPER(TRIM(LENH_GOC!P157))="TRUE"),1,0)))),"")</x:f>
      </x:c>
      <x:c r="R156" t="str">
        <x:f>IF($K156="","",IF(LENH_GOC!Q157="","",LENH_GOC!Q157))</x:f>
      </x:c>
      <x:c r="S156" s="249" t="str">
        <x:f>IF($K156="","",IF(LENH_GOC!R157="","",LENH_GOC!R157))</x:f>
      </x:c>
      <x:c r="T156" t="n">
        <x:f>IFERROR(IF($K156="",0,IF(AND(ISNUMBER($N156),INT($N156)=CAI_DAT!$B$4,LEFT(UPPER(TRIM($L156)),2)=LEFT(UPPER(TRIM(CAI_DAT!$B$5)),2),$Q156=1,OR(AND($M156="SO",ISNUMBER($P156),$P156&gt;0),AND($M156="MO",ISNUMBER($O156),$O156&gt;0))),1,0)),0)</x:f>
        <x:v>0</x:v>
      </x:c>
      <x:c r="U156" t="str">
        <x:f>IFERROR(IF($T156=0,"",IF($M156="SO",$P156,IF(AND($M156="MO",OR($R156=TRUE,$R156="TRUE"),ISNUMBER($P156),$P156&gt;0),$P156,$O156))),"")</x:f>
      </x:c>
      <x:c r="V156" t="str">
        <x:f>IFERROR(IF($T156=0,"",MOD($N156,1)*86400),"")</x:f>
      </x:c>
      <x:c r="W156" t="str">
        <x:f>IFERROR(IF($T156=0,"",COUNTIFS($T$3:$T$202,1,$V$3:$V$202,"&lt;"&amp;$V156)+COUNTIFS($T$3:$T156,1,$V$3:$V156,$V156)),"")</x:f>
      </x:c>
      <x:c r="X156" t="str">
        <x:f>IFERROR(IF($T156=0,"",IF($M156="SO","SO: dùng CS hoàn thành",IF(AND($M156="MO",OR($R156=TRUE,$R156="TRUE"),ISNUMBER($P156),$P156&gt;0),"MO dừng sớm: dùng CS hoàn thành","MO: dùng CS ra lệnh"))),"")</x:f>
      </x:c>
    </x:row>
    <x:row r="157">
      <x:c r="J157" t="str">
        <x:f>IF(LENH_GOC!A158="","",158)</x:f>
      </x:c>
      <x:c r="K157" t="str">
        <x:f>IF(LENH_GOC!A158="","",LENH_GOC!A158)</x:f>
      </x:c>
      <x:c r="L157" t="str">
        <x:f>IF($K157="","",IFERROR(TRIM(LENH_GOC!C158),""))</x:f>
      </x:c>
      <x:c r="M157" t="str">
        <x:f>IF($K157="","",IFERROR(UPPER(TRIM(LENH_GOC!Y158)),""))</x:f>
      </x:c>
      <x:c r="N157" s="249" t="str">
        <x:f>IFERROR(IF($K157="","",IF(LENH_GOC!G158="","",IF(ISNUMBER(LENH_GOC!G158),LENH_GOC!G158,DATE(VALUE(MID(LENH_GOC!G158,7,4)),VALUE(MID(LENH_GOC!G158,4,2)),VALUE(LEFT(LENH_GOC!G158,2)))+TIME(VALUE(MID(LENH_GOC!G158,12,2)),VALUE(MID(LENH_GOC!G158,15,2)),VALUE(MID(LENH_GOC!G158,18,2)))))), "")</x:f>
      </x:c>
      <x:c r="O157" t="str">
        <x:f>IF($K157="","",IF(LENH_GOC!E158="","",LENH_GOC!E158))</x:f>
      </x:c>
      <x:c r="P157" t="str">
        <x:f>IF($K157="","",IF(LENH_GOC!F158="","",LENH_GOC!F158))</x:f>
      </x:c>
      <x:c r="Q157" t="str">
        <x:f>IFERROR(IF($K157="","",IF(LENH_GOC!P158="","",IFERROR(VALUE(LENH_GOC!P158),IF(OR(LENH_GOC!P158=TRUE,UPPER(TRIM(LENH_GOC!P158))="TRUE"),1,0)))),"")</x:f>
      </x:c>
      <x:c r="R157" t="str">
        <x:f>IF($K157="","",IF(LENH_GOC!Q158="","",LENH_GOC!Q158))</x:f>
      </x:c>
      <x:c r="S157" s="249" t="str">
        <x:f>IF($K157="","",IF(LENH_GOC!R158="","",LENH_GOC!R158))</x:f>
      </x:c>
      <x:c r="T157" t="n">
        <x:f>IFERROR(IF($K157="",0,IF(AND(ISNUMBER($N157),INT($N157)=CAI_DAT!$B$4,LEFT(UPPER(TRIM($L157)),2)=LEFT(UPPER(TRIM(CAI_DAT!$B$5)),2),$Q157=1,OR(AND($M157="SO",ISNUMBER($P157),$P157&gt;0),AND($M157="MO",ISNUMBER($O157),$O157&gt;0))),1,0)),0)</x:f>
        <x:v>0</x:v>
      </x:c>
      <x:c r="U157" t="str">
        <x:f>IFERROR(IF($T157=0,"",IF($M157="SO",$P157,IF(AND($M157="MO",OR($R157=TRUE,$R157="TRUE"),ISNUMBER($P157),$P157&gt;0),$P157,$O157))),"")</x:f>
      </x:c>
      <x:c r="V157" t="str">
        <x:f>IFERROR(IF($T157=0,"",MOD($N157,1)*86400),"")</x:f>
      </x:c>
      <x:c r="W157" t="str">
        <x:f>IFERROR(IF($T157=0,"",COUNTIFS($T$3:$T$202,1,$V$3:$V$202,"&lt;"&amp;$V157)+COUNTIFS($T$3:$T157,1,$V$3:$V157,$V157)),"")</x:f>
      </x:c>
      <x:c r="X157" t="str">
        <x:f>IFERROR(IF($T157=0,"",IF($M157="SO","SO: dùng CS hoàn thành",IF(AND($M157="MO",OR($R157=TRUE,$R157="TRUE"),ISNUMBER($P157),$P157&gt;0),"MO dừng sớm: dùng CS hoàn thành","MO: dùng CS ra lệnh"))),"")</x:f>
      </x:c>
    </x:row>
    <x:row r="158">
      <x:c r="J158" t="str">
        <x:f>IF(LENH_GOC!A159="","",159)</x:f>
      </x:c>
      <x:c r="K158" t="str">
        <x:f>IF(LENH_GOC!A159="","",LENH_GOC!A159)</x:f>
      </x:c>
      <x:c r="L158" t="str">
        <x:f>IF($K158="","",IFERROR(TRIM(LENH_GOC!C159),""))</x:f>
      </x:c>
      <x:c r="M158" t="str">
        <x:f>IF($K158="","",IFERROR(UPPER(TRIM(LENH_GOC!Y159)),""))</x:f>
      </x:c>
      <x:c r="N158" s="249" t="str">
        <x:f>IFERROR(IF($K158="","",IF(LENH_GOC!G159="","",IF(ISNUMBER(LENH_GOC!G159),LENH_GOC!G159,DATE(VALUE(MID(LENH_GOC!G159,7,4)),VALUE(MID(LENH_GOC!G159,4,2)),VALUE(LEFT(LENH_GOC!G159,2)))+TIME(VALUE(MID(LENH_GOC!G159,12,2)),VALUE(MID(LENH_GOC!G159,15,2)),VALUE(MID(LENH_GOC!G159,18,2)))))), "")</x:f>
      </x:c>
      <x:c r="O158" t="str">
        <x:f>IF($K158="","",IF(LENH_GOC!E159="","",LENH_GOC!E159))</x:f>
      </x:c>
      <x:c r="P158" t="str">
        <x:f>IF($K158="","",IF(LENH_GOC!F159="","",LENH_GOC!F159))</x:f>
      </x:c>
      <x:c r="Q158" t="str">
        <x:f>IFERROR(IF($K158="","",IF(LENH_GOC!P159="","",IFERROR(VALUE(LENH_GOC!P159),IF(OR(LENH_GOC!P159=TRUE,UPPER(TRIM(LENH_GOC!P159))="TRUE"),1,0)))),"")</x:f>
      </x:c>
      <x:c r="R158" t="str">
        <x:f>IF($K158="","",IF(LENH_GOC!Q159="","",LENH_GOC!Q159))</x:f>
      </x:c>
      <x:c r="S158" s="249" t="str">
        <x:f>IF($K158="","",IF(LENH_GOC!R159="","",LENH_GOC!R159))</x:f>
      </x:c>
      <x:c r="T158" t="n">
        <x:f>IFERROR(IF($K158="",0,IF(AND(ISNUMBER($N158),INT($N158)=CAI_DAT!$B$4,LEFT(UPPER(TRIM($L158)),2)=LEFT(UPPER(TRIM(CAI_DAT!$B$5)),2),$Q158=1,OR(AND($M158="SO",ISNUMBER($P158),$P158&gt;0),AND($M158="MO",ISNUMBER($O158),$O158&gt;0))),1,0)),0)</x:f>
        <x:v>0</x:v>
      </x:c>
      <x:c r="U158" t="str">
        <x:f>IFERROR(IF($T158=0,"",IF($M158="SO",$P158,IF(AND($M158="MO",OR($R158=TRUE,$R158="TRUE"),ISNUMBER($P158),$P158&gt;0),$P158,$O158))),"")</x:f>
      </x:c>
      <x:c r="V158" t="str">
        <x:f>IFERROR(IF($T158=0,"",MOD($N158,1)*86400),"")</x:f>
      </x:c>
      <x:c r="W158" t="str">
        <x:f>IFERROR(IF($T158=0,"",COUNTIFS($T$3:$T$202,1,$V$3:$V$202,"&lt;"&amp;$V158)+COUNTIFS($T$3:$T158,1,$V$3:$V158,$V158)),"")</x:f>
      </x:c>
      <x:c r="X158" t="str">
        <x:f>IFERROR(IF($T158=0,"",IF($M158="SO","SO: dùng CS hoàn thành",IF(AND($M158="MO",OR($R158=TRUE,$R158="TRUE"),ISNUMBER($P158),$P158&gt;0),"MO dừng sớm: dùng CS hoàn thành","MO: dùng CS ra lệnh"))),"")</x:f>
      </x:c>
    </x:row>
    <x:row r="159">
      <x:c r="J159" t="str">
        <x:f>IF(LENH_GOC!A160="","",160)</x:f>
      </x:c>
      <x:c r="K159" t="str">
        <x:f>IF(LENH_GOC!A160="","",LENH_GOC!A160)</x:f>
      </x:c>
      <x:c r="L159" t="str">
        <x:f>IF($K159="","",IFERROR(TRIM(LENH_GOC!C160),""))</x:f>
      </x:c>
      <x:c r="M159" t="str">
        <x:f>IF($K159="","",IFERROR(UPPER(TRIM(LENH_GOC!Y160)),""))</x:f>
      </x:c>
      <x:c r="N159" s="249" t="str">
        <x:f>IFERROR(IF($K159="","",IF(LENH_GOC!G160="","",IF(ISNUMBER(LENH_GOC!G160),LENH_GOC!G160,DATE(VALUE(MID(LENH_GOC!G160,7,4)),VALUE(MID(LENH_GOC!G160,4,2)),VALUE(LEFT(LENH_GOC!G160,2)))+TIME(VALUE(MID(LENH_GOC!G160,12,2)),VALUE(MID(LENH_GOC!G160,15,2)),VALUE(MID(LENH_GOC!G160,18,2)))))), "")</x:f>
      </x:c>
      <x:c r="O159" t="str">
        <x:f>IF($K159="","",IF(LENH_GOC!E160="","",LENH_GOC!E160))</x:f>
      </x:c>
      <x:c r="P159" t="str">
        <x:f>IF($K159="","",IF(LENH_GOC!F160="","",LENH_GOC!F160))</x:f>
      </x:c>
      <x:c r="Q159" t="str">
        <x:f>IFERROR(IF($K159="","",IF(LENH_GOC!P160="","",IFERROR(VALUE(LENH_GOC!P160),IF(OR(LENH_GOC!P160=TRUE,UPPER(TRIM(LENH_GOC!P160))="TRUE"),1,0)))),"")</x:f>
      </x:c>
      <x:c r="R159" t="str">
        <x:f>IF($K159="","",IF(LENH_GOC!Q160="","",LENH_GOC!Q160))</x:f>
      </x:c>
      <x:c r="S159" s="249" t="str">
        <x:f>IF($K159="","",IF(LENH_GOC!R160="","",LENH_GOC!R160))</x:f>
      </x:c>
      <x:c r="T159" t="n">
        <x:f>IFERROR(IF($K159="",0,IF(AND(ISNUMBER($N159),INT($N159)=CAI_DAT!$B$4,LEFT(UPPER(TRIM($L159)),2)=LEFT(UPPER(TRIM(CAI_DAT!$B$5)),2),$Q159=1,OR(AND($M159="SO",ISNUMBER($P159),$P159&gt;0),AND($M159="MO",ISNUMBER($O159),$O159&gt;0))),1,0)),0)</x:f>
        <x:v>0</x:v>
      </x:c>
      <x:c r="U159" t="str">
        <x:f>IFERROR(IF($T159=0,"",IF($M159="SO",$P159,IF(AND($M159="MO",OR($R159=TRUE,$R159="TRUE"),ISNUMBER($P159),$P159&gt;0),$P159,$O159))),"")</x:f>
      </x:c>
      <x:c r="V159" t="str">
        <x:f>IFERROR(IF($T159=0,"",MOD($N159,1)*86400),"")</x:f>
      </x:c>
      <x:c r="W159" t="str">
        <x:f>IFERROR(IF($T159=0,"",COUNTIFS($T$3:$T$202,1,$V$3:$V$202,"&lt;"&amp;$V159)+COUNTIFS($T$3:$T159,1,$V$3:$V159,$V159)),"")</x:f>
      </x:c>
      <x:c r="X159" t="str">
        <x:f>IFERROR(IF($T159=0,"",IF($M159="SO","SO: dùng CS hoàn thành",IF(AND($M159="MO",OR($R159=TRUE,$R159="TRUE"),ISNUMBER($P159),$P159&gt;0),"MO dừng sớm: dùng CS hoàn thành","MO: dùng CS ra lệnh"))),"")</x:f>
      </x:c>
    </x:row>
    <x:row r="160">
      <x:c r="J160" t="str">
        <x:f>IF(LENH_GOC!A161="","",161)</x:f>
      </x:c>
      <x:c r="K160" t="str">
        <x:f>IF(LENH_GOC!A161="","",LENH_GOC!A161)</x:f>
      </x:c>
      <x:c r="L160" t="str">
        <x:f>IF($K160="","",IFERROR(TRIM(LENH_GOC!C161),""))</x:f>
      </x:c>
      <x:c r="M160" t="str">
        <x:f>IF($K160="","",IFERROR(UPPER(TRIM(LENH_GOC!Y161)),""))</x:f>
      </x:c>
      <x:c r="N160" s="249" t="str">
        <x:f>IFERROR(IF($K160="","",IF(LENH_GOC!G161="","",IF(ISNUMBER(LENH_GOC!G161),LENH_GOC!G161,DATE(VALUE(MID(LENH_GOC!G161,7,4)),VALUE(MID(LENH_GOC!G161,4,2)),VALUE(LEFT(LENH_GOC!G161,2)))+TIME(VALUE(MID(LENH_GOC!G161,12,2)),VALUE(MID(LENH_GOC!G161,15,2)),VALUE(MID(LENH_GOC!G161,18,2)))))), "")</x:f>
      </x:c>
      <x:c r="O160" t="str">
        <x:f>IF($K160="","",IF(LENH_GOC!E161="","",LENH_GOC!E161))</x:f>
      </x:c>
      <x:c r="P160" t="str">
        <x:f>IF($K160="","",IF(LENH_GOC!F161="","",LENH_GOC!F161))</x:f>
      </x:c>
      <x:c r="Q160" t="str">
        <x:f>IFERROR(IF($K160="","",IF(LENH_GOC!P161="","",IFERROR(VALUE(LENH_GOC!P161),IF(OR(LENH_GOC!P161=TRUE,UPPER(TRIM(LENH_GOC!P161))="TRUE"),1,0)))),"")</x:f>
      </x:c>
      <x:c r="R160" t="str">
        <x:f>IF($K160="","",IF(LENH_GOC!Q161="","",LENH_GOC!Q161))</x:f>
      </x:c>
      <x:c r="S160" s="249" t="str">
        <x:f>IF($K160="","",IF(LENH_GOC!R161="","",LENH_GOC!R161))</x:f>
      </x:c>
      <x:c r="T160" t="n">
        <x:f>IFERROR(IF($K160="",0,IF(AND(ISNUMBER($N160),INT($N160)=CAI_DAT!$B$4,LEFT(UPPER(TRIM($L160)),2)=LEFT(UPPER(TRIM(CAI_DAT!$B$5)),2),$Q160=1,OR(AND($M160="SO",ISNUMBER($P160),$P160&gt;0),AND($M160="MO",ISNUMBER($O160),$O160&gt;0))),1,0)),0)</x:f>
        <x:v>0</x:v>
      </x:c>
      <x:c r="U160" t="str">
        <x:f>IFERROR(IF($T160=0,"",IF($M160="SO",$P160,IF(AND($M160="MO",OR($R160=TRUE,$R160="TRUE"),ISNUMBER($P160),$P160&gt;0),$P160,$O160))),"")</x:f>
      </x:c>
      <x:c r="V160" t="str">
        <x:f>IFERROR(IF($T160=0,"",MOD($N160,1)*86400),"")</x:f>
      </x:c>
      <x:c r="W160" t="str">
        <x:f>IFERROR(IF($T160=0,"",COUNTIFS($T$3:$T$202,1,$V$3:$V$202,"&lt;"&amp;$V160)+COUNTIFS($T$3:$T160,1,$V$3:$V160,$V160)),"")</x:f>
      </x:c>
      <x:c r="X160" t="str">
        <x:f>IFERROR(IF($T160=0,"",IF($M160="SO","SO: dùng CS hoàn thành",IF(AND($M160="MO",OR($R160=TRUE,$R160="TRUE"),ISNUMBER($P160),$P160&gt;0),"MO dừng sớm: dùng CS hoàn thành","MO: dùng CS ra lệnh"))),"")</x:f>
      </x:c>
    </x:row>
    <x:row r="161">
      <x:c r="J161" t="str">
        <x:f>IF(LENH_GOC!A162="","",162)</x:f>
      </x:c>
      <x:c r="K161" t="str">
        <x:f>IF(LENH_GOC!A162="","",LENH_GOC!A162)</x:f>
      </x:c>
      <x:c r="L161" t="str">
        <x:f>IF($K161="","",IFERROR(TRIM(LENH_GOC!C162),""))</x:f>
      </x:c>
      <x:c r="M161" t="str">
        <x:f>IF($K161="","",IFERROR(UPPER(TRIM(LENH_GOC!Y162)),""))</x:f>
      </x:c>
      <x:c r="N161" s="249" t="str">
        <x:f>IFERROR(IF($K161="","",IF(LENH_GOC!G162="","",IF(ISNUMBER(LENH_GOC!G162),LENH_GOC!G162,DATE(VALUE(MID(LENH_GOC!G162,7,4)),VALUE(MID(LENH_GOC!G162,4,2)),VALUE(LEFT(LENH_GOC!G162,2)))+TIME(VALUE(MID(LENH_GOC!G162,12,2)),VALUE(MID(LENH_GOC!G162,15,2)),VALUE(MID(LENH_GOC!G162,18,2)))))), "")</x:f>
      </x:c>
      <x:c r="O161" t="str">
        <x:f>IF($K161="","",IF(LENH_GOC!E162="","",LENH_GOC!E162))</x:f>
      </x:c>
      <x:c r="P161" t="str">
        <x:f>IF($K161="","",IF(LENH_GOC!F162="","",LENH_GOC!F162))</x:f>
      </x:c>
      <x:c r="Q161" t="str">
        <x:f>IFERROR(IF($K161="","",IF(LENH_GOC!P162="","",IFERROR(VALUE(LENH_GOC!P162),IF(OR(LENH_GOC!P162=TRUE,UPPER(TRIM(LENH_GOC!P162))="TRUE"),1,0)))),"")</x:f>
      </x:c>
      <x:c r="R161" t="str">
        <x:f>IF($K161="","",IF(LENH_GOC!Q162="","",LENH_GOC!Q162))</x:f>
      </x:c>
      <x:c r="S161" s="249" t="str">
        <x:f>IF($K161="","",IF(LENH_GOC!R162="","",LENH_GOC!R162))</x:f>
      </x:c>
      <x:c r="T161" t="n">
        <x:f>IFERROR(IF($K161="",0,IF(AND(ISNUMBER($N161),INT($N161)=CAI_DAT!$B$4,LEFT(UPPER(TRIM($L161)),2)=LEFT(UPPER(TRIM(CAI_DAT!$B$5)),2),$Q161=1,OR(AND($M161="SO",ISNUMBER($P161),$P161&gt;0),AND($M161="MO",ISNUMBER($O161),$O161&gt;0))),1,0)),0)</x:f>
        <x:v>0</x:v>
      </x:c>
      <x:c r="U161" t="str">
        <x:f>IFERROR(IF($T161=0,"",IF($M161="SO",$P161,IF(AND($M161="MO",OR($R161=TRUE,$R161="TRUE"),ISNUMBER($P161),$P161&gt;0),$P161,$O161))),"")</x:f>
      </x:c>
      <x:c r="V161" t="str">
        <x:f>IFERROR(IF($T161=0,"",MOD($N161,1)*86400),"")</x:f>
      </x:c>
      <x:c r="W161" t="str">
        <x:f>IFERROR(IF($T161=0,"",COUNTIFS($T$3:$T$202,1,$V$3:$V$202,"&lt;"&amp;$V161)+COUNTIFS($T$3:$T161,1,$V$3:$V161,$V161)),"")</x:f>
      </x:c>
      <x:c r="X161" t="str">
        <x:f>IFERROR(IF($T161=0,"",IF($M161="SO","SO: dùng CS hoàn thành",IF(AND($M161="MO",OR($R161=TRUE,$R161="TRUE"),ISNUMBER($P161),$P161&gt;0),"MO dừng sớm: dùng CS hoàn thành","MO: dùng CS ra lệnh"))),"")</x:f>
      </x:c>
    </x:row>
    <x:row r="162">
      <x:c r="J162" t="str">
        <x:f>IF(LENH_GOC!A163="","",163)</x:f>
      </x:c>
      <x:c r="K162" t="str">
        <x:f>IF(LENH_GOC!A163="","",LENH_GOC!A163)</x:f>
      </x:c>
      <x:c r="L162" t="str">
        <x:f>IF($K162="","",IFERROR(TRIM(LENH_GOC!C163),""))</x:f>
      </x:c>
      <x:c r="M162" t="str">
        <x:f>IF($K162="","",IFERROR(UPPER(TRIM(LENH_GOC!Y163)),""))</x:f>
      </x:c>
      <x:c r="N162" s="249" t="str">
        <x:f>IFERROR(IF($K162="","",IF(LENH_GOC!G163="","",IF(ISNUMBER(LENH_GOC!G163),LENH_GOC!G163,DATE(VALUE(MID(LENH_GOC!G163,7,4)),VALUE(MID(LENH_GOC!G163,4,2)),VALUE(LEFT(LENH_GOC!G163,2)))+TIME(VALUE(MID(LENH_GOC!G163,12,2)),VALUE(MID(LENH_GOC!G163,15,2)),VALUE(MID(LENH_GOC!G163,18,2)))))), "")</x:f>
      </x:c>
      <x:c r="O162" t="str">
        <x:f>IF($K162="","",IF(LENH_GOC!E163="","",LENH_GOC!E163))</x:f>
      </x:c>
      <x:c r="P162" t="str">
        <x:f>IF($K162="","",IF(LENH_GOC!F163="","",LENH_GOC!F163))</x:f>
      </x:c>
      <x:c r="Q162" t="str">
        <x:f>IFERROR(IF($K162="","",IF(LENH_GOC!P163="","",IFERROR(VALUE(LENH_GOC!P163),IF(OR(LENH_GOC!P163=TRUE,UPPER(TRIM(LENH_GOC!P163))="TRUE"),1,0)))),"")</x:f>
      </x:c>
      <x:c r="R162" t="str">
        <x:f>IF($K162="","",IF(LENH_GOC!Q163="","",LENH_GOC!Q163))</x:f>
      </x:c>
      <x:c r="S162" s="249" t="str">
        <x:f>IF($K162="","",IF(LENH_GOC!R163="","",LENH_GOC!R163))</x:f>
      </x:c>
      <x:c r="T162" t="n">
        <x:f>IFERROR(IF($K162="",0,IF(AND(ISNUMBER($N162),INT($N162)=CAI_DAT!$B$4,LEFT(UPPER(TRIM($L162)),2)=LEFT(UPPER(TRIM(CAI_DAT!$B$5)),2),$Q162=1,OR(AND($M162="SO",ISNUMBER($P162),$P162&gt;0),AND($M162="MO",ISNUMBER($O162),$O162&gt;0))),1,0)),0)</x:f>
        <x:v>0</x:v>
      </x:c>
      <x:c r="U162" t="str">
        <x:f>IFERROR(IF($T162=0,"",IF($M162="SO",$P162,IF(AND($M162="MO",OR($R162=TRUE,$R162="TRUE"),ISNUMBER($P162),$P162&gt;0),$P162,$O162))),"")</x:f>
      </x:c>
      <x:c r="V162" t="str">
        <x:f>IFERROR(IF($T162=0,"",MOD($N162,1)*86400),"")</x:f>
      </x:c>
      <x:c r="W162" t="str">
        <x:f>IFERROR(IF($T162=0,"",COUNTIFS($T$3:$T$202,1,$V$3:$V$202,"&lt;"&amp;$V162)+COUNTIFS($T$3:$T162,1,$V$3:$V162,$V162)),"")</x:f>
      </x:c>
      <x:c r="X162" t="str">
        <x:f>IFERROR(IF($T162=0,"",IF($M162="SO","SO: dùng CS hoàn thành",IF(AND($M162="MO",OR($R162=TRUE,$R162="TRUE"),ISNUMBER($P162),$P162&gt;0),"MO dừng sớm: dùng CS hoàn thành","MO: dùng CS ra lệnh"))),"")</x:f>
      </x:c>
    </x:row>
    <x:row r="163">
      <x:c r="J163" t="str">
        <x:f>IF(LENH_GOC!A164="","",164)</x:f>
      </x:c>
      <x:c r="K163" t="str">
        <x:f>IF(LENH_GOC!A164="","",LENH_GOC!A164)</x:f>
      </x:c>
      <x:c r="L163" t="str">
        <x:f>IF($K163="","",IFERROR(TRIM(LENH_GOC!C164),""))</x:f>
      </x:c>
      <x:c r="M163" t="str">
        <x:f>IF($K163="","",IFERROR(UPPER(TRIM(LENH_GOC!Y164)),""))</x:f>
      </x:c>
      <x:c r="N163" s="249" t="str">
        <x:f>IFERROR(IF($K163="","",IF(LENH_GOC!G164="","",IF(ISNUMBER(LENH_GOC!G164),LENH_GOC!G164,DATE(VALUE(MID(LENH_GOC!G164,7,4)),VALUE(MID(LENH_GOC!G164,4,2)),VALUE(LEFT(LENH_GOC!G164,2)))+TIME(VALUE(MID(LENH_GOC!G164,12,2)),VALUE(MID(LENH_GOC!G164,15,2)),VALUE(MID(LENH_GOC!G164,18,2)))))), "")</x:f>
      </x:c>
      <x:c r="O163" t="str">
        <x:f>IF($K163="","",IF(LENH_GOC!E164="","",LENH_GOC!E164))</x:f>
      </x:c>
      <x:c r="P163" t="str">
        <x:f>IF($K163="","",IF(LENH_GOC!F164="","",LENH_GOC!F164))</x:f>
      </x:c>
      <x:c r="Q163" t="str">
        <x:f>IFERROR(IF($K163="","",IF(LENH_GOC!P164="","",IFERROR(VALUE(LENH_GOC!P164),IF(OR(LENH_GOC!P164=TRUE,UPPER(TRIM(LENH_GOC!P164))="TRUE"),1,0)))),"")</x:f>
      </x:c>
      <x:c r="R163" t="str">
        <x:f>IF($K163="","",IF(LENH_GOC!Q164="","",LENH_GOC!Q164))</x:f>
      </x:c>
      <x:c r="S163" s="249" t="str">
        <x:f>IF($K163="","",IF(LENH_GOC!R164="","",LENH_GOC!R164))</x:f>
      </x:c>
      <x:c r="T163" t="n">
        <x:f>IFERROR(IF($K163="",0,IF(AND(ISNUMBER($N163),INT($N163)=CAI_DAT!$B$4,LEFT(UPPER(TRIM($L163)),2)=LEFT(UPPER(TRIM(CAI_DAT!$B$5)),2),$Q163=1,OR(AND($M163="SO",ISNUMBER($P163),$P163&gt;0),AND($M163="MO",ISNUMBER($O163),$O163&gt;0))),1,0)),0)</x:f>
        <x:v>0</x:v>
      </x:c>
      <x:c r="U163" t="str">
        <x:f>IFERROR(IF($T163=0,"",IF($M163="SO",$P163,IF(AND($M163="MO",OR($R163=TRUE,$R163="TRUE"),ISNUMBER($P163),$P163&gt;0),$P163,$O163))),"")</x:f>
      </x:c>
      <x:c r="V163" t="str">
        <x:f>IFERROR(IF($T163=0,"",MOD($N163,1)*86400),"")</x:f>
      </x:c>
      <x:c r="W163" t="str">
        <x:f>IFERROR(IF($T163=0,"",COUNTIFS($T$3:$T$202,1,$V$3:$V$202,"&lt;"&amp;$V163)+COUNTIFS($T$3:$T163,1,$V$3:$V163,$V163)),"")</x:f>
      </x:c>
      <x:c r="X163" t="str">
        <x:f>IFERROR(IF($T163=0,"",IF($M163="SO","SO: dùng CS hoàn thành",IF(AND($M163="MO",OR($R163=TRUE,$R163="TRUE"),ISNUMBER($P163),$P163&gt;0),"MO dừng sớm: dùng CS hoàn thành","MO: dùng CS ra lệnh"))),"")</x:f>
      </x:c>
    </x:row>
    <x:row r="164">
      <x:c r="J164" t="str">
        <x:f>IF(LENH_GOC!A165="","",165)</x:f>
      </x:c>
      <x:c r="K164" t="str">
        <x:f>IF(LENH_GOC!A165="","",LENH_GOC!A165)</x:f>
      </x:c>
      <x:c r="L164" t="str">
        <x:f>IF($K164="","",IFERROR(TRIM(LENH_GOC!C165),""))</x:f>
      </x:c>
      <x:c r="M164" t="str">
        <x:f>IF($K164="","",IFERROR(UPPER(TRIM(LENH_GOC!Y165)),""))</x:f>
      </x:c>
      <x:c r="N164" s="249" t="str">
        <x:f>IFERROR(IF($K164="","",IF(LENH_GOC!G165="","",IF(ISNUMBER(LENH_GOC!G165),LENH_GOC!G165,DATE(VALUE(MID(LENH_GOC!G165,7,4)),VALUE(MID(LENH_GOC!G165,4,2)),VALUE(LEFT(LENH_GOC!G165,2)))+TIME(VALUE(MID(LENH_GOC!G165,12,2)),VALUE(MID(LENH_GOC!G165,15,2)),VALUE(MID(LENH_GOC!G165,18,2)))))), "")</x:f>
      </x:c>
      <x:c r="O164" t="str">
        <x:f>IF($K164="","",IF(LENH_GOC!E165="","",LENH_GOC!E165))</x:f>
      </x:c>
      <x:c r="P164" t="str">
        <x:f>IF($K164="","",IF(LENH_GOC!F165="","",LENH_GOC!F165))</x:f>
      </x:c>
      <x:c r="Q164" t="str">
        <x:f>IFERROR(IF($K164="","",IF(LENH_GOC!P165="","",IFERROR(VALUE(LENH_GOC!P165),IF(OR(LENH_GOC!P165=TRUE,UPPER(TRIM(LENH_GOC!P165))="TRUE"),1,0)))),"")</x:f>
      </x:c>
      <x:c r="R164" t="str">
        <x:f>IF($K164="","",IF(LENH_GOC!Q165="","",LENH_GOC!Q165))</x:f>
      </x:c>
      <x:c r="S164" s="249" t="str">
        <x:f>IF($K164="","",IF(LENH_GOC!R165="","",LENH_GOC!R165))</x:f>
      </x:c>
      <x:c r="T164" t="n">
        <x:f>IFERROR(IF($K164="",0,IF(AND(ISNUMBER($N164),INT($N164)=CAI_DAT!$B$4,LEFT(UPPER(TRIM($L164)),2)=LEFT(UPPER(TRIM(CAI_DAT!$B$5)),2),$Q164=1,OR(AND($M164="SO",ISNUMBER($P164),$P164&gt;0),AND($M164="MO",ISNUMBER($O164),$O164&gt;0))),1,0)),0)</x:f>
        <x:v>0</x:v>
      </x:c>
      <x:c r="U164" t="str">
        <x:f>IFERROR(IF($T164=0,"",IF($M164="SO",$P164,IF(AND($M164="MO",OR($R164=TRUE,$R164="TRUE"),ISNUMBER($P164),$P164&gt;0),$P164,$O164))),"")</x:f>
      </x:c>
      <x:c r="V164" t="str">
        <x:f>IFERROR(IF($T164=0,"",MOD($N164,1)*86400),"")</x:f>
      </x:c>
      <x:c r="W164" t="str">
        <x:f>IFERROR(IF($T164=0,"",COUNTIFS($T$3:$T$202,1,$V$3:$V$202,"&lt;"&amp;$V164)+COUNTIFS($T$3:$T164,1,$V$3:$V164,$V164)),"")</x:f>
      </x:c>
      <x:c r="X164" t="str">
        <x:f>IFERROR(IF($T164=0,"",IF($M164="SO","SO: dùng CS hoàn thành",IF(AND($M164="MO",OR($R164=TRUE,$R164="TRUE"),ISNUMBER($P164),$P164&gt;0),"MO dừng sớm: dùng CS hoàn thành","MO: dùng CS ra lệnh"))),"")</x:f>
      </x:c>
    </x:row>
    <x:row r="165">
      <x:c r="J165" t="str">
        <x:f>IF(LENH_GOC!A166="","",166)</x:f>
      </x:c>
      <x:c r="K165" t="str">
        <x:f>IF(LENH_GOC!A166="","",LENH_GOC!A166)</x:f>
      </x:c>
      <x:c r="L165" t="str">
        <x:f>IF($K165="","",IFERROR(TRIM(LENH_GOC!C166),""))</x:f>
      </x:c>
      <x:c r="M165" t="str">
        <x:f>IF($K165="","",IFERROR(UPPER(TRIM(LENH_GOC!Y166)),""))</x:f>
      </x:c>
      <x:c r="N165" s="249" t="str">
        <x:f>IFERROR(IF($K165="","",IF(LENH_GOC!G166="","",IF(ISNUMBER(LENH_GOC!G166),LENH_GOC!G166,DATE(VALUE(MID(LENH_GOC!G166,7,4)),VALUE(MID(LENH_GOC!G166,4,2)),VALUE(LEFT(LENH_GOC!G166,2)))+TIME(VALUE(MID(LENH_GOC!G166,12,2)),VALUE(MID(LENH_GOC!G166,15,2)),VALUE(MID(LENH_GOC!G166,18,2)))))), "")</x:f>
      </x:c>
      <x:c r="O165" t="str">
        <x:f>IF($K165="","",IF(LENH_GOC!E166="","",LENH_GOC!E166))</x:f>
      </x:c>
      <x:c r="P165" t="str">
        <x:f>IF($K165="","",IF(LENH_GOC!F166="","",LENH_GOC!F166))</x:f>
      </x:c>
      <x:c r="Q165" t="str">
        <x:f>IFERROR(IF($K165="","",IF(LENH_GOC!P166="","",IFERROR(VALUE(LENH_GOC!P166),IF(OR(LENH_GOC!P166=TRUE,UPPER(TRIM(LENH_GOC!P166))="TRUE"),1,0)))),"")</x:f>
      </x:c>
      <x:c r="R165" t="str">
        <x:f>IF($K165="","",IF(LENH_GOC!Q166="","",LENH_GOC!Q166))</x:f>
      </x:c>
      <x:c r="S165" s="249" t="str">
        <x:f>IF($K165="","",IF(LENH_GOC!R166="","",LENH_GOC!R166))</x:f>
      </x:c>
      <x:c r="T165" t="n">
        <x:f>IFERROR(IF($K165="",0,IF(AND(ISNUMBER($N165),INT($N165)=CAI_DAT!$B$4,LEFT(UPPER(TRIM($L165)),2)=LEFT(UPPER(TRIM(CAI_DAT!$B$5)),2),$Q165=1,OR(AND($M165="SO",ISNUMBER($P165),$P165&gt;0),AND($M165="MO",ISNUMBER($O165),$O165&gt;0))),1,0)),0)</x:f>
        <x:v>0</x:v>
      </x:c>
      <x:c r="U165" t="str">
        <x:f>IFERROR(IF($T165=0,"",IF($M165="SO",$P165,IF(AND($M165="MO",OR($R165=TRUE,$R165="TRUE"),ISNUMBER($P165),$P165&gt;0),$P165,$O165))),"")</x:f>
      </x:c>
      <x:c r="V165" t="str">
        <x:f>IFERROR(IF($T165=0,"",MOD($N165,1)*86400),"")</x:f>
      </x:c>
      <x:c r="W165" t="str">
        <x:f>IFERROR(IF($T165=0,"",COUNTIFS($T$3:$T$202,1,$V$3:$V$202,"&lt;"&amp;$V165)+COUNTIFS($T$3:$T165,1,$V$3:$V165,$V165)),"")</x:f>
      </x:c>
      <x:c r="X165" t="str">
        <x:f>IFERROR(IF($T165=0,"",IF($M165="SO","SO: dùng CS hoàn thành",IF(AND($M165="MO",OR($R165=TRUE,$R165="TRUE"),ISNUMBER($P165),$P165&gt;0),"MO dừng sớm: dùng CS hoàn thành","MO: dùng CS ra lệnh"))),"")</x:f>
      </x:c>
    </x:row>
    <x:row r="166">
      <x:c r="J166" t="str">
        <x:f>IF(LENH_GOC!A167="","",167)</x:f>
      </x:c>
      <x:c r="K166" t="str">
        <x:f>IF(LENH_GOC!A167="","",LENH_GOC!A167)</x:f>
      </x:c>
      <x:c r="L166" t="str">
        <x:f>IF($K166="","",IFERROR(TRIM(LENH_GOC!C167),""))</x:f>
      </x:c>
      <x:c r="M166" t="str">
        <x:f>IF($K166="","",IFERROR(UPPER(TRIM(LENH_GOC!Y167)),""))</x:f>
      </x:c>
      <x:c r="N166" s="249" t="str">
        <x:f>IFERROR(IF($K166="","",IF(LENH_GOC!G167="","",IF(ISNUMBER(LENH_GOC!G167),LENH_GOC!G167,DATE(VALUE(MID(LENH_GOC!G167,7,4)),VALUE(MID(LENH_GOC!G167,4,2)),VALUE(LEFT(LENH_GOC!G167,2)))+TIME(VALUE(MID(LENH_GOC!G167,12,2)),VALUE(MID(LENH_GOC!G167,15,2)),VALUE(MID(LENH_GOC!G167,18,2)))))), "")</x:f>
      </x:c>
      <x:c r="O166" t="str">
        <x:f>IF($K166="","",IF(LENH_GOC!E167="","",LENH_GOC!E167))</x:f>
      </x:c>
      <x:c r="P166" t="str">
        <x:f>IF($K166="","",IF(LENH_GOC!F167="","",LENH_GOC!F167))</x:f>
      </x:c>
      <x:c r="Q166" t="str">
        <x:f>IFERROR(IF($K166="","",IF(LENH_GOC!P167="","",IFERROR(VALUE(LENH_GOC!P167),IF(OR(LENH_GOC!P167=TRUE,UPPER(TRIM(LENH_GOC!P167))="TRUE"),1,0)))),"")</x:f>
      </x:c>
      <x:c r="R166" t="str">
        <x:f>IF($K166="","",IF(LENH_GOC!Q167="","",LENH_GOC!Q167))</x:f>
      </x:c>
      <x:c r="S166" s="249" t="str">
        <x:f>IF($K166="","",IF(LENH_GOC!R167="","",LENH_GOC!R167))</x:f>
      </x:c>
      <x:c r="T166" t="n">
        <x:f>IFERROR(IF($K166="",0,IF(AND(ISNUMBER($N166),INT($N166)=CAI_DAT!$B$4,LEFT(UPPER(TRIM($L166)),2)=LEFT(UPPER(TRIM(CAI_DAT!$B$5)),2),$Q166=1,OR(AND($M166="SO",ISNUMBER($P166),$P166&gt;0),AND($M166="MO",ISNUMBER($O166),$O166&gt;0))),1,0)),0)</x:f>
        <x:v>0</x:v>
      </x:c>
      <x:c r="U166" t="str">
        <x:f>IFERROR(IF($T166=0,"",IF($M166="SO",$P166,IF(AND($M166="MO",OR($R166=TRUE,$R166="TRUE"),ISNUMBER($P166),$P166&gt;0),$P166,$O166))),"")</x:f>
      </x:c>
      <x:c r="V166" t="str">
        <x:f>IFERROR(IF($T166=0,"",MOD($N166,1)*86400),"")</x:f>
      </x:c>
      <x:c r="W166" t="str">
        <x:f>IFERROR(IF($T166=0,"",COUNTIFS($T$3:$T$202,1,$V$3:$V$202,"&lt;"&amp;$V166)+COUNTIFS($T$3:$T166,1,$V$3:$V166,$V166)),"")</x:f>
      </x:c>
      <x:c r="X166" t="str">
        <x:f>IFERROR(IF($T166=0,"",IF($M166="SO","SO: dùng CS hoàn thành",IF(AND($M166="MO",OR($R166=TRUE,$R166="TRUE"),ISNUMBER($P166),$P166&gt;0),"MO dừng sớm: dùng CS hoàn thành","MO: dùng CS ra lệnh"))),"")</x:f>
      </x:c>
    </x:row>
    <x:row r="167">
      <x:c r="J167" t="str">
        <x:f>IF(LENH_GOC!A168="","",168)</x:f>
      </x:c>
      <x:c r="K167" t="str">
        <x:f>IF(LENH_GOC!A168="","",LENH_GOC!A168)</x:f>
      </x:c>
      <x:c r="L167" t="str">
        <x:f>IF($K167="","",IFERROR(TRIM(LENH_GOC!C168),""))</x:f>
      </x:c>
      <x:c r="M167" t="str">
        <x:f>IF($K167="","",IFERROR(UPPER(TRIM(LENH_GOC!Y168)),""))</x:f>
      </x:c>
      <x:c r="N167" s="249" t="str">
        <x:f>IFERROR(IF($K167="","",IF(LENH_GOC!G168="","",IF(ISNUMBER(LENH_GOC!G168),LENH_GOC!G168,DATE(VALUE(MID(LENH_GOC!G168,7,4)),VALUE(MID(LENH_GOC!G168,4,2)),VALUE(LEFT(LENH_GOC!G168,2)))+TIME(VALUE(MID(LENH_GOC!G168,12,2)),VALUE(MID(LENH_GOC!G168,15,2)),VALUE(MID(LENH_GOC!G168,18,2)))))), "")</x:f>
      </x:c>
      <x:c r="O167" t="str">
        <x:f>IF($K167="","",IF(LENH_GOC!E168="","",LENH_GOC!E168))</x:f>
      </x:c>
      <x:c r="P167" t="str">
        <x:f>IF($K167="","",IF(LENH_GOC!F168="","",LENH_GOC!F168))</x:f>
      </x:c>
      <x:c r="Q167" t="str">
        <x:f>IFERROR(IF($K167="","",IF(LENH_GOC!P168="","",IFERROR(VALUE(LENH_GOC!P168),IF(OR(LENH_GOC!P168=TRUE,UPPER(TRIM(LENH_GOC!P168))="TRUE"),1,0)))),"")</x:f>
      </x:c>
      <x:c r="R167" t="str">
        <x:f>IF($K167="","",IF(LENH_GOC!Q168="","",LENH_GOC!Q168))</x:f>
      </x:c>
      <x:c r="S167" s="249" t="str">
        <x:f>IF($K167="","",IF(LENH_GOC!R168="","",LENH_GOC!R168))</x:f>
      </x:c>
      <x:c r="T167" t="n">
        <x:f>IFERROR(IF($K167="",0,IF(AND(ISNUMBER($N167),INT($N167)=CAI_DAT!$B$4,LEFT(UPPER(TRIM($L167)),2)=LEFT(UPPER(TRIM(CAI_DAT!$B$5)),2),$Q167=1,OR(AND($M167="SO",ISNUMBER($P167),$P167&gt;0),AND($M167="MO",ISNUMBER($O167),$O167&gt;0))),1,0)),0)</x:f>
        <x:v>0</x:v>
      </x:c>
      <x:c r="U167" t="str">
        <x:f>IFERROR(IF($T167=0,"",IF($M167="SO",$P167,IF(AND($M167="MO",OR($R167=TRUE,$R167="TRUE"),ISNUMBER($P167),$P167&gt;0),$P167,$O167))),"")</x:f>
      </x:c>
      <x:c r="V167" t="str">
        <x:f>IFERROR(IF($T167=0,"",MOD($N167,1)*86400),"")</x:f>
      </x:c>
      <x:c r="W167" t="str">
        <x:f>IFERROR(IF($T167=0,"",COUNTIFS($T$3:$T$202,1,$V$3:$V$202,"&lt;"&amp;$V167)+COUNTIFS($T$3:$T167,1,$V$3:$V167,$V167)),"")</x:f>
      </x:c>
      <x:c r="X167" t="str">
        <x:f>IFERROR(IF($T167=0,"",IF($M167="SO","SO: dùng CS hoàn thành",IF(AND($M167="MO",OR($R167=TRUE,$R167="TRUE"),ISNUMBER($P167),$P167&gt;0),"MO dừng sớm: dùng CS hoàn thành","MO: dùng CS ra lệnh"))),"")</x:f>
      </x:c>
    </x:row>
    <x:row r="168">
      <x:c r="J168" t="str">
        <x:f>IF(LENH_GOC!A169="","",169)</x:f>
      </x:c>
      <x:c r="K168" t="str">
        <x:f>IF(LENH_GOC!A169="","",LENH_GOC!A169)</x:f>
      </x:c>
      <x:c r="L168" t="str">
        <x:f>IF($K168="","",IFERROR(TRIM(LENH_GOC!C169),""))</x:f>
      </x:c>
      <x:c r="M168" t="str">
        <x:f>IF($K168="","",IFERROR(UPPER(TRIM(LENH_GOC!Y169)),""))</x:f>
      </x:c>
      <x:c r="N168" s="249" t="str">
        <x:f>IFERROR(IF($K168="","",IF(LENH_GOC!G169="","",IF(ISNUMBER(LENH_GOC!G169),LENH_GOC!G169,DATE(VALUE(MID(LENH_GOC!G169,7,4)),VALUE(MID(LENH_GOC!G169,4,2)),VALUE(LEFT(LENH_GOC!G169,2)))+TIME(VALUE(MID(LENH_GOC!G169,12,2)),VALUE(MID(LENH_GOC!G169,15,2)),VALUE(MID(LENH_GOC!G169,18,2)))))), "")</x:f>
      </x:c>
      <x:c r="O168" t="str">
        <x:f>IF($K168="","",IF(LENH_GOC!E169="","",LENH_GOC!E169))</x:f>
      </x:c>
      <x:c r="P168" t="str">
        <x:f>IF($K168="","",IF(LENH_GOC!F169="","",LENH_GOC!F169))</x:f>
      </x:c>
      <x:c r="Q168" t="str">
        <x:f>IFERROR(IF($K168="","",IF(LENH_GOC!P169="","",IFERROR(VALUE(LENH_GOC!P169),IF(OR(LENH_GOC!P169=TRUE,UPPER(TRIM(LENH_GOC!P169))="TRUE"),1,0)))),"")</x:f>
      </x:c>
      <x:c r="R168" t="str">
        <x:f>IF($K168="","",IF(LENH_GOC!Q169="","",LENH_GOC!Q169))</x:f>
      </x:c>
      <x:c r="S168" s="249" t="str">
        <x:f>IF($K168="","",IF(LENH_GOC!R169="","",LENH_GOC!R169))</x:f>
      </x:c>
      <x:c r="T168" t="n">
        <x:f>IFERROR(IF($K168="",0,IF(AND(ISNUMBER($N168),INT($N168)=CAI_DAT!$B$4,LEFT(UPPER(TRIM($L168)),2)=LEFT(UPPER(TRIM(CAI_DAT!$B$5)),2),$Q168=1,OR(AND($M168="SO",ISNUMBER($P168),$P168&gt;0),AND($M168="MO",ISNUMBER($O168),$O168&gt;0))),1,0)),0)</x:f>
        <x:v>0</x:v>
      </x:c>
      <x:c r="U168" t="str">
        <x:f>IFERROR(IF($T168=0,"",IF($M168="SO",$P168,IF(AND($M168="MO",OR($R168=TRUE,$R168="TRUE"),ISNUMBER($P168),$P168&gt;0),$P168,$O168))),"")</x:f>
      </x:c>
      <x:c r="V168" t="str">
        <x:f>IFERROR(IF($T168=0,"",MOD($N168,1)*86400),"")</x:f>
      </x:c>
      <x:c r="W168" t="str">
        <x:f>IFERROR(IF($T168=0,"",COUNTIFS($T$3:$T$202,1,$V$3:$V$202,"&lt;"&amp;$V168)+COUNTIFS($T$3:$T168,1,$V$3:$V168,$V168)),"")</x:f>
      </x:c>
      <x:c r="X168" t="str">
        <x:f>IFERROR(IF($T168=0,"",IF($M168="SO","SO: dùng CS hoàn thành",IF(AND($M168="MO",OR($R168=TRUE,$R168="TRUE"),ISNUMBER($P168),$P168&gt;0),"MO dừng sớm: dùng CS hoàn thành","MO: dùng CS ra lệnh"))),"")</x:f>
      </x:c>
    </x:row>
    <x:row r="169">
      <x:c r="J169" t="str">
        <x:f>IF(LENH_GOC!A170="","",170)</x:f>
      </x:c>
      <x:c r="K169" t="str">
        <x:f>IF(LENH_GOC!A170="","",LENH_GOC!A170)</x:f>
      </x:c>
      <x:c r="L169" t="str">
        <x:f>IF($K169="","",IFERROR(TRIM(LENH_GOC!C170),""))</x:f>
      </x:c>
      <x:c r="M169" t="str">
        <x:f>IF($K169="","",IFERROR(UPPER(TRIM(LENH_GOC!Y170)),""))</x:f>
      </x:c>
      <x:c r="N169" s="249" t="str">
        <x:f>IFERROR(IF($K169="","",IF(LENH_GOC!G170="","",IF(ISNUMBER(LENH_GOC!G170),LENH_GOC!G170,DATE(VALUE(MID(LENH_GOC!G170,7,4)),VALUE(MID(LENH_GOC!G170,4,2)),VALUE(LEFT(LENH_GOC!G170,2)))+TIME(VALUE(MID(LENH_GOC!G170,12,2)),VALUE(MID(LENH_GOC!G170,15,2)),VALUE(MID(LENH_GOC!G170,18,2)))))), "")</x:f>
      </x:c>
      <x:c r="O169" t="str">
        <x:f>IF($K169="","",IF(LENH_GOC!E170="","",LENH_GOC!E170))</x:f>
      </x:c>
      <x:c r="P169" t="str">
        <x:f>IF($K169="","",IF(LENH_GOC!F170="","",LENH_GOC!F170))</x:f>
      </x:c>
      <x:c r="Q169" t="str">
        <x:f>IFERROR(IF($K169="","",IF(LENH_GOC!P170="","",IFERROR(VALUE(LENH_GOC!P170),IF(OR(LENH_GOC!P170=TRUE,UPPER(TRIM(LENH_GOC!P170))="TRUE"),1,0)))),"")</x:f>
      </x:c>
      <x:c r="R169" t="str">
        <x:f>IF($K169="","",IF(LENH_GOC!Q170="","",LENH_GOC!Q170))</x:f>
      </x:c>
      <x:c r="S169" s="249" t="str">
        <x:f>IF($K169="","",IF(LENH_GOC!R170="","",LENH_GOC!R170))</x:f>
      </x:c>
      <x:c r="T169" t="n">
        <x:f>IFERROR(IF($K169="",0,IF(AND(ISNUMBER($N169),INT($N169)=CAI_DAT!$B$4,LEFT(UPPER(TRIM($L169)),2)=LEFT(UPPER(TRIM(CAI_DAT!$B$5)),2),$Q169=1,OR(AND($M169="SO",ISNUMBER($P169),$P169&gt;0),AND($M169="MO",ISNUMBER($O169),$O169&gt;0))),1,0)),0)</x:f>
        <x:v>0</x:v>
      </x:c>
      <x:c r="U169" t="str">
        <x:f>IFERROR(IF($T169=0,"",IF($M169="SO",$P169,IF(AND($M169="MO",OR($R169=TRUE,$R169="TRUE"),ISNUMBER($P169),$P169&gt;0),$P169,$O169))),"")</x:f>
      </x:c>
      <x:c r="V169" t="str">
        <x:f>IFERROR(IF($T169=0,"",MOD($N169,1)*86400),"")</x:f>
      </x:c>
      <x:c r="W169" t="str">
        <x:f>IFERROR(IF($T169=0,"",COUNTIFS($T$3:$T$202,1,$V$3:$V$202,"&lt;"&amp;$V169)+COUNTIFS($T$3:$T169,1,$V$3:$V169,$V169)),"")</x:f>
      </x:c>
      <x:c r="X169" t="str">
        <x:f>IFERROR(IF($T169=0,"",IF($M169="SO","SO: dùng CS hoàn thành",IF(AND($M169="MO",OR($R169=TRUE,$R169="TRUE"),ISNUMBER($P169),$P169&gt;0),"MO dừng sớm: dùng CS hoàn thành","MO: dùng CS ra lệnh"))),"")</x:f>
      </x:c>
    </x:row>
    <x:row r="170">
      <x:c r="J170" t="str">
        <x:f>IF(LENH_GOC!A171="","",171)</x:f>
      </x:c>
      <x:c r="K170" t="str">
        <x:f>IF(LENH_GOC!A171="","",LENH_GOC!A171)</x:f>
      </x:c>
      <x:c r="L170" t="str">
        <x:f>IF($K170="","",IFERROR(TRIM(LENH_GOC!C171),""))</x:f>
      </x:c>
      <x:c r="M170" t="str">
        <x:f>IF($K170="","",IFERROR(UPPER(TRIM(LENH_GOC!Y171)),""))</x:f>
      </x:c>
      <x:c r="N170" s="249" t="str">
        <x:f>IFERROR(IF($K170="","",IF(LENH_GOC!G171="","",IF(ISNUMBER(LENH_GOC!G171),LENH_GOC!G171,DATE(VALUE(MID(LENH_GOC!G171,7,4)),VALUE(MID(LENH_GOC!G171,4,2)),VALUE(LEFT(LENH_GOC!G171,2)))+TIME(VALUE(MID(LENH_GOC!G171,12,2)),VALUE(MID(LENH_GOC!G171,15,2)),VALUE(MID(LENH_GOC!G171,18,2)))))), "")</x:f>
      </x:c>
      <x:c r="O170" t="str">
        <x:f>IF($K170="","",IF(LENH_GOC!E171="","",LENH_GOC!E171))</x:f>
      </x:c>
      <x:c r="P170" t="str">
        <x:f>IF($K170="","",IF(LENH_GOC!F171="","",LENH_GOC!F171))</x:f>
      </x:c>
      <x:c r="Q170" t="str">
        <x:f>IFERROR(IF($K170="","",IF(LENH_GOC!P171="","",IFERROR(VALUE(LENH_GOC!P171),IF(OR(LENH_GOC!P171=TRUE,UPPER(TRIM(LENH_GOC!P171))="TRUE"),1,0)))),"")</x:f>
      </x:c>
      <x:c r="R170" t="str">
        <x:f>IF($K170="","",IF(LENH_GOC!Q171="","",LENH_GOC!Q171))</x:f>
      </x:c>
      <x:c r="S170" s="249" t="str">
        <x:f>IF($K170="","",IF(LENH_GOC!R171="","",LENH_GOC!R171))</x:f>
      </x:c>
      <x:c r="T170" t="n">
        <x:f>IFERROR(IF($K170="",0,IF(AND(ISNUMBER($N170),INT($N170)=CAI_DAT!$B$4,LEFT(UPPER(TRIM($L170)),2)=LEFT(UPPER(TRIM(CAI_DAT!$B$5)),2),$Q170=1,OR(AND($M170="SO",ISNUMBER($P170),$P170&gt;0),AND($M170="MO",ISNUMBER($O170),$O170&gt;0))),1,0)),0)</x:f>
        <x:v>0</x:v>
      </x:c>
      <x:c r="U170" t="str">
        <x:f>IFERROR(IF($T170=0,"",IF($M170="SO",$P170,IF(AND($M170="MO",OR($R170=TRUE,$R170="TRUE"),ISNUMBER($P170),$P170&gt;0),$P170,$O170))),"")</x:f>
      </x:c>
      <x:c r="V170" t="str">
        <x:f>IFERROR(IF($T170=0,"",MOD($N170,1)*86400),"")</x:f>
      </x:c>
      <x:c r="W170" t="str">
        <x:f>IFERROR(IF($T170=0,"",COUNTIFS($T$3:$T$202,1,$V$3:$V$202,"&lt;"&amp;$V170)+COUNTIFS($T$3:$T170,1,$V$3:$V170,$V170)),"")</x:f>
      </x:c>
      <x:c r="X170" t="str">
        <x:f>IFERROR(IF($T170=0,"",IF($M170="SO","SO: dùng CS hoàn thành",IF(AND($M170="MO",OR($R170=TRUE,$R170="TRUE"),ISNUMBER($P170),$P170&gt;0),"MO dừng sớm: dùng CS hoàn thành","MO: dùng CS ra lệnh"))),"")</x:f>
      </x:c>
    </x:row>
    <x:row r="171">
      <x:c r="J171" t="str">
        <x:f>IF(LENH_GOC!A172="","",172)</x:f>
      </x:c>
      <x:c r="K171" t="str">
        <x:f>IF(LENH_GOC!A172="","",LENH_GOC!A172)</x:f>
      </x:c>
      <x:c r="L171" t="str">
        <x:f>IF($K171="","",IFERROR(TRIM(LENH_GOC!C172),""))</x:f>
      </x:c>
      <x:c r="M171" t="str">
        <x:f>IF($K171="","",IFERROR(UPPER(TRIM(LENH_GOC!Y172)),""))</x:f>
      </x:c>
      <x:c r="N171" s="249" t="str">
        <x:f>IFERROR(IF($K171="","",IF(LENH_GOC!G172="","",IF(ISNUMBER(LENH_GOC!G172),LENH_GOC!G172,DATE(VALUE(MID(LENH_GOC!G172,7,4)),VALUE(MID(LENH_GOC!G172,4,2)),VALUE(LEFT(LENH_GOC!G172,2)))+TIME(VALUE(MID(LENH_GOC!G172,12,2)),VALUE(MID(LENH_GOC!G172,15,2)),VALUE(MID(LENH_GOC!G172,18,2)))))), "")</x:f>
      </x:c>
      <x:c r="O171" t="str">
        <x:f>IF($K171="","",IF(LENH_GOC!E172="","",LENH_GOC!E172))</x:f>
      </x:c>
      <x:c r="P171" t="str">
        <x:f>IF($K171="","",IF(LENH_GOC!F172="","",LENH_GOC!F172))</x:f>
      </x:c>
      <x:c r="Q171" t="str">
        <x:f>IFERROR(IF($K171="","",IF(LENH_GOC!P172="","",IFERROR(VALUE(LENH_GOC!P172),IF(OR(LENH_GOC!P172=TRUE,UPPER(TRIM(LENH_GOC!P172))="TRUE"),1,0)))),"")</x:f>
      </x:c>
      <x:c r="R171" t="str">
        <x:f>IF($K171="","",IF(LENH_GOC!Q172="","",LENH_GOC!Q172))</x:f>
      </x:c>
      <x:c r="S171" s="249" t="str">
        <x:f>IF($K171="","",IF(LENH_GOC!R172="","",LENH_GOC!R172))</x:f>
      </x:c>
      <x:c r="T171" t="n">
        <x:f>IFERROR(IF($K171="",0,IF(AND(ISNUMBER($N171),INT($N171)=CAI_DAT!$B$4,LEFT(UPPER(TRIM($L171)),2)=LEFT(UPPER(TRIM(CAI_DAT!$B$5)),2),$Q171=1,OR(AND($M171="SO",ISNUMBER($P171),$P171&gt;0),AND($M171="MO",ISNUMBER($O171),$O171&gt;0))),1,0)),0)</x:f>
        <x:v>0</x:v>
      </x:c>
      <x:c r="U171" t="str">
        <x:f>IFERROR(IF($T171=0,"",IF($M171="SO",$P171,IF(AND($M171="MO",OR($R171=TRUE,$R171="TRUE"),ISNUMBER($P171),$P171&gt;0),$P171,$O171))),"")</x:f>
      </x:c>
      <x:c r="V171" t="str">
        <x:f>IFERROR(IF($T171=0,"",MOD($N171,1)*86400),"")</x:f>
      </x:c>
      <x:c r="W171" t="str">
        <x:f>IFERROR(IF($T171=0,"",COUNTIFS($T$3:$T$202,1,$V$3:$V$202,"&lt;"&amp;$V171)+COUNTIFS($T$3:$T171,1,$V$3:$V171,$V171)),"")</x:f>
      </x:c>
      <x:c r="X171" t="str">
        <x:f>IFERROR(IF($T171=0,"",IF($M171="SO","SO: dùng CS hoàn thành",IF(AND($M171="MO",OR($R171=TRUE,$R171="TRUE"),ISNUMBER($P171),$P171&gt;0),"MO dừng sớm: dùng CS hoàn thành","MO: dùng CS ra lệnh"))),"")</x:f>
      </x:c>
    </x:row>
    <x:row r="172">
      <x:c r="J172" t="str">
        <x:f>IF(LENH_GOC!A173="","",173)</x:f>
      </x:c>
      <x:c r="K172" t="str">
        <x:f>IF(LENH_GOC!A173="","",LENH_GOC!A173)</x:f>
      </x:c>
      <x:c r="L172" t="str">
        <x:f>IF($K172="","",IFERROR(TRIM(LENH_GOC!C173),""))</x:f>
      </x:c>
      <x:c r="M172" t="str">
        <x:f>IF($K172="","",IFERROR(UPPER(TRIM(LENH_GOC!Y173)),""))</x:f>
      </x:c>
      <x:c r="N172" s="249" t="str">
        <x:f>IFERROR(IF($K172="","",IF(LENH_GOC!G173="","",IF(ISNUMBER(LENH_GOC!G173),LENH_GOC!G173,DATE(VALUE(MID(LENH_GOC!G173,7,4)),VALUE(MID(LENH_GOC!G173,4,2)),VALUE(LEFT(LENH_GOC!G173,2)))+TIME(VALUE(MID(LENH_GOC!G173,12,2)),VALUE(MID(LENH_GOC!G173,15,2)),VALUE(MID(LENH_GOC!G173,18,2)))))), "")</x:f>
      </x:c>
      <x:c r="O172" t="str">
        <x:f>IF($K172="","",IF(LENH_GOC!E173="","",LENH_GOC!E173))</x:f>
      </x:c>
      <x:c r="P172" t="str">
        <x:f>IF($K172="","",IF(LENH_GOC!F173="","",LENH_GOC!F173))</x:f>
      </x:c>
      <x:c r="Q172" t="str">
        <x:f>IFERROR(IF($K172="","",IF(LENH_GOC!P173="","",IFERROR(VALUE(LENH_GOC!P173),IF(OR(LENH_GOC!P173=TRUE,UPPER(TRIM(LENH_GOC!P173))="TRUE"),1,0)))),"")</x:f>
      </x:c>
      <x:c r="R172" t="str">
        <x:f>IF($K172="","",IF(LENH_GOC!Q173="","",LENH_GOC!Q173))</x:f>
      </x:c>
      <x:c r="S172" s="249" t="str">
        <x:f>IF($K172="","",IF(LENH_GOC!R173="","",LENH_GOC!R173))</x:f>
      </x:c>
      <x:c r="T172" t="n">
        <x:f>IFERROR(IF($K172="",0,IF(AND(ISNUMBER($N172),INT($N172)=CAI_DAT!$B$4,LEFT(UPPER(TRIM($L172)),2)=LEFT(UPPER(TRIM(CAI_DAT!$B$5)),2),$Q172=1,OR(AND($M172="SO",ISNUMBER($P172),$P172&gt;0),AND($M172="MO",ISNUMBER($O172),$O172&gt;0))),1,0)),0)</x:f>
        <x:v>0</x:v>
      </x:c>
      <x:c r="U172" t="str">
        <x:f>IFERROR(IF($T172=0,"",IF($M172="SO",$P172,IF(AND($M172="MO",OR($R172=TRUE,$R172="TRUE"),ISNUMBER($P172),$P172&gt;0),$P172,$O172))),"")</x:f>
      </x:c>
      <x:c r="V172" t="str">
        <x:f>IFERROR(IF($T172=0,"",MOD($N172,1)*86400),"")</x:f>
      </x:c>
      <x:c r="W172" t="str">
        <x:f>IFERROR(IF($T172=0,"",COUNTIFS($T$3:$T$202,1,$V$3:$V$202,"&lt;"&amp;$V172)+COUNTIFS($T$3:$T172,1,$V$3:$V172,$V172)),"")</x:f>
      </x:c>
      <x:c r="X172" t="str">
        <x:f>IFERROR(IF($T172=0,"",IF($M172="SO","SO: dùng CS hoàn thành",IF(AND($M172="MO",OR($R172=TRUE,$R172="TRUE"),ISNUMBER($P172),$P172&gt;0),"MO dừng sớm: dùng CS hoàn thành","MO: dùng CS ra lệnh"))),"")</x:f>
      </x:c>
    </x:row>
    <x:row r="173">
      <x:c r="J173" t="str">
        <x:f>IF(LENH_GOC!A174="","",174)</x:f>
      </x:c>
      <x:c r="K173" t="str">
        <x:f>IF(LENH_GOC!A174="","",LENH_GOC!A174)</x:f>
      </x:c>
      <x:c r="L173" t="str">
        <x:f>IF($K173="","",IFERROR(TRIM(LENH_GOC!C174),""))</x:f>
      </x:c>
      <x:c r="M173" t="str">
        <x:f>IF($K173="","",IFERROR(UPPER(TRIM(LENH_GOC!Y174)),""))</x:f>
      </x:c>
      <x:c r="N173" s="249" t="str">
        <x:f>IFERROR(IF($K173="","",IF(LENH_GOC!G174="","",IF(ISNUMBER(LENH_GOC!G174),LENH_GOC!G174,DATE(VALUE(MID(LENH_GOC!G174,7,4)),VALUE(MID(LENH_GOC!G174,4,2)),VALUE(LEFT(LENH_GOC!G174,2)))+TIME(VALUE(MID(LENH_GOC!G174,12,2)),VALUE(MID(LENH_GOC!G174,15,2)),VALUE(MID(LENH_GOC!G174,18,2)))))), "")</x:f>
      </x:c>
      <x:c r="O173" t="str">
        <x:f>IF($K173="","",IF(LENH_GOC!E174="","",LENH_GOC!E174))</x:f>
      </x:c>
      <x:c r="P173" t="str">
        <x:f>IF($K173="","",IF(LENH_GOC!F174="","",LENH_GOC!F174))</x:f>
      </x:c>
      <x:c r="Q173" t="str">
        <x:f>IFERROR(IF($K173="","",IF(LENH_GOC!P174="","",IFERROR(VALUE(LENH_GOC!P174),IF(OR(LENH_GOC!P174=TRUE,UPPER(TRIM(LENH_GOC!P174))="TRUE"),1,0)))),"")</x:f>
      </x:c>
      <x:c r="R173" t="str">
        <x:f>IF($K173="","",IF(LENH_GOC!Q174="","",LENH_GOC!Q174))</x:f>
      </x:c>
      <x:c r="S173" s="249" t="str">
        <x:f>IF($K173="","",IF(LENH_GOC!R174="","",LENH_GOC!R174))</x:f>
      </x:c>
      <x:c r="T173" t="n">
        <x:f>IFERROR(IF($K173="",0,IF(AND(ISNUMBER($N173),INT($N173)=CAI_DAT!$B$4,LEFT(UPPER(TRIM($L173)),2)=LEFT(UPPER(TRIM(CAI_DAT!$B$5)),2),$Q173=1,OR(AND($M173="SO",ISNUMBER($P173),$P173&gt;0),AND($M173="MO",ISNUMBER($O173),$O173&gt;0))),1,0)),0)</x:f>
        <x:v>0</x:v>
      </x:c>
      <x:c r="U173" t="str">
        <x:f>IFERROR(IF($T173=0,"",IF($M173="SO",$P173,IF(AND($M173="MO",OR($R173=TRUE,$R173="TRUE"),ISNUMBER($P173),$P173&gt;0),$P173,$O173))),"")</x:f>
      </x:c>
      <x:c r="V173" t="str">
        <x:f>IFERROR(IF($T173=0,"",MOD($N173,1)*86400),"")</x:f>
      </x:c>
      <x:c r="W173" t="str">
        <x:f>IFERROR(IF($T173=0,"",COUNTIFS($T$3:$T$202,1,$V$3:$V$202,"&lt;"&amp;$V173)+COUNTIFS($T$3:$T173,1,$V$3:$V173,$V173)),"")</x:f>
      </x:c>
      <x:c r="X173" t="str">
        <x:f>IFERROR(IF($T173=0,"",IF($M173="SO","SO: dùng CS hoàn thành",IF(AND($M173="MO",OR($R173=TRUE,$R173="TRUE"),ISNUMBER($P173),$P173&gt;0),"MO dừng sớm: dùng CS hoàn thành","MO: dùng CS ra lệnh"))),"")</x:f>
      </x:c>
    </x:row>
    <x:row r="174">
      <x:c r="J174" t="str">
        <x:f>IF(LENH_GOC!A175="","",175)</x:f>
      </x:c>
      <x:c r="K174" t="str">
        <x:f>IF(LENH_GOC!A175="","",LENH_GOC!A175)</x:f>
      </x:c>
      <x:c r="L174" t="str">
        <x:f>IF($K174="","",IFERROR(TRIM(LENH_GOC!C175),""))</x:f>
      </x:c>
      <x:c r="M174" t="str">
        <x:f>IF($K174="","",IFERROR(UPPER(TRIM(LENH_GOC!Y175)),""))</x:f>
      </x:c>
      <x:c r="N174" s="249" t="str">
        <x:f>IFERROR(IF($K174="","",IF(LENH_GOC!G175="","",IF(ISNUMBER(LENH_GOC!G175),LENH_GOC!G175,DATE(VALUE(MID(LENH_GOC!G175,7,4)),VALUE(MID(LENH_GOC!G175,4,2)),VALUE(LEFT(LENH_GOC!G175,2)))+TIME(VALUE(MID(LENH_GOC!G175,12,2)),VALUE(MID(LENH_GOC!G175,15,2)),VALUE(MID(LENH_GOC!G175,18,2)))))), "")</x:f>
      </x:c>
      <x:c r="O174" t="str">
        <x:f>IF($K174="","",IF(LENH_GOC!E175="","",LENH_GOC!E175))</x:f>
      </x:c>
      <x:c r="P174" t="str">
        <x:f>IF($K174="","",IF(LENH_GOC!F175="","",LENH_GOC!F175))</x:f>
      </x:c>
      <x:c r="Q174" t="str">
        <x:f>IFERROR(IF($K174="","",IF(LENH_GOC!P175="","",IFERROR(VALUE(LENH_GOC!P175),IF(OR(LENH_GOC!P175=TRUE,UPPER(TRIM(LENH_GOC!P175))="TRUE"),1,0)))),"")</x:f>
      </x:c>
      <x:c r="R174" t="str">
        <x:f>IF($K174="","",IF(LENH_GOC!Q175="","",LENH_GOC!Q175))</x:f>
      </x:c>
      <x:c r="S174" s="249" t="str">
        <x:f>IF($K174="","",IF(LENH_GOC!R175="","",LENH_GOC!R175))</x:f>
      </x:c>
      <x:c r="T174" t="n">
        <x:f>IFERROR(IF($K174="",0,IF(AND(ISNUMBER($N174),INT($N174)=CAI_DAT!$B$4,LEFT(UPPER(TRIM($L174)),2)=LEFT(UPPER(TRIM(CAI_DAT!$B$5)),2),$Q174=1,OR(AND($M174="SO",ISNUMBER($P174),$P174&gt;0),AND($M174="MO",ISNUMBER($O174),$O174&gt;0))),1,0)),0)</x:f>
        <x:v>0</x:v>
      </x:c>
      <x:c r="U174" t="str">
        <x:f>IFERROR(IF($T174=0,"",IF($M174="SO",$P174,IF(AND($M174="MO",OR($R174=TRUE,$R174="TRUE"),ISNUMBER($P174),$P174&gt;0),$P174,$O174))),"")</x:f>
      </x:c>
      <x:c r="V174" t="str">
        <x:f>IFERROR(IF($T174=0,"",MOD($N174,1)*86400),"")</x:f>
      </x:c>
      <x:c r="W174" t="str">
        <x:f>IFERROR(IF($T174=0,"",COUNTIFS($T$3:$T$202,1,$V$3:$V$202,"&lt;"&amp;$V174)+COUNTIFS($T$3:$T174,1,$V$3:$V174,$V174)),"")</x:f>
      </x:c>
      <x:c r="X174" t="str">
        <x:f>IFERROR(IF($T174=0,"",IF($M174="SO","SO: dùng CS hoàn thành",IF(AND($M174="MO",OR($R174=TRUE,$R174="TRUE"),ISNUMBER($P174),$P174&gt;0),"MO dừng sớm: dùng CS hoàn thành","MO: dùng CS ra lệnh"))),"")</x:f>
      </x:c>
    </x:row>
    <x:row r="175">
      <x:c r="J175" t="str">
        <x:f>IF(LENH_GOC!A176="","",176)</x:f>
      </x:c>
      <x:c r="K175" t="str">
        <x:f>IF(LENH_GOC!A176="","",LENH_GOC!A176)</x:f>
      </x:c>
      <x:c r="L175" t="str">
        <x:f>IF($K175="","",IFERROR(TRIM(LENH_GOC!C176),""))</x:f>
      </x:c>
      <x:c r="M175" t="str">
        <x:f>IF($K175="","",IFERROR(UPPER(TRIM(LENH_GOC!Y176)),""))</x:f>
      </x:c>
      <x:c r="N175" s="249" t="str">
        <x:f>IFERROR(IF($K175="","",IF(LENH_GOC!G176="","",IF(ISNUMBER(LENH_GOC!G176),LENH_GOC!G176,DATE(VALUE(MID(LENH_GOC!G176,7,4)),VALUE(MID(LENH_GOC!G176,4,2)),VALUE(LEFT(LENH_GOC!G176,2)))+TIME(VALUE(MID(LENH_GOC!G176,12,2)),VALUE(MID(LENH_GOC!G176,15,2)),VALUE(MID(LENH_GOC!G176,18,2)))))), "")</x:f>
      </x:c>
      <x:c r="O175" t="str">
        <x:f>IF($K175="","",IF(LENH_GOC!E176="","",LENH_GOC!E176))</x:f>
      </x:c>
      <x:c r="P175" t="str">
        <x:f>IF($K175="","",IF(LENH_GOC!F176="","",LENH_GOC!F176))</x:f>
      </x:c>
      <x:c r="Q175" t="str">
        <x:f>IFERROR(IF($K175="","",IF(LENH_GOC!P176="","",IFERROR(VALUE(LENH_GOC!P176),IF(OR(LENH_GOC!P176=TRUE,UPPER(TRIM(LENH_GOC!P176))="TRUE"),1,0)))),"")</x:f>
      </x:c>
      <x:c r="R175" t="str">
        <x:f>IF($K175="","",IF(LENH_GOC!Q176="","",LENH_GOC!Q176))</x:f>
      </x:c>
      <x:c r="S175" s="249" t="str">
        <x:f>IF($K175="","",IF(LENH_GOC!R176="","",LENH_GOC!R176))</x:f>
      </x:c>
      <x:c r="T175" t="n">
        <x:f>IFERROR(IF($K175="",0,IF(AND(ISNUMBER($N175),INT($N175)=CAI_DAT!$B$4,LEFT(UPPER(TRIM($L175)),2)=LEFT(UPPER(TRIM(CAI_DAT!$B$5)),2),$Q175=1,OR(AND($M175="SO",ISNUMBER($P175),$P175&gt;0),AND($M175="MO",ISNUMBER($O175),$O175&gt;0))),1,0)),0)</x:f>
        <x:v>0</x:v>
      </x:c>
      <x:c r="U175" t="str">
        <x:f>IFERROR(IF($T175=0,"",IF($M175="SO",$P175,IF(AND($M175="MO",OR($R175=TRUE,$R175="TRUE"),ISNUMBER($P175),$P175&gt;0),$P175,$O175))),"")</x:f>
      </x:c>
      <x:c r="V175" t="str">
        <x:f>IFERROR(IF($T175=0,"",MOD($N175,1)*86400),"")</x:f>
      </x:c>
      <x:c r="W175" t="str">
        <x:f>IFERROR(IF($T175=0,"",COUNTIFS($T$3:$T$202,1,$V$3:$V$202,"&lt;"&amp;$V175)+COUNTIFS($T$3:$T175,1,$V$3:$V175,$V175)),"")</x:f>
      </x:c>
      <x:c r="X175" t="str">
        <x:f>IFERROR(IF($T175=0,"",IF($M175="SO","SO: dùng CS hoàn thành",IF(AND($M175="MO",OR($R175=TRUE,$R175="TRUE"),ISNUMBER($P175),$P175&gt;0),"MO dừng sớm: dùng CS hoàn thành","MO: dùng CS ra lệnh"))),"")</x:f>
      </x:c>
    </x:row>
    <x:row r="176">
      <x:c r="J176" t="str">
        <x:f>IF(LENH_GOC!A177="","",177)</x:f>
      </x:c>
      <x:c r="K176" t="str">
        <x:f>IF(LENH_GOC!A177="","",LENH_GOC!A177)</x:f>
      </x:c>
      <x:c r="L176" t="str">
        <x:f>IF($K176="","",IFERROR(TRIM(LENH_GOC!C177),""))</x:f>
      </x:c>
      <x:c r="M176" t="str">
        <x:f>IF($K176="","",IFERROR(UPPER(TRIM(LENH_GOC!Y177)),""))</x:f>
      </x:c>
      <x:c r="N176" s="249" t="str">
        <x:f>IFERROR(IF($K176="","",IF(LENH_GOC!G177="","",IF(ISNUMBER(LENH_GOC!G177),LENH_GOC!G177,DATE(VALUE(MID(LENH_GOC!G177,7,4)),VALUE(MID(LENH_GOC!G177,4,2)),VALUE(LEFT(LENH_GOC!G177,2)))+TIME(VALUE(MID(LENH_GOC!G177,12,2)),VALUE(MID(LENH_GOC!G177,15,2)),VALUE(MID(LENH_GOC!G177,18,2)))))), "")</x:f>
      </x:c>
      <x:c r="O176" t="str">
        <x:f>IF($K176="","",IF(LENH_GOC!E177="","",LENH_GOC!E177))</x:f>
      </x:c>
      <x:c r="P176" t="str">
        <x:f>IF($K176="","",IF(LENH_GOC!F177="","",LENH_GOC!F177))</x:f>
      </x:c>
      <x:c r="Q176" t="str">
        <x:f>IFERROR(IF($K176="","",IF(LENH_GOC!P177="","",IFERROR(VALUE(LENH_GOC!P177),IF(OR(LENH_GOC!P177=TRUE,UPPER(TRIM(LENH_GOC!P177))="TRUE"),1,0)))),"")</x:f>
      </x:c>
      <x:c r="R176" t="str">
        <x:f>IF($K176="","",IF(LENH_GOC!Q177="","",LENH_GOC!Q177))</x:f>
      </x:c>
      <x:c r="S176" s="249" t="str">
        <x:f>IF($K176="","",IF(LENH_GOC!R177="","",LENH_GOC!R177))</x:f>
      </x:c>
      <x:c r="T176" t="n">
        <x:f>IFERROR(IF($K176="",0,IF(AND(ISNUMBER($N176),INT($N176)=CAI_DAT!$B$4,LEFT(UPPER(TRIM($L176)),2)=LEFT(UPPER(TRIM(CAI_DAT!$B$5)),2),$Q176=1,OR(AND($M176="SO",ISNUMBER($P176),$P176&gt;0),AND($M176="MO",ISNUMBER($O176),$O176&gt;0))),1,0)),0)</x:f>
        <x:v>0</x:v>
      </x:c>
      <x:c r="U176" t="str">
        <x:f>IFERROR(IF($T176=0,"",IF($M176="SO",$P176,IF(AND($M176="MO",OR($R176=TRUE,$R176="TRUE"),ISNUMBER($P176),$P176&gt;0),$P176,$O176))),"")</x:f>
      </x:c>
      <x:c r="V176" t="str">
        <x:f>IFERROR(IF($T176=0,"",MOD($N176,1)*86400),"")</x:f>
      </x:c>
      <x:c r="W176" t="str">
        <x:f>IFERROR(IF($T176=0,"",COUNTIFS($T$3:$T$202,1,$V$3:$V$202,"&lt;"&amp;$V176)+COUNTIFS($T$3:$T176,1,$V$3:$V176,$V176)),"")</x:f>
      </x:c>
      <x:c r="X176" t="str">
        <x:f>IFERROR(IF($T176=0,"",IF($M176="SO","SO: dùng CS hoàn thành",IF(AND($M176="MO",OR($R176=TRUE,$R176="TRUE"),ISNUMBER($P176),$P176&gt;0),"MO dừng sớm: dùng CS hoàn thành","MO: dùng CS ra lệnh"))),"")</x:f>
      </x:c>
    </x:row>
    <x:row r="177">
      <x:c r="J177" t="str">
        <x:f>IF(LENH_GOC!A178="","",178)</x:f>
      </x:c>
      <x:c r="K177" t="str">
        <x:f>IF(LENH_GOC!A178="","",LENH_GOC!A178)</x:f>
      </x:c>
      <x:c r="L177" t="str">
        <x:f>IF($K177="","",IFERROR(TRIM(LENH_GOC!C178),""))</x:f>
      </x:c>
      <x:c r="M177" t="str">
        <x:f>IF($K177="","",IFERROR(UPPER(TRIM(LENH_GOC!Y178)),""))</x:f>
      </x:c>
      <x:c r="N177" s="249" t="str">
        <x:f>IFERROR(IF($K177="","",IF(LENH_GOC!G178="","",IF(ISNUMBER(LENH_GOC!G178),LENH_GOC!G178,DATE(VALUE(MID(LENH_GOC!G178,7,4)),VALUE(MID(LENH_GOC!G178,4,2)),VALUE(LEFT(LENH_GOC!G178,2)))+TIME(VALUE(MID(LENH_GOC!G178,12,2)),VALUE(MID(LENH_GOC!G178,15,2)),VALUE(MID(LENH_GOC!G178,18,2)))))), "")</x:f>
      </x:c>
      <x:c r="O177" t="str">
        <x:f>IF($K177="","",IF(LENH_GOC!E178="","",LENH_GOC!E178))</x:f>
      </x:c>
      <x:c r="P177" t="str">
        <x:f>IF($K177="","",IF(LENH_GOC!F178="","",LENH_GOC!F178))</x:f>
      </x:c>
      <x:c r="Q177" t="str">
        <x:f>IFERROR(IF($K177="","",IF(LENH_GOC!P178="","",IFERROR(VALUE(LENH_GOC!P178),IF(OR(LENH_GOC!P178=TRUE,UPPER(TRIM(LENH_GOC!P178))="TRUE"),1,0)))),"")</x:f>
      </x:c>
      <x:c r="R177" t="str">
        <x:f>IF($K177="","",IF(LENH_GOC!Q178="","",LENH_GOC!Q178))</x:f>
      </x:c>
      <x:c r="S177" s="249" t="str">
        <x:f>IF($K177="","",IF(LENH_GOC!R178="","",LENH_GOC!R178))</x:f>
      </x:c>
      <x:c r="T177" t="n">
        <x:f>IFERROR(IF($K177="",0,IF(AND(ISNUMBER($N177),INT($N177)=CAI_DAT!$B$4,LEFT(UPPER(TRIM($L177)),2)=LEFT(UPPER(TRIM(CAI_DAT!$B$5)),2),$Q177=1,OR(AND($M177="SO",ISNUMBER($P177),$P177&gt;0),AND($M177="MO",ISNUMBER($O177),$O177&gt;0))),1,0)),0)</x:f>
        <x:v>0</x:v>
      </x:c>
      <x:c r="U177" t="str">
        <x:f>IFERROR(IF($T177=0,"",IF($M177="SO",$P177,IF(AND($M177="MO",OR($R177=TRUE,$R177="TRUE"),ISNUMBER($P177),$P177&gt;0),$P177,$O177))),"")</x:f>
      </x:c>
      <x:c r="V177" t="str">
        <x:f>IFERROR(IF($T177=0,"",MOD($N177,1)*86400),"")</x:f>
      </x:c>
      <x:c r="W177" t="str">
        <x:f>IFERROR(IF($T177=0,"",COUNTIFS($T$3:$T$202,1,$V$3:$V$202,"&lt;"&amp;$V177)+COUNTIFS($T$3:$T177,1,$V$3:$V177,$V177)),"")</x:f>
      </x:c>
      <x:c r="X177" t="str">
        <x:f>IFERROR(IF($T177=0,"",IF($M177="SO","SO: dùng CS hoàn thành",IF(AND($M177="MO",OR($R177=TRUE,$R177="TRUE"),ISNUMBER($P177),$P177&gt;0),"MO dừng sớm: dùng CS hoàn thành","MO: dùng CS ra lệnh"))),"")</x:f>
      </x:c>
    </x:row>
    <x:row r="178">
      <x:c r="J178" t="str">
        <x:f>IF(LENH_GOC!A179="","",179)</x:f>
      </x:c>
      <x:c r="K178" t="str">
        <x:f>IF(LENH_GOC!A179="","",LENH_GOC!A179)</x:f>
      </x:c>
      <x:c r="L178" t="str">
        <x:f>IF($K178="","",IFERROR(TRIM(LENH_GOC!C179),""))</x:f>
      </x:c>
      <x:c r="M178" t="str">
        <x:f>IF($K178="","",IFERROR(UPPER(TRIM(LENH_GOC!Y179)),""))</x:f>
      </x:c>
      <x:c r="N178" s="249" t="str">
        <x:f>IFERROR(IF($K178="","",IF(LENH_GOC!G179="","",IF(ISNUMBER(LENH_GOC!G179),LENH_GOC!G179,DATE(VALUE(MID(LENH_GOC!G179,7,4)),VALUE(MID(LENH_GOC!G179,4,2)),VALUE(LEFT(LENH_GOC!G179,2)))+TIME(VALUE(MID(LENH_GOC!G179,12,2)),VALUE(MID(LENH_GOC!G179,15,2)),VALUE(MID(LENH_GOC!G179,18,2)))))), "")</x:f>
      </x:c>
      <x:c r="O178" t="str">
        <x:f>IF($K178="","",IF(LENH_GOC!E179="","",LENH_GOC!E179))</x:f>
      </x:c>
      <x:c r="P178" t="str">
        <x:f>IF($K178="","",IF(LENH_GOC!F179="","",LENH_GOC!F179))</x:f>
      </x:c>
      <x:c r="Q178" t="str">
        <x:f>IFERROR(IF($K178="","",IF(LENH_GOC!P179="","",IFERROR(VALUE(LENH_GOC!P179),IF(OR(LENH_GOC!P179=TRUE,UPPER(TRIM(LENH_GOC!P179))="TRUE"),1,0)))),"")</x:f>
      </x:c>
      <x:c r="R178" t="str">
        <x:f>IF($K178="","",IF(LENH_GOC!Q179="","",LENH_GOC!Q179))</x:f>
      </x:c>
      <x:c r="S178" s="249" t="str">
        <x:f>IF($K178="","",IF(LENH_GOC!R179="","",LENH_GOC!R179))</x:f>
      </x:c>
      <x:c r="T178" t="n">
        <x:f>IFERROR(IF($K178="",0,IF(AND(ISNUMBER($N178),INT($N178)=CAI_DAT!$B$4,LEFT(UPPER(TRIM($L178)),2)=LEFT(UPPER(TRIM(CAI_DAT!$B$5)),2),$Q178=1,OR(AND($M178="SO",ISNUMBER($P178),$P178&gt;0),AND($M178="MO",ISNUMBER($O178),$O178&gt;0))),1,0)),0)</x:f>
        <x:v>0</x:v>
      </x:c>
      <x:c r="U178" t="str">
        <x:f>IFERROR(IF($T178=0,"",IF($M178="SO",$P178,IF(AND($M178="MO",OR($R178=TRUE,$R178="TRUE"),ISNUMBER($P178),$P178&gt;0),$P178,$O178))),"")</x:f>
      </x:c>
      <x:c r="V178" t="str">
        <x:f>IFERROR(IF($T178=0,"",MOD($N178,1)*86400),"")</x:f>
      </x:c>
      <x:c r="W178" t="str">
        <x:f>IFERROR(IF($T178=0,"",COUNTIFS($T$3:$T$202,1,$V$3:$V$202,"&lt;"&amp;$V178)+COUNTIFS($T$3:$T178,1,$V$3:$V178,$V178)),"")</x:f>
      </x:c>
      <x:c r="X178" t="str">
        <x:f>IFERROR(IF($T178=0,"",IF($M178="SO","SO: dùng CS hoàn thành",IF(AND($M178="MO",OR($R178=TRUE,$R178="TRUE"),ISNUMBER($P178),$P178&gt;0),"MO dừng sớm: dùng CS hoàn thành","MO: dùng CS ra lệnh"))),"")</x:f>
      </x:c>
    </x:row>
    <x:row r="179">
      <x:c r="J179" t="str">
        <x:f>IF(LENH_GOC!A180="","",180)</x:f>
      </x:c>
      <x:c r="K179" t="str">
        <x:f>IF(LENH_GOC!A180="","",LENH_GOC!A180)</x:f>
      </x:c>
      <x:c r="L179" t="str">
        <x:f>IF($K179="","",IFERROR(TRIM(LENH_GOC!C180),""))</x:f>
      </x:c>
      <x:c r="M179" t="str">
        <x:f>IF($K179="","",IFERROR(UPPER(TRIM(LENH_GOC!Y180)),""))</x:f>
      </x:c>
      <x:c r="N179" s="249" t="str">
        <x:f>IFERROR(IF($K179="","",IF(LENH_GOC!G180="","",IF(ISNUMBER(LENH_GOC!G180),LENH_GOC!G180,DATE(VALUE(MID(LENH_GOC!G180,7,4)),VALUE(MID(LENH_GOC!G180,4,2)),VALUE(LEFT(LENH_GOC!G180,2)))+TIME(VALUE(MID(LENH_GOC!G180,12,2)),VALUE(MID(LENH_GOC!G180,15,2)),VALUE(MID(LENH_GOC!G180,18,2)))))), "")</x:f>
      </x:c>
      <x:c r="O179" t="str">
        <x:f>IF($K179="","",IF(LENH_GOC!E180="","",LENH_GOC!E180))</x:f>
      </x:c>
      <x:c r="P179" t="str">
        <x:f>IF($K179="","",IF(LENH_GOC!F180="","",LENH_GOC!F180))</x:f>
      </x:c>
      <x:c r="Q179" t="str">
        <x:f>IFERROR(IF($K179="","",IF(LENH_GOC!P180="","",IFERROR(VALUE(LENH_GOC!P180),IF(OR(LENH_GOC!P180=TRUE,UPPER(TRIM(LENH_GOC!P180))="TRUE"),1,0)))),"")</x:f>
      </x:c>
      <x:c r="R179" t="str">
        <x:f>IF($K179="","",IF(LENH_GOC!Q180="","",LENH_GOC!Q180))</x:f>
      </x:c>
      <x:c r="S179" s="249" t="str">
        <x:f>IF($K179="","",IF(LENH_GOC!R180="","",LENH_GOC!R180))</x:f>
      </x:c>
      <x:c r="T179" t="n">
        <x:f>IFERROR(IF($K179="",0,IF(AND(ISNUMBER($N179),INT($N179)=CAI_DAT!$B$4,LEFT(UPPER(TRIM($L179)),2)=LEFT(UPPER(TRIM(CAI_DAT!$B$5)),2),$Q179=1,OR(AND($M179="SO",ISNUMBER($P179),$P179&gt;0),AND($M179="MO",ISNUMBER($O179),$O179&gt;0))),1,0)),0)</x:f>
        <x:v>0</x:v>
      </x:c>
      <x:c r="U179" t="str">
        <x:f>IFERROR(IF($T179=0,"",IF($M179="SO",$P179,IF(AND($M179="MO",OR($R179=TRUE,$R179="TRUE"),ISNUMBER($P179),$P179&gt;0),$P179,$O179))),"")</x:f>
      </x:c>
      <x:c r="V179" t="str">
        <x:f>IFERROR(IF($T179=0,"",MOD($N179,1)*86400),"")</x:f>
      </x:c>
      <x:c r="W179" t="str">
        <x:f>IFERROR(IF($T179=0,"",COUNTIFS($T$3:$T$202,1,$V$3:$V$202,"&lt;"&amp;$V179)+COUNTIFS($T$3:$T179,1,$V$3:$V179,$V179)),"")</x:f>
      </x:c>
      <x:c r="X179" t="str">
        <x:f>IFERROR(IF($T179=0,"",IF($M179="SO","SO: dùng CS hoàn thành",IF(AND($M179="MO",OR($R179=TRUE,$R179="TRUE"),ISNUMBER($P179),$P179&gt;0),"MO dừng sớm: dùng CS hoàn thành","MO: dùng CS ra lệnh"))),"")</x:f>
      </x:c>
    </x:row>
    <x:row r="180">
      <x:c r="J180" t="str">
        <x:f>IF(LENH_GOC!A181="","",181)</x:f>
      </x:c>
      <x:c r="K180" t="str">
        <x:f>IF(LENH_GOC!A181="","",LENH_GOC!A181)</x:f>
      </x:c>
      <x:c r="L180" t="str">
        <x:f>IF($K180="","",IFERROR(TRIM(LENH_GOC!C181),""))</x:f>
      </x:c>
      <x:c r="M180" t="str">
        <x:f>IF($K180="","",IFERROR(UPPER(TRIM(LENH_GOC!Y181)),""))</x:f>
      </x:c>
      <x:c r="N180" s="249" t="str">
        <x:f>IFERROR(IF($K180="","",IF(LENH_GOC!G181="","",IF(ISNUMBER(LENH_GOC!G181),LENH_GOC!G181,DATE(VALUE(MID(LENH_GOC!G181,7,4)),VALUE(MID(LENH_GOC!G181,4,2)),VALUE(LEFT(LENH_GOC!G181,2)))+TIME(VALUE(MID(LENH_GOC!G181,12,2)),VALUE(MID(LENH_GOC!G181,15,2)),VALUE(MID(LENH_GOC!G181,18,2)))))), "")</x:f>
      </x:c>
      <x:c r="O180" t="str">
        <x:f>IF($K180="","",IF(LENH_GOC!E181="","",LENH_GOC!E181))</x:f>
      </x:c>
      <x:c r="P180" t="str">
        <x:f>IF($K180="","",IF(LENH_GOC!F181="","",LENH_GOC!F181))</x:f>
      </x:c>
      <x:c r="Q180" t="str">
        <x:f>IFERROR(IF($K180="","",IF(LENH_GOC!P181="","",IFERROR(VALUE(LENH_GOC!P181),IF(OR(LENH_GOC!P181=TRUE,UPPER(TRIM(LENH_GOC!P181))="TRUE"),1,0)))),"")</x:f>
      </x:c>
      <x:c r="R180" t="str">
        <x:f>IF($K180="","",IF(LENH_GOC!Q181="","",LENH_GOC!Q181))</x:f>
      </x:c>
      <x:c r="S180" s="249" t="str">
        <x:f>IF($K180="","",IF(LENH_GOC!R181="","",LENH_GOC!R181))</x:f>
      </x:c>
      <x:c r="T180" t="n">
        <x:f>IFERROR(IF($K180="",0,IF(AND(ISNUMBER($N180),INT($N180)=CAI_DAT!$B$4,LEFT(UPPER(TRIM($L180)),2)=LEFT(UPPER(TRIM(CAI_DAT!$B$5)),2),$Q180=1,OR(AND($M180="SO",ISNUMBER($P180),$P180&gt;0),AND($M180="MO",ISNUMBER($O180),$O180&gt;0))),1,0)),0)</x:f>
        <x:v>0</x:v>
      </x:c>
      <x:c r="U180" t="str">
        <x:f>IFERROR(IF($T180=0,"",IF($M180="SO",$P180,IF(AND($M180="MO",OR($R180=TRUE,$R180="TRUE"),ISNUMBER($P180),$P180&gt;0),$P180,$O180))),"")</x:f>
      </x:c>
      <x:c r="V180" t="str">
        <x:f>IFERROR(IF($T180=0,"",MOD($N180,1)*86400),"")</x:f>
      </x:c>
      <x:c r="W180" t="str">
        <x:f>IFERROR(IF($T180=0,"",COUNTIFS($T$3:$T$202,1,$V$3:$V$202,"&lt;"&amp;$V180)+COUNTIFS($T$3:$T180,1,$V$3:$V180,$V180)),"")</x:f>
      </x:c>
      <x:c r="X180" t="str">
        <x:f>IFERROR(IF($T180=0,"",IF($M180="SO","SO: dùng CS hoàn thành",IF(AND($M180="MO",OR($R180=TRUE,$R180="TRUE"),ISNUMBER($P180),$P180&gt;0),"MO dừng sớm: dùng CS hoàn thành","MO: dùng CS ra lệnh"))),"")</x:f>
      </x:c>
    </x:row>
    <x:row r="181">
      <x:c r="J181" t="str">
        <x:f>IF(LENH_GOC!A182="","",182)</x:f>
      </x:c>
      <x:c r="K181" t="str">
        <x:f>IF(LENH_GOC!A182="","",LENH_GOC!A182)</x:f>
      </x:c>
      <x:c r="L181" t="str">
        <x:f>IF($K181="","",IFERROR(TRIM(LENH_GOC!C182),""))</x:f>
      </x:c>
      <x:c r="M181" t="str">
        <x:f>IF($K181="","",IFERROR(UPPER(TRIM(LENH_GOC!Y182)),""))</x:f>
      </x:c>
      <x:c r="N181" s="249" t="str">
        <x:f>IFERROR(IF($K181="","",IF(LENH_GOC!G182="","",IF(ISNUMBER(LENH_GOC!G182),LENH_GOC!G182,DATE(VALUE(MID(LENH_GOC!G182,7,4)),VALUE(MID(LENH_GOC!G182,4,2)),VALUE(LEFT(LENH_GOC!G182,2)))+TIME(VALUE(MID(LENH_GOC!G182,12,2)),VALUE(MID(LENH_GOC!G182,15,2)),VALUE(MID(LENH_GOC!G182,18,2)))))), "")</x:f>
      </x:c>
      <x:c r="O181" t="str">
        <x:f>IF($K181="","",IF(LENH_GOC!E182="","",LENH_GOC!E182))</x:f>
      </x:c>
      <x:c r="P181" t="str">
        <x:f>IF($K181="","",IF(LENH_GOC!F182="","",LENH_GOC!F182))</x:f>
      </x:c>
      <x:c r="Q181" t="str">
        <x:f>IFERROR(IF($K181="","",IF(LENH_GOC!P182="","",IFERROR(VALUE(LENH_GOC!P182),IF(OR(LENH_GOC!P182=TRUE,UPPER(TRIM(LENH_GOC!P182))="TRUE"),1,0)))),"")</x:f>
      </x:c>
      <x:c r="R181" t="str">
        <x:f>IF($K181="","",IF(LENH_GOC!Q182="","",LENH_GOC!Q182))</x:f>
      </x:c>
      <x:c r="S181" s="249" t="str">
        <x:f>IF($K181="","",IF(LENH_GOC!R182="","",LENH_GOC!R182))</x:f>
      </x:c>
      <x:c r="T181" t="n">
        <x:f>IFERROR(IF($K181="",0,IF(AND(ISNUMBER($N181),INT($N181)=CAI_DAT!$B$4,LEFT(UPPER(TRIM($L181)),2)=LEFT(UPPER(TRIM(CAI_DAT!$B$5)),2),$Q181=1,OR(AND($M181="SO",ISNUMBER($P181),$P181&gt;0),AND($M181="MO",ISNUMBER($O181),$O181&gt;0))),1,0)),0)</x:f>
        <x:v>0</x:v>
      </x:c>
      <x:c r="U181" t="str">
        <x:f>IFERROR(IF($T181=0,"",IF($M181="SO",$P181,IF(AND($M181="MO",OR($R181=TRUE,$R181="TRUE"),ISNUMBER($P181),$P181&gt;0),$P181,$O181))),"")</x:f>
      </x:c>
      <x:c r="V181" t="str">
        <x:f>IFERROR(IF($T181=0,"",MOD($N181,1)*86400),"")</x:f>
      </x:c>
      <x:c r="W181" t="str">
        <x:f>IFERROR(IF($T181=0,"",COUNTIFS($T$3:$T$202,1,$V$3:$V$202,"&lt;"&amp;$V181)+COUNTIFS($T$3:$T181,1,$V$3:$V181,$V181)),"")</x:f>
      </x:c>
      <x:c r="X181" t="str">
        <x:f>IFERROR(IF($T181=0,"",IF($M181="SO","SO: dùng CS hoàn thành",IF(AND($M181="MO",OR($R181=TRUE,$R181="TRUE"),ISNUMBER($P181),$P181&gt;0),"MO dừng sớm: dùng CS hoàn thành","MO: dùng CS ra lệnh"))),"")</x:f>
      </x:c>
    </x:row>
    <x:row r="182">
      <x:c r="J182" t="str">
        <x:f>IF(LENH_GOC!A183="","",183)</x:f>
      </x:c>
      <x:c r="K182" t="str">
        <x:f>IF(LENH_GOC!A183="","",LENH_GOC!A183)</x:f>
      </x:c>
      <x:c r="L182" t="str">
        <x:f>IF($K182="","",IFERROR(TRIM(LENH_GOC!C183),""))</x:f>
      </x:c>
      <x:c r="M182" t="str">
        <x:f>IF($K182="","",IFERROR(UPPER(TRIM(LENH_GOC!Y183)),""))</x:f>
      </x:c>
      <x:c r="N182" s="249" t="str">
        <x:f>IFERROR(IF($K182="","",IF(LENH_GOC!G183="","",IF(ISNUMBER(LENH_GOC!G183),LENH_GOC!G183,DATE(VALUE(MID(LENH_GOC!G183,7,4)),VALUE(MID(LENH_GOC!G183,4,2)),VALUE(LEFT(LENH_GOC!G183,2)))+TIME(VALUE(MID(LENH_GOC!G183,12,2)),VALUE(MID(LENH_GOC!G183,15,2)),VALUE(MID(LENH_GOC!G183,18,2)))))), "")</x:f>
      </x:c>
      <x:c r="O182" t="str">
        <x:f>IF($K182="","",IF(LENH_GOC!E183="","",LENH_GOC!E183))</x:f>
      </x:c>
      <x:c r="P182" t="str">
        <x:f>IF($K182="","",IF(LENH_GOC!F183="","",LENH_GOC!F183))</x:f>
      </x:c>
      <x:c r="Q182" t="str">
        <x:f>IFERROR(IF($K182="","",IF(LENH_GOC!P183="","",IFERROR(VALUE(LENH_GOC!P183),IF(OR(LENH_GOC!P183=TRUE,UPPER(TRIM(LENH_GOC!P183))="TRUE"),1,0)))),"")</x:f>
      </x:c>
      <x:c r="R182" t="str">
        <x:f>IF($K182="","",IF(LENH_GOC!Q183="","",LENH_GOC!Q183))</x:f>
      </x:c>
      <x:c r="S182" s="249" t="str">
        <x:f>IF($K182="","",IF(LENH_GOC!R183="","",LENH_GOC!R183))</x:f>
      </x:c>
      <x:c r="T182" t="n">
        <x:f>IFERROR(IF($K182="",0,IF(AND(ISNUMBER($N182),INT($N182)=CAI_DAT!$B$4,LEFT(UPPER(TRIM($L182)),2)=LEFT(UPPER(TRIM(CAI_DAT!$B$5)),2),$Q182=1,OR(AND($M182="SO",ISNUMBER($P182),$P182&gt;0),AND($M182="MO",ISNUMBER($O182),$O182&gt;0))),1,0)),0)</x:f>
        <x:v>0</x:v>
      </x:c>
      <x:c r="U182" t="str">
        <x:f>IFERROR(IF($T182=0,"",IF($M182="SO",$P182,IF(AND($M182="MO",OR($R182=TRUE,$R182="TRUE"),ISNUMBER($P182),$P182&gt;0),$P182,$O182))),"")</x:f>
      </x:c>
      <x:c r="V182" t="str">
        <x:f>IFERROR(IF($T182=0,"",MOD($N182,1)*86400),"")</x:f>
      </x:c>
      <x:c r="W182" t="str">
        <x:f>IFERROR(IF($T182=0,"",COUNTIFS($T$3:$T$202,1,$V$3:$V$202,"&lt;"&amp;$V182)+COUNTIFS($T$3:$T182,1,$V$3:$V182,$V182)),"")</x:f>
      </x:c>
      <x:c r="X182" t="str">
        <x:f>IFERROR(IF($T182=0,"",IF($M182="SO","SO: dùng CS hoàn thành",IF(AND($M182="MO",OR($R182=TRUE,$R182="TRUE"),ISNUMBER($P182),$P182&gt;0),"MO dừng sớm: dùng CS hoàn thành","MO: dùng CS ra lệnh"))),"")</x:f>
      </x:c>
    </x:row>
    <x:row r="183">
      <x:c r="J183" t="str">
        <x:f>IF(LENH_GOC!A184="","",184)</x:f>
      </x:c>
      <x:c r="K183" t="str">
        <x:f>IF(LENH_GOC!A184="","",LENH_GOC!A184)</x:f>
      </x:c>
      <x:c r="L183" t="str">
        <x:f>IF($K183="","",IFERROR(TRIM(LENH_GOC!C184),""))</x:f>
      </x:c>
      <x:c r="M183" t="str">
        <x:f>IF($K183="","",IFERROR(UPPER(TRIM(LENH_GOC!Y184)),""))</x:f>
      </x:c>
      <x:c r="N183" s="249" t="str">
        <x:f>IFERROR(IF($K183="","",IF(LENH_GOC!G184="","",IF(ISNUMBER(LENH_GOC!G184),LENH_GOC!G184,DATE(VALUE(MID(LENH_GOC!G184,7,4)),VALUE(MID(LENH_GOC!G184,4,2)),VALUE(LEFT(LENH_GOC!G184,2)))+TIME(VALUE(MID(LENH_GOC!G184,12,2)),VALUE(MID(LENH_GOC!G184,15,2)),VALUE(MID(LENH_GOC!G184,18,2)))))), "")</x:f>
      </x:c>
      <x:c r="O183" t="str">
        <x:f>IF($K183="","",IF(LENH_GOC!E184="","",LENH_GOC!E184))</x:f>
      </x:c>
      <x:c r="P183" t="str">
        <x:f>IF($K183="","",IF(LENH_GOC!F184="","",LENH_GOC!F184))</x:f>
      </x:c>
      <x:c r="Q183" t="str">
        <x:f>IFERROR(IF($K183="","",IF(LENH_GOC!P184="","",IFERROR(VALUE(LENH_GOC!P184),IF(OR(LENH_GOC!P184=TRUE,UPPER(TRIM(LENH_GOC!P184))="TRUE"),1,0)))),"")</x:f>
      </x:c>
      <x:c r="R183" t="str">
        <x:f>IF($K183="","",IF(LENH_GOC!Q184="","",LENH_GOC!Q184))</x:f>
      </x:c>
      <x:c r="S183" s="249" t="str">
        <x:f>IF($K183="","",IF(LENH_GOC!R184="","",LENH_GOC!R184))</x:f>
      </x:c>
      <x:c r="T183" t="n">
        <x:f>IFERROR(IF($K183="",0,IF(AND(ISNUMBER($N183),INT($N183)=CAI_DAT!$B$4,LEFT(UPPER(TRIM($L183)),2)=LEFT(UPPER(TRIM(CAI_DAT!$B$5)),2),$Q183=1,OR(AND($M183="SO",ISNUMBER($P183),$P183&gt;0),AND($M183="MO",ISNUMBER($O183),$O183&gt;0))),1,0)),0)</x:f>
        <x:v>0</x:v>
      </x:c>
      <x:c r="U183" t="str">
        <x:f>IFERROR(IF($T183=0,"",IF($M183="SO",$P183,IF(AND($M183="MO",OR($R183=TRUE,$R183="TRUE"),ISNUMBER($P183),$P183&gt;0),$P183,$O183))),"")</x:f>
      </x:c>
      <x:c r="V183" t="str">
        <x:f>IFERROR(IF($T183=0,"",MOD($N183,1)*86400),"")</x:f>
      </x:c>
      <x:c r="W183" t="str">
        <x:f>IFERROR(IF($T183=0,"",COUNTIFS($T$3:$T$202,1,$V$3:$V$202,"&lt;"&amp;$V183)+COUNTIFS($T$3:$T183,1,$V$3:$V183,$V183)),"")</x:f>
      </x:c>
      <x:c r="X183" t="str">
        <x:f>IFERROR(IF($T183=0,"",IF($M183="SO","SO: dùng CS hoàn thành",IF(AND($M183="MO",OR($R183=TRUE,$R183="TRUE"),ISNUMBER($P183),$P183&gt;0),"MO dừng sớm: dùng CS hoàn thành","MO: dùng CS ra lệnh"))),"")</x:f>
      </x:c>
    </x:row>
    <x:row r="184">
      <x:c r="J184" t="str">
        <x:f>IF(LENH_GOC!A185="","",185)</x:f>
      </x:c>
      <x:c r="K184" t="str">
        <x:f>IF(LENH_GOC!A185="","",LENH_GOC!A185)</x:f>
      </x:c>
      <x:c r="L184" t="str">
        <x:f>IF($K184="","",IFERROR(TRIM(LENH_GOC!C185),""))</x:f>
      </x:c>
      <x:c r="M184" t="str">
        <x:f>IF($K184="","",IFERROR(UPPER(TRIM(LENH_GOC!Y185)),""))</x:f>
      </x:c>
      <x:c r="N184" s="249" t="str">
        <x:f>IFERROR(IF($K184="","",IF(LENH_GOC!G185="","",IF(ISNUMBER(LENH_GOC!G185),LENH_GOC!G185,DATE(VALUE(MID(LENH_GOC!G185,7,4)),VALUE(MID(LENH_GOC!G185,4,2)),VALUE(LEFT(LENH_GOC!G185,2)))+TIME(VALUE(MID(LENH_GOC!G185,12,2)),VALUE(MID(LENH_GOC!G185,15,2)),VALUE(MID(LENH_GOC!G185,18,2)))))), "")</x:f>
      </x:c>
      <x:c r="O184" t="str">
        <x:f>IF($K184="","",IF(LENH_GOC!E185="","",LENH_GOC!E185))</x:f>
      </x:c>
      <x:c r="P184" t="str">
        <x:f>IF($K184="","",IF(LENH_GOC!F185="","",LENH_GOC!F185))</x:f>
      </x:c>
      <x:c r="Q184" t="str">
        <x:f>IFERROR(IF($K184="","",IF(LENH_GOC!P185="","",IFERROR(VALUE(LENH_GOC!P185),IF(OR(LENH_GOC!P185=TRUE,UPPER(TRIM(LENH_GOC!P185))="TRUE"),1,0)))),"")</x:f>
      </x:c>
      <x:c r="R184" t="str">
        <x:f>IF($K184="","",IF(LENH_GOC!Q185="","",LENH_GOC!Q185))</x:f>
      </x:c>
      <x:c r="S184" s="249" t="str">
        <x:f>IF($K184="","",IF(LENH_GOC!R185="","",LENH_GOC!R185))</x:f>
      </x:c>
      <x:c r="T184" t="n">
        <x:f>IFERROR(IF($K184="",0,IF(AND(ISNUMBER($N184),INT($N184)=CAI_DAT!$B$4,LEFT(UPPER(TRIM($L184)),2)=LEFT(UPPER(TRIM(CAI_DAT!$B$5)),2),$Q184=1,OR(AND($M184="SO",ISNUMBER($P184),$P184&gt;0),AND($M184="MO",ISNUMBER($O184),$O184&gt;0))),1,0)),0)</x:f>
        <x:v>0</x:v>
      </x:c>
      <x:c r="U184" t="str">
        <x:f>IFERROR(IF($T184=0,"",IF($M184="SO",$P184,IF(AND($M184="MO",OR($R184=TRUE,$R184="TRUE"),ISNUMBER($P184),$P184&gt;0),$P184,$O184))),"")</x:f>
      </x:c>
      <x:c r="V184" t="str">
        <x:f>IFERROR(IF($T184=0,"",MOD($N184,1)*86400),"")</x:f>
      </x:c>
      <x:c r="W184" t="str">
        <x:f>IFERROR(IF($T184=0,"",COUNTIFS($T$3:$T$202,1,$V$3:$V$202,"&lt;"&amp;$V184)+COUNTIFS($T$3:$T184,1,$V$3:$V184,$V184)),"")</x:f>
      </x:c>
      <x:c r="X184" t="str">
        <x:f>IFERROR(IF($T184=0,"",IF($M184="SO","SO: dùng CS hoàn thành",IF(AND($M184="MO",OR($R184=TRUE,$R184="TRUE"),ISNUMBER($P184),$P184&gt;0),"MO dừng sớm: dùng CS hoàn thành","MO: dùng CS ra lệnh"))),"")</x:f>
      </x:c>
    </x:row>
    <x:row r="185">
      <x:c r="J185" t="str">
        <x:f>IF(LENH_GOC!A186="","",186)</x:f>
      </x:c>
      <x:c r="K185" t="str">
        <x:f>IF(LENH_GOC!A186="","",LENH_GOC!A186)</x:f>
      </x:c>
      <x:c r="L185" t="str">
        <x:f>IF($K185="","",IFERROR(TRIM(LENH_GOC!C186),""))</x:f>
      </x:c>
      <x:c r="M185" t="str">
        <x:f>IF($K185="","",IFERROR(UPPER(TRIM(LENH_GOC!Y186)),""))</x:f>
      </x:c>
      <x:c r="N185" s="249" t="str">
        <x:f>IFERROR(IF($K185="","",IF(LENH_GOC!G186="","",IF(ISNUMBER(LENH_GOC!G186),LENH_GOC!G186,DATE(VALUE(MID(LENH_GOC!G186,7,4)),VALUE(MID(LENH_GOC!G186,4,2)),VALUE(LEFT(LENH_GOC!G186,2)))+TIME(VALUE(MID(LENH_GOC!G186,12,2)),VALUE(MID(LENH_GOC!G186,15,2)),VALUE(MID(LENH_GOC!G186,18,2)))))), "")</x:f>
      </x:c>
      <x:c r="O185" t="str">
        <x:f>IF($K185="","",IF(LENH_GOC!E186="","",LENH_GOC!E186))</x:f>
      </x:c>
      <x:c r="P185" t="str">
        <x:f>IF($K185="","",IF(LENH_GOC!F186="","",LENH_GOC!F186))</x:f>
      </x:c>
      <x:c r="Q185" t="str">
        <x:f>IFERROR(IF($K185="","",IF(LENH_GOC!P186="","",IFERROR(VALUE(LENH_GOC!P186),IF(OR(LENH_GOC!P186=TRUE,UPPER(TRIM(LENH_GOC!P186))="TRUE"),1,0)))),"")</x:f>
      </x:c>
      <x:c r="R185" t="str">
        <x:f>IF($K185="","",IF(LENH_GOC!Q186="","",LENH_GOC!Q186))</x:f>
      </x:c>
      <x:c r="S185" s="249" t="str">
        <x:f>IF($K185="","",IF(LENH_GOC!R186="","",LENH_GOC!R186))</x:f>
      </x:c>
      <x:c r="T185" t="n">
        <x:f>IFERROR(IF($K185="",0,IF(AND(ISNUMBER($N185),INT($N185)=CAI_DAT!$B$4,LEFT(UPPER(TRIM($L185)),2)=LEFT(UPPER(TRIM(CAI_DAT!$B$5)),2),$Q185=1,OR(AND($M185="SO",ISNUMBER($P185),$P185&gt;0),AND($M185="MO",ISNUMBER($O185),$O185&gt;0))),1,0)),0)</x:f>
        <x:v>0</x:v>
      </x:c>
      <x:c r="U185" t="str">
        <x:f>IFERROR(IF($T185=0,"",IF($M185="SO",$P185,IF(AND($M185="MO",OR($R185=TRUE,$R185="TRUE"),ISNUMBER($P185),$P185&gt;0),$P185,$O185))),"")</x:f>
      </x:c>
      <x:c r="V185" t="str">
        <x:f>IFERROR(IF($T185=0,"",MOD($N185,1)*86400),"")</x:f>
      </x:c>
      <x:c r="W185" t="str">
        <x:f>IFERROR(IF($T185=0,"",COUNTIFS($T$3:$T$202,1,$V$3:$V$202,"&lt;"&amp;$V185)+COUNTIFS($T$3:$T185,1,$V$3:$V185,$V185)),"")</x:f>
      </x:c>
      <x:c r="X185" t="str">
        <x:f>IFERROR(IF($T185=0,"",IF($M185="SO","SO: dùng CS hoàn thành",IF(AND($M185="MO",OR($R185=TRUE,$R185="TRUE"),ISNUMBER($P185),$P185&gt;0),"MO dừng sớm: dùng CS hoàn thành","MO: dùng CS ra lệnh"))),"")</x:f>
      </x:c>
    </x:row>
    <x:row r="186">
      <x:c r="J186" t="str">
        <x:f>IF(LENH_GOC!A187="","",187)</x:f>
      </x:c>
      <x:c r="K186" t="str">
        <x:f>IF(LENH_GOC!A187="","",LENH_GOC!A187)</x:f>
      </x:c>
      <x:c r="L186" t="str">
        <x:f>IF($K186="","",IFERROR(TRIM(LENH_GOC!C187),""))</x:f>
      </x:c>
      <x:c r="M186" t="str">
        <x:f>IF($K186="","",IFERROR(UPPER(TRIM(LENH_GOC!Y187)),""))</x:f>
      </x:c>
      <x:c r="N186" s="249" t="str">
        <x:f>IFERROR(IF($K186="","",IF(LENH_GOC!G187="","",IF(ISNUMBER(LENH_GOC!G187),LENH_GOC!G187,DATE(VALUE(MID(LENH_GOC!G187,7,4)),VALUE(MID(LENH_GOC!G187,4,2)),VALUE(LEFT(LENH_GOC!G187,2)))+TIME(VALUE(MID(LENH_GOC!G187,12,2)),VALUE(MID(LENH_GOC!G187,15,2)),VALUE(MID(LENH_GOC!G187,18,2)))))), "")</x:f>
      </x:c>
      <x:c r="O186" t="str">
        <x:f>IF($K186="","",IF(LENH_GOC!E187="","",LENH_GOC!E187))</x:f>
      </x:c>
      <x:c r="P186" t="str">
        <x:f>IF($K186="","",IF(LENH_GOC!F187="","",LENH_GOC!F187))</x:f>
      </x:c>
      <x:c r="Q186" t="str">
        <x:f>IFERROR(IF($K186="","",IF(LENH_GOC!P187="","",IFERROR(VALUE(LENH_GOC!P187),IF(OR(LENH_GOC!P187=TRUE,UPPER(TRIM(LENH_GOC!P187))="TRUE"),1,0)))),"")</x:f>
      </x:c>
      <x:c r="R186" t="str">
        <x:f>IF($K186="","",IF(LENH_GOC!Q187="","",LENH_GOC!Q187))</x:f>
      </x:c>
      <x:c r="S186" s="249" t="str">
        <x:f>IF($K186="","",IF(LENH_GOC!R187="","",LENH_GOC!R187))</x:f>
      </x:c>
      <x:c r="T186" t="n">
        <x:f>IFERROR(IF($K186="",0,IF(AND(ISNUMBER($N186),INT($N186)=CAI_DAT!$B$4,LEFT(UPPER(TRIM($L186)),2)=LEFT(UPPER(TRIM(CAI_DAT!$B$5)),2),$Q186=1,OR(AND($M186="SO",ISNUMBER($P186),$P186&gt;0),AND($M186="MO",ISNUMBER($O186),$O186&gt;0))),1,0)),0)</x:f>
        <x:v>0</x:v>
      </x:c>
      <x:c r="U186" t="str">
        <x:f>IFERROR(IF($T186=0,"",IF($M186="SO",$P186,IF(AND($M186="MO",OR($R186=TRUE,$R186="TRUE"),ISNUMBER($P186),$P186&gt;0),$P186,$O186))),"")</x:f>
      </x:c>
      <x:c r="V186" t="str">
        <x:f>IFERROR(IF($T186=0,"",MOD($N186,1)*86400),"")</x:f>
      </x:c>
      <x:c r="W186" t="str">
        <x:f>IFERROR(IF($T186=0,"",COUNTIFS($T$3:$T$202,1,$V$3:$V$202,"&lt;"&amp;$V186)+COUNTIFS($T$3:$T186,1,$V$3:$V186,$V186)),"")</x:f>
      </x:c>
      <x:c r="X186" t="str">
        <x:f>IFERROR(IF($T186=0,"",IF($M186="SO","SO: dùng CS hoàn thành",IF(AND($M186="MO",OR($R186=TRUE,$R186="TRUE"),ISNUMBER($P186),$P186&gt;0),"MO dừng sớm: dùng CS hoàn thành","MO: dùng CS ra lệnh"))),"")</x:f>
      </x:c>
    </x:row>
    <x:row r="187">
      <x:c r="J187" t="str">
        <x:f>IF(LENH_GOC!A188="","",188)</x:f>
      </x:c>
      <x:c r="K187" t="str">
        <x:f>IF(LENH_GOC!A188="","",LENH_GOC!A188)</x:f>
      </x:c>
      <x:c r="L187" t="str">
        <x:f>IF($K187="","",IFERROR(TRIM(LENH_GOC!C188),""))</x:f>
      </x:c>
      <x:c r="M187" t="str">
        <x:f>IF($K187="","",IFERROR(UPPER(TRIM(LENH_GOC!Y188)),""))</x:f>
      </x:c>
      <x:c r="N187" s="249" t="str">
        <x:f>IFERROR(IF($K187="","",IF(LENH_GOC!G188="","",IF(ISNUMBER(LENH_GOC!G188),LENH_GOC!G188,DATE(VALUE(MID(LENH_GOC!G188,7,4)),VALUE(MID(LENH_GOC!G188,4,2)),VALUE(LEFT(LENH_GOC!G188,2)))+TIME(VALUE(MID(LENH_GOC!G188,12,2)),VALUE(MID(LENH_GOC!G188,15,2)),VALUE(MID(LENH_GOC!G188,18,2)))))), "")</x:f>
      </x:c>
      <x:c r="O187" t="str">
        <x:f>IF($K187="","",IF(LENH_GOC!E188="","",LENH_GOC!E188))</x:f>
      </x:c>
      <x:c r="P187" t="str">
        <x:f>IF($K187="","",IF(LENH_GOC!F188="","",LENH_GOC!F188))</x:f>
      </x:c>
      <x:c r="Q187" t="str">
        <x:f>IFERROR(IF($K187="","",IF(LENH_GOC!P188="","",IFERROR(VALUE(LENH_GOC!P188),IF(OR(LENH_GOC!P188=TRUE,UPPER(TRIM(LENH_GOC!P188))="TRUE"),1,0)))),"")</x:f>
      </x:c>
      <x:c r="R187" t="str">
        <x:f>IF($K187="","",IF(LENH_GOC!Q188="","",LENH_GOC!Q188))</x:f>
      </x:c>
      <x:c r="S187" s="249" t="str">
        <x:f>IF($K187="","",IF(LENH_GOC!R188="","",LENH_GOC!R188))</x:f>
      </x:c>
      <x:c r="T187" t="n">
        <x:f>IFERROR(IF($K187="",0,IF(AND(ISNUMBER($N187),INT($N187)=CAI_DAT!$B$4,LEFT(UPPER(TRIM($L187)),2)=LEFT(UPPER(TRIM(CAI_DAT!$B$5)),2),$Q187=1,OR(AND($M187="SO",ISNUMBER($P187),$P187&gt;0),AND($M187="MO",ISNUMBER($O187),$O187&gt;0))),1,0)),0)</x:f>
        <x:v>0</x:v>
      </x:c>
      <x:c r="U187" t="str">
        <x:f>IFERROR(IF($T187=0,"",IF($M187="SO",$P187,IF(AND($M187="MO",OR($R187=TRUE,$R187="TRUE"),ISNUMBER($P187),$P187&gt;0),$P187,$O187))),"")</x:f>
      </x:c>
      <x:c r="V187" t="str">
        <x:f>IFERROR(IF($T187=0,"",MOD($N187,1)*86400),"")</x:f>
      </x:c>
      <x:c r="W187" t="str">
        <x:f>IFERROR(IF($T187=0,"",COUNTIFS($T$3:$T$202,1,$V$3:$V$202,"&lt;"&amp;$V187)+COUNTIFS($T$3:$T187,1,$V$3:$V187,$V187)),"")</x:f>
      </x:c>
      <x:c r="X187" t="str">
        <x:f>IFERROR(IF($T187=0,"",IF($M187="SO","SO: dùng CS hoàn thành",IF(AND($M187="MO",OR($R187=TRUE,$R187="TRUE"),ISNUMBER($P187),$P187&gt;0),"MO dừng sớm: dùng CS hoàn thành","MO: dùng CS ra lệnh"))),"")</x:f>
      </x:c>
    </x:row>
    <x:row r="188">
      <x:c r="J188" t="str">
        <x:f>IF(LENH_GOC!A189="","",189)</x:f>
      </x:c>
      <x:c r="K188" t="str">
        <x:f>IF(LENH_GOC!A189="","",LENH_GOC!A189)</x:f>
      </x:c>
      <x:c r="L188" t="str">
        <x:f>IF($K188="","",IFERROR(TRIM(LENH_GOC!C189),""))</x:f>
      </x:c>
      <x:c r="M188" t="str">
        <x:f>IF($K188="","",IFERROR(UPPER(TRIM(LENH_GOC!Y189)),""))</x:f>
      </x:c>
      <x:c r="N188" s="249" t="str">
        <x:f>IFERROR(IF($K188="","",IF(LENH_GOC!G189="","",IF(ISNUMBER(LENH_GOC!G189),LENH_GOC!G189,DATE(VALUE(MID(LENH_GOC!G189,7,4)),VALUE(MID(LENH_GOC!G189,4,2)),VALUE(LEFT(LENH_GOC!G189,2)))+TIME(VALUE(MID(LENH_GOC!G189,12,2)),VALUE(MID(LENH_GOC!G189,15,2)),VALUE(MID(LENH_GOC!G189,18,2)))))), "")</x:f>
      </x:c>
      <x:c r="O188" t="str">
        <x:f>IF($K188="","",IF(LENH_GOC!E189="","",LENH_GOC!E189))</x:f>
      </x:c>
      <x:c r="P188" t="str">
        <x:f>IF($K188="","",IF(LENH_GOC!F189="","",LENH_GOC!F189))</x:f>
      </x:c>
      <x:c r="Q188" t="str">
        <x:f>IFERROR(IF($K188="","",IF(LENH_GOC!P189="","",IFERROR(VALUE(LENH_GOC!P189),IF(OR(LENH_GOC!P189=TRUE,UPPER(TRIM(LENH_GOC!P189))="TRUE"),1,0)))),"")</x:f>
      </x:c>
      <x:c r="R188" t="str">
        <x:f>IF($K188="","",IF(LENH_GOC!Q189="","",LENH_GOC!Q189))</x:f>
      </x:c>
      <x:c r="S188" s="249" t="str">
        <x:f>IF($K188="","",IF(LENH_GOC!R189="","",LENH_GOC!R189))</x:f>
      </x:c>
      <x:c r="T188" t="n">
        <x:f>IFERROR(IF($K188="",0,IF(AND(ISNUMBER($N188),INT($N188)=CAI_DAT!$B$4,LEFT(UPPER(TRIM($L188)),2)=LEFT(UPPER(TRIM(CAI_DAT!$B$5)),2),$Q188=1,OR(AND($M188="SO",ISNUMBER($P188),$P188&gt;0),AND($M188="MO",ISNUMBER($O188),$O188&gt;0))),1,0)),0)</x:f>
        <x:v>0</x:v>
      </x:c>
      <x:c r="U188" t="str">
        <x:f>IFERROR(IF($T188=0,"",IF($M188="SO",$P188,IF(AND($M188="MO",OR($R188=TRUE,$R188="TRUE"),ISNUMBER($P188),$P188&gt;0),$P188,$O188))),"")</x:f>
      </x:c>
      <x:c r="V188" t="str">
        <x:f>IFERROR(IF($T188=0,"",MOD($N188,1)*86400),"")</x:f>
      </x:c>
      <x:c r="W188" t="str">
        <x:f>IFERROR(IF($T188=0,"",COUNTIFS($T$3:$T$202,1,$V$3:$V$202,"&lt;"&amp;$V188)+COUNTIFS($T$3:$T188,1,$V$3:$V188,$V188)),"")</x:f>
      </x:c>
      <x:c r="X188" t="str">
        <x:f>IFERROR(IF($T188=0,"",IF($M188="SO","SO: dùng CS hoàn thành",IF(AND($M188="MO",OR($R188=TRUE,$R188="TRUE"),ISNUMBER($P188),$P188&gt;0),"MO dừng sớm: dùng CS hoàn thành","MO: dùng CS ra lệnh"))),"")</x:f>
      </x:c>
    </x:row>
    <x:row r="189">
      <x:c r="J189" t="str">
        <x:f>IF(LENH_GOC!A190="","",190)</x:f>
      </x:c>
      <x:c r="K189" t="str">
        <x:f>IF(LENH_GOC!A190="","",LENH_GOC!A190)</x:f>
      </x:c>
      <x:c r="L189" t="str">
        <x:f>IF($K189="","",IFERROR(TRIM(LENH_GOC!C190),""))</x:f>
      </x:c>
      <x:c r="M189" t="str">
        <x:f>IF($K189="","",IFERROR(UPPER(TRIM(LENH_GOC!Y190)),""))</x:f>
      </x:c>
      <x:c r="N189" s="249" t="str">
        <x:f>IFERROR(IF($K189="","",IF(LENH_GOC!G190="","",IF(ISNUMBER(LENH_GOC!G190),LENH_GOC!G190,DATE(VALUE(MID(LENH_GOC!G190,7,4)),VALUE(MID(LENH_GOC!G190,4,2)),VALUE(LEFT(LENH_GOC!G190,2)))+TIME(VALUE(MID(LENH_GOC!G190,12,2)),VALUE(MID(LENH_GOC!G190,15,2)),VALUE(MID(LENH_GOC!G190,18,2)))))), "")</x:f>
      </x:c>
      <x:c r="O189" t="str">
        <x:f>IF($K189="","",IF(LENH_GOC!E190="","",LENH_GOC!E190))</x:f>
      </x:c>
      <x:c r="P189" t="str">
        <x:f>IF($K189="","",IF(LENH_GOC!F190="","",LENH_GOC!F190))</x:f>
      </x:c>
      <x:c r="Q189" t="str">
        <x:f>IFERROR(IF($K189="","",IF(LENH_GOC!P190="","",IFERROR(VALUE(LENH_GOC!P190),IF(OR(LENH_GOC!P190=TRUE,UPPER(TRIM(LENH_GOC!P190))="TRUE"),1,0)))),"")</x:f>
      </x:c>
      <x:c r="R189" t="str">
        <x:f>IF($K189="","",IF(LENH_GOC!Q190="","",LENH_GOC!Q190))</x:f>
      </x:c>
      <x:c r="S189" s="249" t="str">
        <x:f>IF($K189="","",IF(LENH_GOC!R190="","",LENH_GOC!R190))</x:f>
      </x:c>
      <x:c r="T189" t="n">
        <x:f>IFERROR(IF($K189="",0,IF(AND(ISNUMBER($N189),INT($N189)=CAI_DAT!$B$4,LEFT(UPPER(TRIM($L189)),2)=LEFT(UPPER(TRIM(CAI_DAT!$B$5)),2),$Q189=1,OR(AND($M189="SO",ISNUMBER($P189),$P189&gt;0),AND($M189="MO",ISNUMBER($O189),$O189&gt;0))),1,0)),0)</x:f>
        <x:v>0</x:v>
      </x:c>
      <x:c r="U189" t="str">
        <x:f>IFERROR(IF($T189=0,"",IF($M189="SO",$P189,IF(AND($M189="MO",OR($R189=TRUE,$R189="TRUE"),ISNUMBER($P189),$P189&gt;0),$P189,$O189))),"")</x:f>
      </x:c>
      <x:c r="V189" t="str">
        <x:f>IFERROR(IF($T189=0,"",MOD($N189,1)*86400),"")</x:f>
      </x:c>
      <x:c r="W189" t="str">
        <x:f>IFERROR(IF($T189=0,"",COUNTIFS($T$3:$T$202,1,$V$3:$V$202,"&lt;"&amp;$V189)+COUNTIFS($T$3:$T189,1,$V$3:$V189,$V189)),"")</x:f>
      </x:c>
      <x:c r="X189" t="str">
        <x:f>IFERROR(IF($T189=0,"",IF($M189="SO","SO: dùng CS hoàn thành",IF(AND($M189="MO",OR($R189=TRUE,$R189="TRUE"),ISNUMBER($P189),$P189&gt;0),"MO dừng sớm: dùng CS hoàn thành","MO: dùng CS ra lệnh"))),"")</x:f>
      </x:c>
    </x:row>
    <x:row r="190">
      <x:c r="J190" t="str">
        <x:f>IF(LENH_GOC!A191="","",191)</x:f>
      </x:c>
      <x:c r="K190" t="str">
        <x:f>IF(LENH_GOC!A191="","",LENH_GOC!A191)</x:f>
      </x:c>
      <x:c r="L190" t="str">
        <x:f>IF($K190="","",IFERROR(TRIM(LENH_GOC!C191),""))</x:f>
      </x:c>
      <x:c r="M190" t="str">
        <x:f>IF($K190="","",IFERROR(UPPER(TRIM(LENH_GOC!Y191)),""))</x:f>
      </x:c>
      <x:c r="N190" s="249" t="str">
        <x:f>IFERROR(IF($K190="","",IF(LENH_GOC!G191="","",IF(ISNUMBER(LENH_GOC!G191),LENH_GOC!G191,DATE(VALUE(MID(LENH_GOC!G191,7,4)),VALUE(MID(LENH_GOC!G191,4,2)),VALUE(LEFT(LENH_GOC!G191,2)))+TIME(VALUE(MID(LENH_GOC!G191,12,2)),VALUE(MID(LENH_GOC!G191,15,2)),VALUE(MID(LENH_GOC!G191,18,2)))))), "")</x:f>
      </x:c>
      <x:c r="O190" t="str">
        <x:f>IF($K190="","",IF(LENH_GOC!E191="","",LENH_GOC!E191))</x:f>
      </x:c>
      <x:c r="P190" t="str">
        <x:f>IF($K190="","",IF(LENH_GOC!F191="","",LENH_GOC!F191))</x:f>
      </x:c>
      <x:c r="Q190" t="str">
        <x:f>IFERROR(IF($K190="","",IF(LENH_GOC!P191="","",IFERROR(VALUE(LENH_GOC!P191),IF(OR(LENH_GOC!P191=TRUE,UPPER(TRIM(LENH_GOC!P191))="TRUE"),1,0)))),"")</x:f>
      </x:c>
      <x:c r="R190" t="str">
        <x:f>IF($K190="","",IF(LENH_GOC!Q191="","",LENH_GOC!Q191))</x:f>
      </x:c>
      <x:c r="S190" s="249" t="str">
        <x:f>IF($K190="","",IF(LENH_GOC!R191="","",LENH_GOC!R191))</x:f>
      </x:c>
      <x:c r="T190" t="n">
        <x:f>IFERROR(IF($K190="",0,IF(AND(ISNUMBER($N190),INT($N190)=CAI_DAT!$B$4,LEFT(UPPER(TRIM($L190)),2)=LEFT(UPPER(TRIM(CAI_DAT!$B$5)),2),$Q190=1,OR(AND($M190="SO",ISNUMBER($P190),$P190&gt;0),AND($M190="MO",ISNUMBER($O190),$O190&gt;0))),1,0)),0)</x:f>
        <x:v>0</x:v>
      </x:c>
      <x:c r="U190" t="str">
        <x:f>IFERROR(IF($T190=0,"",IF($M190="SO",$P190,IF(AND($M190="MO",OR($R190=TRUE,$R190="TRUE"),ISNUMBER($P190),$P190&gt;0),$P190,$O190))),"")</x:f>
      </x:c>
      <x:c r="V190" t="str">
        <x:f>IFERROR(IF($T190=0,"",MOD($N190,1)*86400),"")</x:f>
      </x:c>
      <x:c r="W190" t="str">
        <x:f>IFERROR(IF($T190=0,"",COUNTIFS($T$3:$T$202,1,$V$3:$V$202,"&lt;"&amp;$V190)+COUNTIFS($T$3:$T190,1,$V$3:$V190,$V190)),"")</x:f>
      </x:c>
      <x:c r="X190" t="str">
        <x:f>IFERROR(IF($T190=0,"",IF($M190="SO","SO: dùng CS hoàn thành",IF(AND($M190="MO",OR($R190=TRUE,$R190="TRUE"),ISNUMBER($P190),$P190&gt;0),"MO dừng sớm: dùng CS hoàn thành","MO: dùng CS ra lệnh"))),"")</x:f>
      </x:c>
    </x:row>
    <x:row r="191">
      <x:c r="J191" t="str">
        <x:f>IF(LENH_GOC!A192="","",192)</x:f>
      </x:c>
      <x:c r="K191" t="str">
        <x:f>IF(LENH_GOC!A192="","",LENH_GOC!A192)</x:f>
      </x:c>
      <x:c r="L191" t="str">
        <x:f>IF($K191="","",IFERROR(TRIM(LENH_GOC!C192),""))</x:f>
      </x:c>
      <x:c r="M191" t="str">
        <x:f>IF($K191="","",IFERROR(UPPER(TRIM(LENH_GOC!Y192)),""))</x:f>
      </x:c>
      <x:c r="N191" s="249" t="str">
        <x:f>IFERROR(IF($K191="","",IF(LENH_GOC!G192="","",IF(ISNUMBER(LENH_GOC!G192),LENH_GOC!G192,DATE(VALUE(MID(LENH_GOC!G192,7,4)),VALUE(MID(LENH_GOC!G192,4,2)),VALUE(LEFT(LENH_GOC!G192,2)))+TIME(VALUE(MID(LENH_GOC!G192,12,2)),VALUE(MID(LENH_GOC!G192,15,2)),VALUE(MID(LENH_GOC!G192,18,2)))))), "")</x:f>
      </x:c>
      <x:c r="O191" t="str">
        <x:f>IF($K191="","",IF(LENH_GOC!E192="","",LENH_GOC!E192))</x:f>
      </x:c>
      <x:c r="P191" t="str">
        <x:f>IF($K191="","",IF(LENH_GOC!F192="","",LENH_GOC!F192))</x:f>
      </x:c>
      <x:c r="Q191" t="str">
        <x:f>IFERROR(IF($K191="","",IF(LENH_GOC!P192="","",IFERROR(VALUE(LENH_GOC!P192),IF(OR(LENH_GOC!P192=TRUE,UPPER(TRIM(LENH_GOC!P192))="TRUE"),1,0)))),"")</x:f>
      </x:c>
      <x:c r="R191" t="str">
        <x:f>IF($K191="","",IF(LENH_GOC!Q192="","",LENH_GOC!Q192))</x:f>
      </x:c>
      <x:c r="S191" s="249" t="str">
        <x:f>IF($K191="","",IF(LENH_GOC!R192="","",LENH_GOC!R192))</x:f>
      </x:c>
      <x:c r="T191" t="n">
        <x:f>IFERROR(IF($K191="",0,IF(AND(ISNUMBER($N191),INT($N191)=CAI_DAT!$B$4,LEFT(UPPER(TRIM($L191)),2)=LEFT(UPPER(TRIM(CAI_DAT!$B$5)),2),$Q191=1,OR(AND($M191="SO",ISNUMBER($P191),$P191&gt;0),AND($M191="MO",ISNUMBER($O191),$O191&gt;0))),1,0)),0)</x:f>
        <x:v>0</x:v>
      </x:c>
      <x:c r="U191" t="str">
        <x:f>IFERROR(IF($T191=0,"",IF($M191="SO",$P191,IF(AND($M191="MO",OR($R191=TRUE,$R191="TRUE"),ISNUMBER($P191),$P191&gt;0),$P191,$O191))),"")</x:f>
      </x:c>
      <x:c r="V191" t="str">
        <x:f>IFERROR(IF($T191=0,"",MOD($N191,1)*86400),"")</x:f>
      </x:c>
      <x:c r="W191" t="str">
        <x:f>IFERROR(IF($T191=0,"",COUNTIFS($T$3:$T$202,1,$V$3:$V$202,"&lt;"&amp;$V191)+COUNTIFS($T$3:$T191,1,$V$3:$V191,$V191)),"")</x:f>
      </x:c>
      <x:c r="X191" t="str">
        <x:f>IFERROR(IF($T191=0,"",IF($M191="SO","SO: dùng CS hoàn thành",IF(AND($M191="MO",OR($R191=TRUE,$R191="TRUE"),ISNUMBER($P191),$P191&gt;0),"MO dừng sớm: dùng CS hoàn thành","MO: dùng CS ra lệnh"))),"")</x:f>
      </x:c>
    </x:row>
    <x:row r="192">
      <x:c r="J192" t="str">
        <x:f>IF(LENH_GOC!A193="","",193)</x:f>
      </x:c>
      <x:c r="K192" t="str">
        <x:f>IF(LENH_GOC!A193="","",LENH_GOC!A193)</x:f>
      </x:c>
      <x:c r="L192" t="str">
        <x:f>IF($K192="","",IFERROR(TRIM(LENH_GOC!C193),""))</x:f>
      </x:c>
      <x:c r="M192" t="str">
        <x:f>IF($K192="","",IFERROR(UPPER(TRIM(LENH_GOC!Y193)),""))</x:f>
      </x:c>
      <x:c r="N192" s="249" t="str">
        <x:f>IFERROR(IF($K192="","",IF(LENH_GOC!G193="","",IF(ISNUMBER(LENH_GOC!G193),LENH_GOC!G193,DATE(VALUE(MID(LENH_GOC!G193,7,4)),VALUE(MID(LENH_GOC!G193,4,2)),VALUE(LEFT(LENH_GOC!G193,2)))+TIME(VALUE(MID(LENH_GOC!G193,12,2)),VALUE(MID(LENH_GOC!G193,15,2)),VALUE(MID(LENH_GOC!G193,18,2)))))), "")</x:f>
      </x:c>
      <x:c r="O192" t="str">
        <x:f>IF($K192="","",IF(LENH_GOC!E193="","",LENH_GOC!E193))</x:f>
      </x:c>
      <x:c r="P192" t="str">
        <x:f>IF($K192="","",IF(LENH_GOC!F193="","",LENH_GOC!F193))</x:f>
      </x:c>
      <x:c r="Q192" t="str">
        <x:f>IFERROR(IF($K192="","",IF(LENH_GOC!P193="","",IFERROR(VALUE(LENH_GOC!P193),IF(OR(LENH_GOC!P193=TRUE,UPPER(TRIM(LENH_GOC!P193))="TRUE"),1,0)))),"")</x:f>
      </x:c>
      <x:c r="R192" t="str">
        <x:f>IF($K192="","",IF(LENH_GOC!Q193="","",LENH_GOC!Q193))</x:f>
      </x:c>
      <x:c r="S192" s="249" t="str">
        <x:f>IF($K192="","",IF(LENH_GOC!R193="","",LENH_GOC!R193))</x:f>
      </x:c>
      <x:c r="T192" t="n">
        <x:f>IFERROR(IF($K192="",0,IF(AND(ISNUMBER($N192),INT($N192)=CAI_DAT!$B$4,LEFT(UPPER(TRIM($L192)),2)=LEFT(UPPER(TRIM(CAI_DAT!$B$5)),2),$Q192=1,OR(AND($M192="SO",ISNUMBER($P192),$P192&gt;0),AND($M192="MO",ISNUMBER($O192),$O192&gt;0))),1,0)),0)</x:f>
        <x:v>0</x:v>
      </x:c>
      <x:c r="U192" t="str">
        <x:f>IFERROR(IF($T192=0,"",IF($M192="SO",$P192,IF(AND($M192="MO",OR($R192=TRUE,$R192="TRUE"),ISNUMBER($P192),$P192&gt;0),$P192,$O192))),"")</x:f>
      </x:c>
      <x:c r="V192" t="str">
        <x:f>IFERROR(IF($T192=0,"",MOD($N192,1)*86400),"")</x:f>
      </x:c>
      <x:c r="W192" t="str">
        <x:f>IFERROR(IF($T192=0,"",COUNTIFS($T$3:$T$202,1,$V$3:$V$202,"&lt;"&amp;$V192)+COUNTIFS($T$3:$T192,1,$V$3:$V192,$V192)),"")</x:f>
      </x:c>
      <x:c r="X192" t="str">
        <x:f>IFERROR(IF($T192=0,"",IF($M192="SO","SO: dùng CS hoàn thành",IF(AND($M192="MO",OR($R192=TRUE,$R192="TRUE"),ISNUMBER($P192),$P192&gt;0),"MO dừng sớm: dùng CS hoàn thành","MO: dùng CS ra lệnh"))),"")</x:f>
      </x:c>
    </x:row>
    <x:row r="193">
      <x:c r="J193" t="str">
        <x:f>IF(LENH_GOC!A194="","",194)</x:f>
      </x:c>
      <x:c r="K193" t="str">
        <x:f>IF(LENH_GOC!A194="","",LENH_GOC!A194)</x:f>
      </x:c>
      <x:c r="L193" t="str">
        <x:f>IF($K193="","",IFERROR(TRIM(LENH_GOC!C194),""))</x:f>
      </x:c>
      <x:c r="M193" t="str">
        <x:f>IF($K193="","",IFERROR(UPPER(TRIM(LENH_GOC!Y194)),""))</x:f>
      </x:c>
      <x:c r="N193" s="249" t="str">
        <x:f>IFERROR(IF($K193="","",IF(LENH_GOC!G194="","",IF(ISNUMBER(LENH_GOC!G194),LENH_GOC!G194,DATE(VALUE(MID(LENH_GOC!G194,7,4)),VALUE(MID(LENH_GOC!G194,4,2)),VALUE(LEFT(LENH_GOC!G194,2)))+TIME(VALUE(MID(LENH_GOC!G194,12,2)),VALUE(MID(LENH_GOC!G194,15,2)),VALUE(MID(LENH_GOC!G194,18,2)))))), "")</x:f>
      </x:c>
      <x:c r="O193" t="str">
        <x:f>IF($K193="","",IF(LENH_GOC!E194="","",LENH_GOC!E194))</x:f>
      </x:c>
      <x:c r="P193" t="str">
        <x:f>IF($K193="","",IF(LENH_GOC!F194="","",LENH_GOC!F194))</x:f>
      </x:c>
      <x:c r="Q193" t="str">
        <x:f>IFERROR(IF($K193="","",IF(LENH_GOC!P194="","",IFERROR(VALUE(LENH_GOC!P194),IF(OR(LENH_GOC!P194=TRUE,UPPER(TRIM(LENH_GOC!P194))="TRUE"),1,0)))),"")</x:f>
      </x:c>
      <x:c r="R193" t="str">
        <x:f>IF($K193="","",IF(LENH_GOC!Q194="","",LENH_GOC!Q194))</x:f>
      </x:c>
      <x:c r="S193" s="249" t="str">
        <x:f>IF($K193="","",IF(LENH_GOC!R194="","",LENH_GOC!R194))</x:f>
      </x:c>
      <x:c r="T193" t="n">
        <x:f>IFERROR(IF($K193="",0,IF(AND(ISNUMBER($N193),INT($N193)=CAI_DAT!$B$4,LEFT(UPPER(TRIM($L193)),2)=LEFT(UPPER(TRIM(CAI_DAT!$B$5)),2),$Q193=1,OR(AND($M193="SO",ISNUMBER($P193),$P193&gt;0),AND($M193="MO",ISNUMBER($O193),$O193&gt;0))),1,0)),0)</x:f>
        <x:v>0</x:v>
      </x:c>
      <x:c r="U193" t="str">
        <x:f>IFERROR(IF($T193=0,"",IF($M193="SO",$P193,IF(AND($M193="MO",OR($R193=TRUE,$R193="TRUE"),ISNUMBER($P193),$P193&gt;0),$P193,$O193))),"")</x:f>
      </x:c>
      <x:c r="V193" t="str">
        <x:f>IFERROR(IF($T193=0,"",MOD($N193,1)*86400),"")</x:f>
      </x:c>
      <x:c r="W193" t="str">
        <x:f>IFERROR(IF($T193=0,"",COUNTIFS($T$3:$T$202,1,$V$3:$V$202,"&lt;"&amp;$V193)+COUNTIFS($T$3:$T193,1,$V$3:$V193,$V193)),"")</x:f>
      </x:c>
      <x:c r="X193" t="str">
        <x:f>IFERROR(IF($T193=0,"",IF($M193="SO","SO: dùng CS hoàn thành",IF(AND($M193="MO",OR($R193=TRUE,$R193="TRUE"),ISNUMBER($P193),$P193&gt;0),"MO dừng sớm: dùng CS hoàn thành","MO: dùng CS ra lệnh"))),"")</x:f>
      </x:c>
    </x:row>
    <x:row r="194">
      <x:c r="J194" t="str">
        <x:f>IF(LENH_GOC!A195="","",195)</x:f>
      </x:c>
      <x:c r="K194" t="str">
        <x:f>IF(LENH_GOC!A195="","",LENH_GOC!A195)</x:f>
      </x:c>
      <x:c r="L194" t="str">
        <x:f>IF($K194="","",IFERROR(TRIM(LENH_GOC!C195),""))</x:f>
      </x:c>
      <x:c r="M194" t="str">
        <x:f>IF($K194="","",IFERROR(UPPER(TRIM(LENH_GOC!Y195)),""))</x:f>
      </x:c>
      <x:c r="N194" s="249" t="str">
        <x:f>IFERROR(IF($K194="","",IF(LENH_GOC!G195="","",IF(ISNUMBER(LENH_GOC!G195),LENH_GOC!G195,DATE(VALUE(MID(LENH_GOC!G195,7,4)),VALUE(MID(LENH_GOC!G195,4,2)),VALUE(LEFT(LENH_GOC!G195,2)))+TIME(VALUE(MID(LENH_GOC!G195,12,2)),VALUE(MID(LENH_GOC!G195,15,2)),VALUE(MID(LENH_GOC!G195,18,2)))))), "")</x:f>
      </x:c>
      <x:c r="O194" t="str">
        <x:f>IF($K194="","",IF(LENH_GOC!E195="","",LENH_GOC!E195))</x:f>
      </x:c>
      <x:c r="P194" t="str">
        <x:f>IF($K194="","",IF(LENH_GOC!F195="","",LENH_GOC!F195))</x:f>
      </x:c>
      <x:c r="Q194" t="str">
        <x:f>IFERROR(IF($K194="","",IF(LENH_GOC!P195="","",IFERROR(VALUE(LENH_GOC!P195),IF(OR(LENH_GOC!P195=TRUE,UPPER(TRIM(LENH_GOC!P195))="TRUE"),1,0)))),"")</x:f>
      </x:c>
      <x:c r="R194" t="str">
        <x:f>IF($K194="","",IF(LENH_GOC!Q195="","",LENH_GOC!Q195))</x:f>
      </x:c>
      <x:c r="S194" s="249" t="str">
        <x:f>IF($K194="","",IF(LENH_GOC!R195="","",LENH_GOC!R195))</x:f>
      </x:c>
      <x:c r="T194" t="n">
        <x:f>IFERROR(IF($K194="",0,IF(AND(ISNUMBER($N194),INT($N194)=CAI_DAT!$B$4,LEFT(UPPER(TRIM($L194)),2)=LEFT(UPPER(TRIM(CAI_DAT!$B$5)),2),$Q194=1,OR(AND($M194="SO",ISNUMBER($P194),$P194&gt;0),AND($M194="MO",ISNUMBER($O194),$O194&gt;0))),1,0)),0)</x:f>
        <x:v>0</x:v>
      </x:c>
      <x:c r="U194" t="str">
        <x:f>IFERROR(IF($T194=0,"",IF($M194="SO",$P194,IF(AND($M194="MO",OR($R194=TRUE,$R194="TRUE"),ISNUMBER($P194),$P194&gt;0),$P194,$O194))),"")</x:f>
      </x:c>
      <x:c r="V194" t="str">
        <x:f>IFERROR(IF($T194=0,"",MOD($N194,1)*86400),"")</x:f>
      </x:c>
      <x:c r="W194" t="str">
        <x:f>IFERROR(IF($T194=0,"",COUNTIFS($T$3:$T$202,1,$V$3:$V$202,"&lt;"&amp;$V194)+COUNTIFS($T$3:$T194,1,$V$3:$V194,$V194)),"")</x:f>
      </x:c>
      <x:c r="X194" t="str">
        <x:f>IFERROR(IF($T194=0,"",IF($M194="SO","SO: dùng CS hoàn thành",IF(AND($M194="MO",OR($R194=TRUE,$R194="TRUE"),ISNUMBER($P194),$P194&gt;0),"MO dừng sớm: dùng CS hoàn thành","MO: dùng CS ra lệnh"))),"")</x:f>
      </x:c>
    </x:row>
    <x:row r="195">
      <x:c r="J195" t="str">
        <x:f>IF(LENH_GOC!A196="","",196)</x:f>
      </x:c>
      <x:c r="K195" t="str">
        <x:f>IF(LENH_GOC!A196="","",LENH_GOC!A196)</x:f>
      </x:c>
      <x:c r="L195" t="str">
        <x:f>IF($K195="","",IFERROR(TRIM(LENH_GOC!C196),""))</x:f>
      </x:c>
      <x:c r="M195" t="str">
        <x:f>IF($K195="","",IFERROR(UPPER(TRIM(LENH_GOC!Y196)),""))</x:f>
      </x:c>
      <x:c r="N195" s="249" t="str">
        <x:f>IFERROR(IF($K195="","",IF(LENH_GOC!G196="","",IF(ISNUMBER(LENH_GOC!G196),LENH_GOC!G196,DATE(VALUE(MID(LENH_GOC!G196,7,4)),VALUE(MID(LENH_GOC!G196,4,2)),VALUE(LEFT(LENH_GOC!G196,2)))+TIME(VALUE(MID(LENH_GOC!G196,12,2)),VALUE(MID(LENH_GOC!G196,15,2)),VALUE(MID(LENH_GOC!G196,18,2)))))), "")</x:f>
      </x:c>
      <x:c r="O195" t="str">
        <x:f>IF($K195="","",IF(LENH_GOC!E196="","",LENH_GOC!E196))</x:f>
      </x:c>
      <x:c r="P195" t="str">
        <x:f>IF($K195="","",IF(LENH_GOC!F196="","",LENH_GOC!F196))</x:f>
      </x:c>
      <x:c r="Q195" t="str">
        <x:f>IFERROR(IF($K195="","",IF(LENH_GOC!P196="","",IFERROR(VALUE(LENH_GOC!P196),IF(OR(LENH_GOC!P196=TRUE,UPPER(TRIM(LENH_GOC!P196))="TRUE"),1,0)))),"")</x:f>
      </x:c>
      <x:c r="R195" t="str">
        <x:f>IF($K195="","",IF(LENH_GOC!Q196="","",LENH_GOC!Q196))</x:f>
      </x:c>
      <x:c r="S195" s="249" t="str">
        <x:f>IF($K195="","",IF(LENH_GOC!R196="","",LENH_GOC!R196))</x:f>
      </x:c>
      <x:c r="T195" t="n">
        <x:f>IFERROR(IF($K195="",0,IF(AND(ISNUMBER($N195),INT($N195)=CAI_DAT!$B$4,LEFT(UPPER(TRIM($L195)),2)=LEFT(UPPER(TRIM(CAI_DAT!$B$5)),2),$Q195=1,OR(AND($M195="SO",ISNUMBER($P195),$P195&gt;0),AND($M195="MO",ISNUMBER($O195),$O195&gt;0))),1,0)),0)</x:f>
        <x:v>0</x:v>
      </x:c>
      <x:c r="U195" t="str">
        <x:f>IFERROR(IF($T195=0,"",IF($M195="SO",$P195,IF(AND($M195="MO",OR($R195=TRUE,$R195="TRUE"),ISNUMBER($P195),$P195&gt;0),$P195,$O195))),"")</x:f>
      </x:c>
      <x:c r="V195" t="str">
        <x:f>IFERROR(IF($T195=0,"",MOD($N195,1)*86400),"")</x:f>
      </x:c>
      <x:c r="W195" t="str">
        <x:f>IFERROR(IF($T195=0,"",COUNTIFS($T$3:$T$202,1,$V$3:$V$202,"&lt;"&amp;$V195)+COUNTIFS($T$3:$T195,1,$V$3:$V195,$V195)),"")</x:f>
      </x:c>
      <x:c r="X195" t="str">
        <x:f>IFERROR(IF($T195=0,"",IF($M195="SO","SO: dùng CS hoàn thành",IF(AND($M195="MO",OR($R195=TRUE,$R195="TRUE"),ISNUMBER($P195),$P195&gt;0),"MO dừng sớm: dùng CS hoàn thành","MO: dùng CS ra lệnh"))),"")</x:f>
      </x:c>
    </x:row>
    <x:row r="196">
      <x:c r="J196" t="str">
        <x:f>IF(LENH_GOC!A197="","",197)</x:f>
      </x:c>
      <x:c r="K196" t="str">
        <x:f>IF(LENH_GOC!A197="","",LENH_GOC!A197)</x:f>
      </x:c>
      <x:c r="L196" t="str">
        <x:f>IF($K196="","",IFERROR(TRIM(LENH_GOC!C197),""))</x:f>
      </x:c>
      <x:c r="M196" t="str">
        <x:f>IF($K196="","",IFERROR(UPPER(TRIM(LENH_GOC!Y197)),""))</x:f>
      </x:c>
      <x:c r="N196" s="249" t="str">
        <x:f>IFERROR(IF($K196="","",IF(LENH_GOC!G197="","",IF(ISNUMBER(LENH_GOC!G197),LENH_GOC!G197,DATE(VALUE(MID(LENH_GOC!G197,7,4)),VALUE(MID(LENH_GOC!G197,4,2)),VALUE(LEFT(LENH_GOC!G197,2)))+TIME(VALUE(MID(LENH_GOC!G197,12,2)),VALUE(MID(LENH_GOC!G197,15,2)),VALUE(MID(LENH_GOC!G197,18,2)))))), "")</x:f>
      </x:c>
      <x:c r="O196" t="str">
        <x:f>IF($K196="","",IF(LENH_GOC!E197="","",LENH_GOC!E197))</x:f>
      </x:c>
      <x:c r="P196" t="str">
        <x:f>IF($K196="","",IF(LENH_GOC!F197="","",LENH_GOC!F197))</x:f>
      </x:c>
      <x:c r="Q196" t="str">
        <x:f>IFERROR(IF($K196="","",IF(LENH_GOC!P197="","",IFERROR(VALUE(LENH_GOC!P197),IF(OR(LENH_GOC!P197=TRUE,UPPER(TRIM(LENH_GOC!P197))="TRUE"),1,0)))),"")</x:f>
      </x:c>
      <x:c r="R196" t="str">
        <x:f>IF($K196="","",IF(LENH_GOC!Q197="","",LENH_GOC!Q197))</x:f>
      </x:c>
      <x:c r="S196" s="249" t="str">
        <x:f>IF($K196="","",IF(LENH_GOC!R197="","",LENH_GOC!R197))</x:f>
      </x:c>
      <x:c r="T196" t="n">
        <x:f>IFERROR(IF($K196="",0,IF(AND(ISNUMBER($N196),INT($N196)=CAI_DAT!$B$4,LEFT(UPPER(TRIM($L196)),2)=LEFT(UPPER(TRIM(CAI_DAT!$B$5)),2),$Q196=1,OR(AND($M196="SO",ISNUMBER($P196),$P196&gt;0),AND($M196="MO",ISNUMBER($O196),$O196&gt;0))),1,0)),0)</x:f>
        <x:v>0</x:v>
      </x:c>
      <x:c r="U196" t="str">
        <x:f>IFERROR(IF($T196=0,"",IF($M196="SO",$P196,IF(AND($M196="MO",OR($R196=TRUE,$R196="TRUE"),ISNUMBER($P196),$P196&gt;0),$P196,$O196))),"")</x:f>
      </x:c>
      <x:c r="V196" t="str">
        <x:f>IFERROR(IF($T196=0,"",MOD($N196,1)*86400),"")</x:f>
      </x:c>
      <x:c r="W196" t="str">
        <x:f>IFERROR(IF($T196=0,"",COUNTIFS($T$3:$T$202,1,$V$3:$V$202,"&lt;"&amp;$V196)+COUNTIFS($T$3:$T196,1,$V$3:$V196,$V196)),"")</x:f>
      </x:c>
      <x:c r="X196" t="str">
        <x:f>IFERROR(IF($T196=0,"",IF($M196="SO","SO: dùng CS hoàn thành",IF(AND($M196="MO",OR($R196=TRUE,$R196="TRUE"),ISNUMBER($P196),$P196&gt;0),"MO dừng sớm: dùng CS hoàn thành","MO: dùng CS ra lệnh"))),"")</x:f>
      </x:c>
    </x:row>
    <x:row r="197">
      <x:c r="J197" t="str">
        <x:f>IF(LENH_GOC!A198="","",198)</x:f>
      </x:c>
      <x:c r="K197" t="str">
        <x:f>IF(LENH_GOC!A198="","",LENH_GOC!A198)</x:f>
      </x:c>
      <x:c r="L197" t="str">
        <x:f>IF($K197="","",IFERROR(TRIM(LENH_GOC!C198),""))</x:f>
      </x:c>
      <x:c r="M197" t="str">
        <x:f>IF($K197="","",IFERROR(UPPER(TRIM(LENH_GOC!Y198)),""))</x:f>
      </x:c>
      <x:c r="N197" s="249" t="str">
        <x:f>IFERROR(IF($K197="","",IF(LENH_GOC!G198="","",IF(ISNUMBER(LENH_GOC!G198),LENH_GOC!G198,DATE(VALUE(MID(LENH_GOC!G198,7,4)),VALUE(MID(LENH_GOC!G198,4,2)),VALUE(LEFT(LENH_GOC!G198,2)))+TIME(VALUE(MID(LENH_GOC!G198,12,2)),VALUE(MID(LENH_GOC!G198,15,2)),VALUE(MID(LENH_GOC!G198,18,2)))))), "")</x:f>
      </x:c>
      <x:c r="O197" t="str">
        <x:f>IF($K197="","",IF(LENH_GOC!E198="","",LENH_GOC!E198))</x:f>
      </x:c>
      <x:c r="P197" t="str">
        <x:f>IF($K197="","",IF(LENH_GOC!F198="","",LENH_GOC!F198))</x:f>
      </x:c>
      <x:c r="Q197" t="str">
        <x:f>IFERROR(IF($K197="","",IF(LENH_GOC!P198="","",IFERROR(VALUE(LENH_GOC!P198),IF(OR(LENH_GOC!P198=TRUE,UPPER(TRIM(LENH_GOC!P198))="TRUE"),1,0)))),"")</x:f>
      </x:c>
      <x:c r="R197" t="str">
        <x:f>IF($K197="","",IF(LENH_GOC!Q198="","",LENH_GOC!Q198))</x:f>
      </x:c>
      <x:c r="S197" s="249" t="str">
        <x:f>IF($K197="","",IF(LENH_GOC!R198="","",LENH_GOC!R198))</x:f>
      </x:c>
      <x:c r="T197" t="n">
        <x:f>IFERROR(IF($K197="",0,IF(AND(ISNUMBER($N197),INT($N197)=CAI_DAT!$B$4,LEFT(UPPER(TRIM($L197)),2)=LEFT(UPPER(TRIM(CAI_DAT!$B$5)),2),$Q197=1,OR(AND($M197="SO",ISNUMBER($P197),$P197&gt;0),AND($M197="MO",ISNUMBER($O197),$O197&gt;0))),1,0)),0)</x:f>
        <x:v>0</x:v>
      </x:c>
      <x:c r="U197" t="str">
        <x:f>IFERROR(IF($T197=0,"",IF($M197="SO",$P197,IF(AND($M197="MO",OR($R197=TRUE,$R197="TRUE"),ISNUMBER($P197),$P197&gt;0),$P197,$O197))),"")</x:f>
      </x:c>
      <x:c r="V197" t="str">
        <x:f>IFERROR(IF($T197=0,"",MOD($N197,1)*86400),"")</x:f>
      </x:c>
      <x:c r="W197" t="str">
        <x:f>IFERROR(IF($T197=0,"",COUNTIFS($T$3:$T$202,1,$V$3:$V$202,"&lt;"&amp;$V197)+COUNTIFS($T$3:$T197,1,$V$3:$V197,$V197)),"")</x:f>
      </x:c>
      <x:c r="X197" t="str">
        <x:f>IFERROR(IF($T197=0,"",IF($M197="SO","SO: dùng CS hoàn thành",IF(AND($M197="MO",OR($R197=TRUE,$R197="TRUE"),ISNUMBER($P197),$P197&gt;0),"MO dừng sớm: dùng CS hoàn thành","MO: dùng CS ra lệnh"))),"")</x:f>
      </x:c>
    </x:row>
    <x:row r="198">
      <x:c r="J198" t="str">
        <x:f>IF(LENH_GOC!A199="","",199)</x:f>
      </x:c>
      <x:c r="K198" t="str">
        <x:f>IF(LENH_GOC!A199="","",LENH_GOC!A199)</x:f>
      </x:c>
      <x:c r="L198" t="str">
        <x:f>IF($K198="","",IFERROR(TRIM(LENH_GOC!C199),""))</x:f>
      </x:c>
      <x:c r="M198" t="str">
        <x:f>IF($K198="","",IFERROR(UPPER(TRIM(LENH_GOC!Y199)),""))</x:f>
      </x:c>
      <x:c r="N198" s="249" t="str">
        <x:f>IFERROR(IF($K198="","",IF(LENH_GOC!G199="","",IF(ISNUMBER(LENH_GOC!G199),LENH_GOC!G199,DATE(VALUE(MID(LENH_GOC!G199,7,4)),VALUE(MID(LENH_GOC!G199,4,2)),VALUE(LEFT(LENH_GOC!G199,2)))+TIME(VALUE(MID(LENH_GOC!G199,12,2)),VALUE(MID(LENH_GOC!G199,15,2)),VALUE(MID(LENH_GOC!G199,18,2)))))), "")</x:f>
      </x:c>
      <x:c r="O198" t="str">
        <x:f>IF($K198="","",IF(LENH_GOC!E199="","",LENH_GOC!E199))</x:f>
      </x:c>
      <x:c r="P198" t="str">
        <x:f>IF($K198="","",IF(LENH_GOC!F199="","",LENH_GOC!F199))</x:f>
      </x:c>
      <x:c r="Q198" t="str">
        <x:f>IFERROR(IF($K198="","",IF(LENH_GOC!P199="","",IFERROR(VALUE(LENH_GOC!P199),IF(OR(LENH_GOC!P199=TRUE,UPPER(TRIM(LENH_GOC!P199))="TRUE"),1,0)))),"")</x:f>
      </x:c>
      <x:c r="R198" t="str">
        <x:f>IF($K198="","",IF(LENH_GOC!Q199="","",LENH_GOC!Q199))</x:f>
      </x:c>
      <x:c r="S198" s="249" t="str">
        <x:f>IF($K198="","",IF(LENH_GOC!R199="","",LENH_GOC!R199))</x:f>
      </x:c>
      <x:c r="T198" t="n">
        <x:f>IFERROR(IF($K198="",0,IF(AND(ISNUMBER($N198),INT($N198)=CAI_DAT!$B$4,LEFT(UPPER(TRIM($L198)),2)=LEFT(UPPER(TRIM(CAI_DAT!$B$5)),2),$Q198=1,OR(AND($M198="SO",ISNUMBER($P198),$P198&gt;0),AND($M198="MO",ISNUMBER($O198),$O198&gt;0))),1,0)),0)</x:f>
        <x:v>0</x:v>
      </x:c>
      <x:c r="U198" t="str">
        <x:f>IFERROR(IF($T198=0,"",IF($M198="SO",$P198,IF(AND($M198="MO",OR($R198=TRUE,$R198="TRUE"),ISNUMBER($P198),$P198&gt;0),$P198,$O198))),"")</x:f>
      </x:c>
      <x:c r="V198" t="str">
        <x:f>IFERROR(IF($T198=0,"",MOD($N198,1)*86400),"")</x:f>
      </x:c>
      <x:c r="W198" t="str">
        <x:f>IFERROR(IF($T198=0,"",COUNTIFS($T$3:$T$202,1,$V$3:$V$202,"&lt;"&amp;$V198)+COUNTIFS($T$3:$T198,1,$V$3:$V198,$V198)),"")</x:f>
      </x:c>
      <x:c r="X198" t="str">
        <x:f>IFERROR(IF($T198=0,"",IF($M198="SO","SO: dùng CS hoàn thành",IF(AND($M198="MO",OR($R198=TRUE,$R198="TRUE"),ISNUMBER($P198),$P198&gt;0),"MO dừng sớm: dùng CS hoàn thành","MO: dùng CS ra lệnh"))),"")</x:f>
      </x:c>
    </x:row>
    <x:row r="199">
      <x:c r="J199" t="str">
        <x:f>IF(LENH_GOC!A200="","",200)</x:f>
      </x:c>
      <x:c r="K199" t="str">
        <x:f>IF(LENH_GOC!A200="","",LENH_GOC!A200)</x:f>
      </x:c>
      <x:c r="L199" t="str">
        <x:f>IF($K199="","",IFERROR(TRIM(LENH_GOC!C200),""))</x:f>
      </x:c>
      <x:c r="M199" t="str">
        <x:f>IF($K199="","",IFERROR(UPPER(TRIM(LENH_GOC!Y200)),""))</x:f>
      </x:c>
      <x:c r="N199" s="249" t="str">
        <x:f>IFERROR(IF($K199="","",IF(LENH_GOC!G200="","",IF(ISNUMBER(LENH_GOC!G200),LENH_GOC!G200,DATE(VALUE(MID(LENH_GOC!G200,7,4)),VALUE(MID(LENH_GOC!G200,4,2)),VALUE(LEFT(LENH_GOC!G200,2)))+TIME(VALUE(MID(LENH_GOC!G200,12,2)),VALUE(MID(LENH_GOC!G200,15,2)),VALUE(MID(LENH_GOC!G200,18,2)))))), "")</x:f>
      </x:c>
      <x:c r="O199" t="str">
        <x:f>IF($K199="","",IF(LENH_GOC!E200="","",LENH_GOC!E200))</x:f>
      </x:c>
      <x:c r="P199" t="str">
        <x:f>IF($K199="","",IF(LENH_GOC!F200="","",LENH_GOC!F200))</x:f>
      </x:c>
      <x:c r="Q199" t="str">
        <x:f>IFERROR(IF($K199="","",IF(LENH_GOC!P200="","",IFERROR(VALUE(LENH_GOC!P200),IF(OR(LENH_GOC!P200=TRUE,UPPER(TRIM(LENH_GOC!P200))="TRUE"),1,0)))),"")</x:f>
      </x:c>
      <x:c r="R199" t="str">
        <x:f>IF($K199="","",IF(LENH_GOC!Q200="","",LENH_GOC!Q200))</x:f>
      </x:c>
      <x:c r="S199" s="249" t="str">
        <x:f>IF($K199="","",IF(LENH_GOC!R200="","",LENH_GOC!R200))</x:f>
      </x:c>
      <x:c r="T199" t="n">
        <x:f>IFERROR(IF($K199="",0,IF(AND(ISNUMBER($N199),INT($N199)=CAI_DAT!$B$4,LEFT(UPPER(TRIM($L199)),2)=LEFT(UPPER(TRIM(CAI_DAT!$B$5)),2),$Q199=1,OR(AND($M199="SO",ISNUMBER($P199),$P199&gt;0),AND($M199="MO",ISNUMBER($O199),$O199&gt;0))),1,0)),0)</x:f>
        <x:v>0</x:v>
      </x:c>
      <x:c r="U199" t="str">
        <x:f>IFERROR(IF($T199=0,"",IF($M199="SO",$P199,IF(AND($M199="MO",OR($R199=TRUE,$R199="TRUE"),ISNUMBER($P199),$P199&gt;0),$P199,$O199))),"")</x:f>
      </x:c>
      <x:c r="V199" t="str">
        <x:f>IFERROR(IF($T199=0,"",MOD($N199,1)*86400),"")</x:f>
      </x:c>
      <x:c r="W199" t="str">
        <x:f>IFERROR(IF($T199=0,"",COUNTIFS($T$3:$T$202,1,$V$3:$V$202,"&lt;"&amp;$V199)+COUNTIFS($T$3:$T199,1,$V$3:$V199,$V199)),"")</x:f>
      </x:c>
      <x:c r="X199" t="str">
        <x:f>IFERROR(IF($T199=0,"",IF($M199="SO","SO: dùng CS hoàn thành",IF(AND($M199="MO",OR($R199=TRUE,$R199="TRUE"),ISNUMBER($P199),$P199&gt;0),"MO dừng sớm: dùng CS hoàn thành","MO: dùng CS ra lệnh"))),"")</x:f>
      </x:c>
    </x:row>
    <x:row r="200">
      <x:c r="J200" t="str">
        <x:f>IF(LENH_GOC!A201="","",201)</x:f>
      </x:c>
      <x:c r="K200" t="str">
        <x:f>IF(LENH_GOC!A201="","",LENH_GOC!A201)</x:f>
      </x:c>
      <x:c r="L200" t="str">
        <x:f>IF($K200="","",IFERROR(TRIM(LENH_GOC!C201),""))</x:f>
      </x:c>
      <x:c r="M200" t="str">
        <x:f>IF($K200="","",IFERROR(UPPER(TRIM(LENH_GOC!Y201)),""))</x:f>
      </x:c>
      <x:c r="N200" s="249" t="str">
        <x:f>IFERROR(IF($K200="","",IF(LENH_GOC!G201="","",IF(ISNUMBER(LENH_GOC!G201),LENH_GOC!G201,DATE(VALUE(MID(LENH_GOC!G201,7,4)),VALUE(MID(LENH_GOC!G201,4,2)),VALUE(LEFT(LENH_GOC!G201,2)))+TIME(VALUE(MID(LENH_GOC!G201,12,2)),VALUE(MID(LENH_GOC!G201,15,2)),VALUE(MID(LENH_GOC!G201,18,2)))))), "")</x:f>
      </x:c>
      <x:c r="O200" t="str">
        <x:f>IF($K200="","",IF(LENH_GOC!E201="","",LENH_GOC!E201))</x:f>
      </x:c>
      <x:c r="P200" t="str">
        <x:f>IF($K200="","",IF(LENH_GOC!F201="","",LENH_GOC!F201))</x:f>
      </x:c>
      <x:c r="Q200" t="str">
        <x:f>IFERROR(IF($K200="","",IF(LENH_GOC!P201="","",IFERROR(VALUE(LENH_GOC!P201),IF(OR(LENH_GOC!P201=TRUE,UPPER(TRIM(LENH_GOC!P201))="TRUE"),1,0)))),"")</x:f>
      </x:c>
      <x:c r="R200" t="str">
        <x:f>IF($K200="","",IF(LENH_GOC!Q201="","",LENH_GOC!Q201))</x:f>
      </x:c>
      <x:c r="S200" s="249" t="str">
        <x:f>IF($K200="","",IF(LENH_GOC!R201="","",LENH_GOC!R201))</x:f>
      </x:c>
      <x:c r="T200" t="n">
        <x:f>IFERROR(IF($K200="",0,IF(AND(ISNUMBER($N200),INT($N200)=CAI_DAT!$B$4,LEFT(UPPER(TRIM($L200)),2)=LEFT(UPPER(TRIM(CAI_DAT!$B$5)),2),$Q200=1,OR(AND($M200="SO",ISNUMBER($P200),$P200&gt;0),AND($M200="MO",ISNUMBER($O200),$O200&gt;0))),1,0)),0)</x:f>
        <x:v>0</x:v>
      </x:c>
      <x:c r="U200" t="str">
        <x:f>IFERROR(IF($T200=0,"",IF($M200="SO",$P200,IF(AND($M200="MO",OR($R200=TRUE,$R200="TRUE"),ISNUMBER($P200),$P200&gt;0),$P200,$O200))),"")</x:f>
      </x:c>
      <x:c r="V200" t="str">
        <x:f>IFERROR(IF($T200=0,"",MOD($N200,1)*86400),"")</x:f>
      </x:c>
      <x:c r="W200" t="str">
        <x:f>IFERROR(IF($T200=0,"",COUNTIFS($T$3:$T$202,1,$V$3:$V$202,"&lt;"&amp;$V200)+COUNTIFS($T$3:$T200,1,$V$3:$V200,$V200)),"")</x:f>
      </x:c>
      <x:c r="X200" t="str">
        <x:f>IFERROR(IF($T200=0,"",IF($M200="SO","SO: dùng CS hoàn thành",IF(AND($M200="MO",OR($R200=TRUE,$R200="TRUE"),ISNUMBER($P200),$P200&gt;0),"MO dừng sớm: dùng CS hoàn thành","MO: dùng CS ra lệnh"))),"")</x:f>
      </x:c>
    </x:row>
    <x:row r="201">
      <x:c r="J201" t="str">
        <x:f>IF(LENH_GOC!A202="","",202)</x:f>
      </x:c>
      <x:c r="K201" t="str">
        <x:f>IF(LENH_GOC!A202="","",LENH_GOC!A202)</x:f>
      </x:c>
      <x:c r="L201" t="str">
        <x:f>IF($K201="","",IFERROR(TRIM(LENH_GOC!C202),""))</x:f>
      </x:c>
      <x:c r="M201" t="str">
        <x:f>IF($K201="","",IFERROR(UPPER(TRIM(LENH_GOC!Y202)),""))</x:f>
      </x:c>
      <x:c r="N201" s="249" t="str">
        <x:f>IFERROR(IF($K201="","",IF(LENH_GOC!G202="","",IF(ISNUMBER(LENH_GOC!G202),LENH_GOC!G202,DATE(VALUE(MID(LENH_GOC!G202,7,4)),VALUE(MID(LENH_GOC!G202,4,2)),VALUE(LEFT(LENH_GOC!G202,2)))+TIME(VALUE(MID(LENH_GOC!G202,12,2)),VALUE(MID(LENH_GOC!G202,15,2)),VALUE(MID(LENH_GOC!G202,18,2)))))), "")</x:f>
      </x:c>
      <x:c r="O201" t="str">
        <x:f>IF($K201="","",IF(LENH_GOC!E202="","",LENH_GOC!E202))</x:f>
      </x:c>
      <x:c r="P201" t="str">
        <x:f>IF($K201="","",IF(LENH_GOC!F202="","",LENH_GOC!F202))</x:f>
      </x:c>
      <x:c r="Q201" t="str">
        <x:f>IFERROR(IF($K201="","",IF(LENH_GOC!P202="","",IFERROR(VALUE(LENH_GOC!P202),IF(OR(LENH_GOC!P202=TRUE,UPPER(TRIM(LENH_GOC!P202))="TRUE"),1,0)))),"")</x:f>
      </x:c>
      <x:c r="R201" t="str">
        <x:f>IF($K201="","",IF(LENH_GOC!Q202="","",LENH_GOC!Q202))</x:f>
      </x:c>
      <x:c r="S201" s="249" t="str">
        <x:f>IF($K201="","",IF(LENH_GOC!R202="","",LENH_GOC!R202))</x:f>
      </x:c>
      <x:c r="T201" t="n">
        <x:f>IFERROR(IF($K201="",0,IF(AND(ISNUMBER($N201),INT($N201)=CAI_DAT!$B$4,LEFT(UPPER(TRIM($L201)),2)=LEFT(UPPER(TRIM(CAI_DAT!$B$5)),2),$Q201=1,OR(AND($M201="SO",ISNUMBER($P201),$P201&gt;0),AND($M201="MO",ISNUMBER($O201),$O201&gt;0))),1,0)),0)</x:f>
        <x:v>0</x:v>
      </x:c>
      <x:c r="U201" t="str">
        <x:f>IFERROR(IF($T201=0,"",IF($M201="SO",$P201,IF(AND($M201="MO",OR($R201=TRUE,$R201="TRUE"),ISNUMBER($P201),$P201&gt;0),$P201,$O201))),"")</x:f>
      </x:c>
      <x:c r="V201" t="str">
        <x:f>IFERROR(IF($T201=0,"",MOD($N201,1)*86400),"")</x:f>
      </x:c>
      <x:c r="W201" t="str">
        <x:f>IFERROR(IF($T201=0,"",COUNTIFS($T$3:$T$202,1,$V$3:$V$202,"&lt;"&amp;$V201)+COUNTIFS($T$3:$T201,1,$V$3:$V201,$V201)),"")</x:f>
      </x:c>
      <x:c r="X201" t="str">
        <x:f>IFERROR(IF($T201=0,"",IF($M201="SO","SO: dùng CS hoàn thành",IF(AND($M201="MO",OR($R201=TRUE,$R201="TRUE"),ISNUMBER($P201),$P201&gt;0),"MO dừng sớm: dùng CS hoàn thành","MO: dùng CS ra lệnh"))),"")</x:f>
      </x:c>
    </x:row>
    <x:row r="202">
      <x:c r="J202" t="str">
        <x:f>IF(LENH_GOC!A203="","",203)</x:f>
      </x:c>
      <x:c r="K202" t="str">
        <x:f>IF(LENH_GOC!A203="","",LENH_GOC!A203)</x:f>
      </x:c>
      <x:c r="L202" t="str">
        <x:f>IF($K202="","",IFERROR(TRIM(LENH_GOC!C203),""))</x:f>
      </x:c>
      <x:c r="M202" t="str">
        <x:f>IF($K202="","",IFERROR(UPPER(TRIM(LENH_GOC!Y203)),""))</x:f>
      </x:c>
      <x:c r="N202" s="249" t="str">
        <x:f>IFERROR(IF($K202="","",IF(LENH_GOC!G203="","",IF(ISNUMBER(LENH_GOC!G203),LENH_GOC!G203,DATE(VALUE(MID(LENH_GOC!G203,7,4)),VALUE(MID(LENH_GOC!G203,4,2)),VALUE(LEFT(LENH_GOC!G203,2)))+TIME(VALUE(MID(LENH_GOC!G203,12,2)),VALUE(MID(LENH_GOC!G203,15,2)),VALUE(MID(LENH_GOC!G203,18,2)))))), "")</x:f>
      </x:c>
      <x:c r="O202" t="str">
        <x:f>IF($K202="","",IF(LENH_GOC!E203="","",LENH_GOC!E203))</x:f>
      </x:c>
      <x:c r="P202" t="str">
        <x:f>IF($K202="","",IF(LENH_GOC!F203="","",LENH_GOC!F203))</x:f>
      </x:c>
      <x:c r="Q202" t="str">
        <x:f>IFERROR(IF($K202="","",IF(LENH_GOC!P203="","",IFERROR(VALUE(LENH_GOC!P203),IF(OR(LENH_GOC!P203=TRUE,UPPER(TRIM(LENH_GOC!P203))="TRUE"),1,0)))),"")</x:f>
      </x:c>
      <x:c r="R202" t="str">
        <x:f>IF($K202="","",IF(LENH_GOC!Q203="","",LENH_GOC!Q203))</x:f>
      </x:c>
      <x:c r="S202" s="249" t="str">
        <x:f>IF($K202="","",IF(LENH_GOC!R203="","",LENH_GOC!R203))</x:f>
      </x:c>
      <x:c r="T202" t="n">
        <x:f>IFERROR(IF($K202="",0,IF(AND(ISNUMBER($N202),INT($N202)=CAI_DAT!$B$4,LEFT(UPPER(TRIM($L202)),2)=LEFT(UPPER(TRIM(CAI_DAT!$B$5)),2),$Q202=1,OR(AND($M202="SO",ISNUMBER($P202),$P202&gt;0),AND($M202="MO",ISNUMBER($O202),$O202&gt;0))),1,0)),0)</x:f>
        <x:v>0</x:v>
      </x:c>
      <x:c r="U202" t="str">
        <x:f>IFERROR(IF($T202=0,"",IF($M202="SO",$P202,IF(AND($M202="MO",OR($R202=TRUE,$R202="TRUE"),ISNUMBER($P202),$P202&gt;0),$P202,$O202))),"")</x:f>
      </x:c>
      <x:c r="V202" t="str">
        <x:f>IFERROR(IF($T202=0,"",MOD($N202,1)*86400),"")</x:f>
      </x:c>
      <x:c r="W202" t="str">
        <x:f>IFERROR(IF($T202=0,"",COUNTIFS($T$3:$T$202,1,$V$3:$V$202,"&lt;"&amp;$V202)+COUNTIFS($T$3:$T202,1,$V$3:$V202,$V202)),"")</x:f>
      </x:c>
      <x:c r="X202" t="str">
        <x:f>IFERROR(IF($T202=0,"",IF($M202="SO","SO: dùng CS hoàn thành",IF(AND($M202="MO",OR($R202=TRUE,$R202="TRUE"),ISNUMBER($P202),$P202&gt;0),"MO dừng sớm: dùng CS hoàn thành","MO: dùng CS ra lệnh"))),"")</x:f>
      </x:c>
    </x:row>
  </x:sheetData>
  <x:mergeCells>
    <x:mergeCell ref="A1:G1"/>
  </x:mergeCells>
  <x:dataValidations count="1">
    <x:dataValidation type="list" sqref="B3:B102">
      <x:formula1>"S1DH1,S2DH1,S1,S2"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</x:cols>
  <x:sheetData>
    <x:row r="1">
      <x:c r="A1" s="453"/>
      <x:c r="B1" s="453"/>
      <x:c r="C1" s="463"/>
      <x:c r="D1" s="463"/>
      <x:c r="E1" s="463"/>
      <x:c r="F1" s="463"/>
      <x:c r="G1" s="463"/>
      <x:c r="H1" s="463"/>
      <x:c r="I1" s="463"/>
      <x:c r="J1" s="463"/>
      <x:c r="K1" s="463"/>
      <x:c r="L1" s="463"/>
      <x:c r="M1" s="463"/>
      <x:c r="N1" s="463"/>
      <x:c r="O1" s="463"/>
      <x:c r="P1" s="463"/>
      <x:c r="Q1" s="463"/>
      <x:c r="R1" s="463"/>
      <x:c r="S1" s="463"/>
      <x:c r="T1" s="463"/>
      <x:c r="U1" s="463"/>
      <x:c r="V1" s="463"/>
      <x:c r="W1" s="463"/>
      <x:c r="X1" s="463"/>
      <x:c r="Y1" s="463"/>
      <x:c r="Z1" s="463"/>
      <x:c r="AA1" s="463"/>
      <x:c r="AB1" s="463"/>
      <x:c r="AC1" s="463"/>
      <x:c r="AD1" s="463"/>
      <x:c r="AE1" s="463"/>
      <x:c r="AF1" s="463"/>
      <x:c r="AG1" s="463"/>
      <x:c r="AH1" s="463"/>
      <x:c r="AI1" s="463"/>
      <x:c r="AJ1" s="463"/>
      <x:c r="AK1" s="463"/>
      <x:c r="AL1" s="463"/>
      <x:c r="AM1" s="463"/>
      <x:c r="AN1" s="463"/>
      <x:c r="AO1" s="463"/>
      <x:c r="AP1" s="463"/>
      <x:c r="AQ1" s="463"/>
      <x:c r="AR1" s="463"/>
      <x:c r="AS1" s="463"/>
      <x:c r="AT1" s="463"/>
      <x:c r="AU1" s="463"/>
      <x:c r="AV1" s="463"/>
      <x:c r="AW1" s="463"/>
      <x:c r="AX1" s="463"/>
    </x:row>
    <x:row r="2">
      <x:c r="A2" s="454"/>
      <x:c r="B2" s="455"/>
      <x:c r="C2" s="464"/>
      <x:c r="D2" s="464"/>
      <x:c r="E2" s="464"/>
      <x:c r="F2" s="464"/>
      <x:c r="G2" s="464"/>
      <x:c r="H2" s="464"/>
      <x:c r="I2" s="464"/>
      <x:c r="J2" s="464"/>
      <x:c r="K2" s="464"/>
      <x:c r="L2" s="464"/>
      <x:c r="M2" s="464"/>
      <x:c r="N2" s="464"/>
      <x:c r="O2" s="464"/>
      <x:c r="P2" s="464"/>
      <x:c r="Q2" s="464"/>
      <x:c r="R2" s="464"/>
      <x:c r="S2" s="464"/>
      <x:c r="T2" s="464"/>
      <x:c r="U2" s="464"/>
      <x:c r="V2" s="464"/>
      <x:c r="W2" s="464"/>
      <x:c r="X2" s="464"/>
      <x:c r="Y2" s="464"/>
      <x:c r="Z2" s="464"/>
      <x:c r="AA2" s="464"/>
      <x:c r="AB2" s="464"/>
      <x:c r="AC2" s="464"/>
      <x:c r="AD2" s="464"/>
      <x:c r="AE2" s="464"/>
      <x:c r="AF2" s="464"/>
      <x:c r="AG2" s="464"/>
      <x:c r="AH2" s="464"/>
      <x:c r="AI2" s="464"/>
      <x:c r="AJ2" s="464"/>
      <x:c r="AK2" s="464"/>
      <x:c r="AL2" s="464"/>
      <x:c r="AM2" s="464"/>
      <x:c r="AN2" s="464"/>
      <x:c r="AO2" s="464"/>
      <x:c r="AP2" s="464"/>
      <x:c r="AQ2" s="464"/>
      <x:c r="AR2" s="464"/>
      <x:c r="AS2" s="464"/>
      <x:c r="AT2" s="464"/>
      <x:c r="AU2" s="464"/>
      <x:c r="AV2" s="464"/>
      <x:c r="AW2" s="464"/>
      <x:c r="AX2" s="465"/>
    </x:row>
    <x:row r="3">
      <x:c r="A3" s="456"/>
      <x:c r="B3" s="457"/>
      <x:c r="C3" s="466"/>
      <x:c r="D3" s="466"/>
      <x:c r="E3" s="466"/>
      <x:c r="F3" s="466"/>
      <x:c r="G3" s="466"/>
      <x:c r="H3" s="466"/>
      <x:c r="I3" s="466"/>
      <x:c r="J3" s="466"/>
      <x:c r="K3" s="466"/>
      <x:c r="L3" s="466"/>
      <x:c r="M3" s="466"/>
      <x:c r="N3" s="466"/>
      <x:c r="O3" s="466"/>
      <x:c r="P3" s="466"/>
      <x:c r="Q3" s="466"/>
      <x:c r="R3" s="466"/>
      <x:c r="S3" s="466"/>
      <x:c r="T3" s="466"/>
      <x:c r="U3" s="466"/>
      <x:c r="V3" s="466"/>
      <x:c r="W3" s="466"/>
      <x:c r="X3" s="466"/>
      <x:c r="Y3" s="466"/>
      <x:c r="Z3" s="466"/>
      <x:c r="AA3" s="466"/>
      <x:c r="AB3" s="466"/>
      <x:c r="AC3" s="466"/>
      <x:c r="AD3" s="466"/>
      <x:c r="AE3" s="466"/>
      <x:c r="AF3" s="466"/>
      <x:c r="AG3" s="466"/>
      <x:c r="AH3" s="466"/>
      <x:c r="AI3" s="466"/>
      <x:c r="AJ3" s="466"/>
      <x:c r="AK3" s="466"/>
      <x:c r="AL3" s="466"/>
      <x:c r="AM3" s="466"/>
      <x:c r="AN3" s="466"/>
      <x:c r="AO3" s="466"/>
      <x:c r="AP3" s="466"/>
      <x:c r="AQ3" s="466"/>
      <x:c r="AR3" s="466"/>
      <x:c r="AS3" s="466"/>
      <x:c r="AT3" s="466"/>
      <x:c r="AU3" s="466"/>
      <x:c r="AV3" s="466"/>
      <x:c r="AW3" s="466"/>
      <x:c r="AX3" s="467"/>
    </x:row>
    <x:row r="4">
      <x:c r="A4" s="458"/>
      <x:c r="B4" s="459"/>
      <x:c r="C4" s="468"/>
      <x:c r="D4" s="468"/>
      <x:c r="E4" s="468"/>
      <x:c r="F4" s="468"/>
      <x:c r="G4" s="468"/>
      <x:c r="H4" s="468"/>
      <x:c r="I4" s="468"/>
      <x:c r="J4" s="468"/>
      <x:c r="K4" s="468"/>
      <x:c r="L4" s="468"/>
      <x:c r="M4" s="468"/>
      <x:c r="N4" s="468"/>
      <x:c r="O4" s="468"/>
      <x:c r="P4" s="468"/>
      <x:c r="Q4" s="468"/>
      <x:c r="R4" s="468"/>
      <x:c r="S4" s="468"/>
      <x:c r="T4" s="468"/>
      <x:c r="U4" s="468"/>
      <x:c r="V4" s="468"/>
      <x:c r="W4" s="468"/>
      <x:c r="X4" s="468"/>
      <x:c r="Y4" s="468"/>
      <x:c r="Z4" s="468"/>
      <x:c r="AA4" s="468"/>
      <x:c r="AB4" s="468"/>
      <x:c r="AC4" s="468"/>
      <x:c r="AD4" s="468"/>
      <x:c r="AE4" s="468"/>
      <x:c r="AF4" s="468"/>
      <x:c r="AG4" s="468"/>
      <x:c r="AH4" s="468"/>
      <x:c r="AI4" s="468"/>
      <x:c r="AJ4" s="468"/>
      <x:c r="AK4" s="468"/>
      <x:c r="AL4" s="468"/>
      <x:c r="AM4" s="468"/>
      <x:c r="AN4" s="468"/>
      <x:c r="AO4" s="468"/>
      <x:c r="AP4" s="468"/>
      <x:c r="AQ4" s="468"/>
      <x:c r="AR4" s="468"/>
      <x:c r="AS4" s="468"/>
      <x:c r="AT4" s="468"/>
      <x:c r="AU4" s="468"/>
      <x:c r="AV4" s="468"/>
      <x:c r="AW4" s="468"/>
      <x:c r="AX4" s="469"/>
    </x:row>
    <x:row r="5">
      <x:c r="A5" s="458"/>
      <x:c r="B5" s="459"/>
      <x:c r="C5" s="468"/>
      <x:c r="D5" s="468"/>
      <x:c r="E5" s="468"/>
      <x:c r="F5" s="468"/>
      <x:c r="G5" s="468"/>
      <x:c r="H5" s="468"/>
      <x:c r="I5" s="468"/>
      <x:c r="J5" s="468"/>
      <x:c r="K5" s="468"/>
      <x:c r="L5" s="468"/>
      <x:c r="M5" s="468"/>
      <x:c r="N5" s="468"/>
      <x:c r="O5" s="468"/>
      <x:c r="P5" s="468"/>
      <x:c r="Q5" s="468"/>
      <x:c r="R5" s="468"/>
      <x:c r="S5" s="468"/>
      <x:c r="T5" s="468"/>
      <x:c r="U5" s="468"/>
      <x:c r="V5" s="468"/>
      <x:c r="W5" s="468"/>
      <x:c r="X5" s="468"/>
      <x:c r="Y5" s="468"/>
      <x:c r="Z5" s="468"/>
      <x:c r="AA5" s="468"/>
      <x:c r="AB5" s="468"/>
      <x:c r="AC5" s="468"/>
      <x:c r="AD5" s="468"/>
      <x:c r="AE5" s="468"/>
      <x:c r="AF5" s="468"/>
      <x:c r="AG5" s="468"/>
      <x:c r="AH5" s="468"/>
      <x:c r="AI5" s="468"/>
      <x:c r="AJ5" s="468"/>
      <x:c r="AK5" s="468"/>
      <x:c r="AL5" s="468"/>
      <x:c r="AM5" s="468"/>
      <x:c r="AN5" s="468"/>
      <x:c r="AO5" s="468"/>
      <x:c r="AP5" s="468"/>
      <x:c r="AQ5" s="468"/>
      <x:c r="AR5" s="468"/>
      <x:c r="AS5" s="468"/>
      <x:c r="AT5" s="468"/>
      <x:c r="AU5" s="468"/>
      <x:c r="AV5" s="468"/>
      <x:c r="AW5" s="468"/>
      <x:c r="AX5" s="469"/>
    </x:row>
    <x:row r="6">
      <x:c r="A6" s="458"/>
      <x:c r="B6" s="459"/>
      <x:c r="C6" s="468"/>
      <x:c r="D6" s="468"/>
      <x:c r="E6" s="468"/>
      <x:c r="F6" s="468"/>
      <x:c r="G6" s="468"/>
      <x:c r="H6" s="468"/>
      <x:c r="I6" s="468"/>
      <x:c r="J6" s="468"/>
      <x:c r="K6" s="468"/>
      <x:c r="L6" s="468"/>
      <x:c r="M6" s="468"/>
      <x:c r="N6" s="468"/>
      <x:c r="O6" s="468"/>
      <x:c r="P6" s="468"/>
      <x:c r="Q6" s="468"/>
      <x:c r="R6" s="468"/>
      <x:c r="S6" s="468"/>
      <x:c r="T6" s="468"/>
      <x:c r="U6" s="468"/>
      <x:c r="V6" s="468"/>
      <x:c r="W6" s="468"/>
      <x:c r="X6" s="468"/>
      <x:c r="Y6" s="468"/>
      <x:c r="Z6" s="468"/>
      <x:c r="AA6" s="468"/>
      <x:c r="AB6" s="468"/>
      <x:c r="AC6" s="468"/>
      <x:c r="AD6" s="468"/>
      <x:c r="AE6" s="468"/>
      <x:c r="AF6" s="468"/>
      <x:c r="AG6" s="468"/>
      <x:c r="AH6" s="468"/>
      <x:c r="AI6" s="468"/>
      <x:c r="AJ6" s="468"/>
      <x:c r="AK6" s="468"/>
      <x:c r="AL6" s="468"/>
      <x:c r="AM6" s="468"/>
      <x:c r="AN6" s="468"/>
      <x:c r="AO6" s="468"/>
      <x:c r="AP6" s="468"/>
      <x:c r="AQ6" s="468"/>
      <x:c r="AR6" s="468"/>
      <x:c r="AS6" s="468"/>
      <x:c r="AT6" s="468"/>
      <x:c r="AU6" s="468"/>
      <x:c r="AV6" s="468"/>
      <x:c r="AW6" s="468"/>
      <x:c r="AX6" s="469"/>
    </x:row>
    <x:row r="7">
      <x:c r="A7" s="458"/>
      <x:c r="B7" s="459"/>
      <x:c r="C7" s="468"/>
      <x:c r="D7" s="468"/>
      <x:c r="E7" s="468"/>
      <x:c r="F7" s="468"/>
      <x:c r="G7" s="468"/>
      <x:c r="H7" s="468"/>
      <x:c r="I7" s="468"/>
      <x:c r="J7" s="468"/>
      <x:c r="K7" s="468"/>
      <x:c r="L7" s="468"/>
      <x:c r="M7" s="468"/>
      <x:c r="N7" s="468"/>
      <x:c r="O7" s="468"/>
      <x:c r="P7" s="468"/>
      <x:c r="Q7" s="468"/>
      <x:c r="R7" s="468"/>
      <x:c r="S7" s="468"/>
      <x:c r="T7" s="468"/>
      <x:c r="U7" s="468"/>
      <x:c r="V7" s="468"/>
      <x:c r="W7" s="468"/>
      <x:c r="X7" s="468"/>
      <x:c r="Y7" s="468"/>
      <x:c r="Z7" s="468"/>
      <x:c r="AA7" s="468"/>
      <x:c r="AB7" s="468"/>
      <x:c r="AC7" s="468"/>
      <x:c r="AD7" s="468"/>
      <x:c r="AE7" s="468"/>
      <x:c r="AF7" s="468"/>
      <x:c r="AG7" s="468"/>
      <x:c r="AH7" s="468"/>
      <x:c r="AI7" s="468"/>
      <x:c r="AJ7" s="468"/>
      <x:c r="AK7" s="468"/>
      <x:c r="AL7" s="468"/>
      <x:c r="AM7" s="468"/>
      <x:c r="AN7" s="468"/>
      <x:c r="AO7" s="468"/>
      <x:c r="AP7" s="468"/>
      <x:c r="AQ7" s="468"/>
      <x:c r="AR7" s="468"/>
      <x:c r="AS7" s="468"/>
      <x:c r="AT7" s="468"/>
      <x:c r="AU7" s="468"/>
      <x:c r="AV7" s="468"/>
      <x:c r="AW7" s="468"/>
      <x:c r="AX7" s="469"/>
    </x:row>
    <x:row r="8">
      <x:c r="A8" s="458"/>
      <x:c r="B8" s="459"/>
      <x:c r="C8" s="468"/>
      <x:c r="D8" s="468"/>
      <x:c r="E8" s="468"/>
      <x:c r="F8" s="468"/>
      <x:c r="G8" s="468"/>
      <x:c r="H8" s="468"/>
      <x:c r="I8" s="468"/>
      <x:c r="J8" s="468"/>
      <x:c r="K8" s="468"/>
      <x:c r="L8" s="468"/>
      <x:c r="M8" s="468"/>
      <x:c r="N8" s="468"/>
      <x:c r="O8" s="468"/>
      <x:c r="P8" s="468"/>
      <x:c r="Q8" s="468"/>
      <x:c r="R8" s="468"/>
      <x:c r="S8" s="468"/>
      <x:c r="T8" s="468"/>
      <x:c r="U8" s="468"/>
      <x:c r="V8" s="468"/>
      <x:c r="W8" s="468"/>
      <x:c r="X8" s="468"/>
      <x:c r="Y8" s="468"/>
      <x:c r="Z8" s="468"/>
      <x:c r="AA8" s="468"/>
      <x:c r="AB8" s="468"/>
      <x:c r="AC8" s="468"/>
      <x:c r="AD8" s="468"/>
      <x:c r="AE8" s="468"/>
      <x:c r="AF8" s="468"/>
      <x:c r="AG8" s="468"/>
      <x:c r="AH8" s="468"/>
      <x:c r="AI8" s="468"/>
      <x:c r="AJ8" s="468"/>
      <x:c r="AK8" s="468"/>
      <x:c r="AL8" s="468"/>
      <x:c r="AM8" s="468"/>
      <x:c r="AN8" s="468"/>
      <x:c r="AO8" s="468"/>
      <x:c r="AP8" s="468"/>
      <x:c r="AQ8" s="468"/>
      <x:c r="AR8" s="468"/>
      <x:c r="AS8" s="468"/>
      <x:c r="AT8" s="468"/>
      <x:c r="AU8" s="468"/>
      <x:c r="AV8" s="468"/>
      <x:c r="AW8" s="468"/>
      <x:c r="AX8" s="469"/>
    </x:row>
    <x:row r="9">
      <x:c r="A9" s="458"/>
      <x:c r="B9" s="459"/>
      <x:c r="C9" s="468"/>
      <x:c r="D9" s="468"/>
      <x:c r="E9" s="468"/>
      <x:c r="F9" s="468"/>
      <x:c r="G9" s="468"/>
      <x:c r="H9" s="468"/>
      <x:c r="I9" s="468"/>
      <x:c r="J9" s="468"/>
      <x:c r="K9" s="468"/>
      <x:c r="L9" s="468"/>
      <x:c r="M9" s="468"/>
      <x:c r="N9" s="468"/>
      <x:c r="O9" s="468"/>
      <x:c r="P9" s="468"/>
      <x:c r="Q9" s="468"/>
      <x:c r="R9" s="468"/>
      <x:c r="S9" s="468"/>
      <x:c r="T9" s="468"/>
      <x:c r="U9" s="468"/>
      <x:c r="V9" s="468"/>
      <x:c r="W9" s="468"/>
      <x:c r="X9" s="468"/>
      <x:c r="Y9" s="468"/>
      <x:c r="Z9" s="468"/>
      <x:c r="AA9" s="468"/>
      <x:c r="AB9" s="468"/>
      <x:c r="AC9" s="468"/>
      <x:c r="AD9" s="468"/>
      <x:c r="AE9" s="468"/>
      <x:c r="AF9" s="468"/>
      <x:c r="AG9" s="468"/>
      <x:c r="AH9" s="468"/>
      <x:c r="AI9" s="468"/>
      <x:c r="AJ9" s="468"/>
      <x:c r="AK9" s="468"/>
      <x:c r="AL9" s="468"/>
      <x:c r="AM9" s="468"/>
      <x:c r="AN9" s="468"/>
      <x:c r="AO9" s="468"/>
      <x:c r="AP9" s="468"/>
      <x:c r="AQ9" s="468"/>
      <x:c r="AR9" s="468"/>
      <x:c r="AS9" s="468"/>
      <x:c r="AT9" s="468"/>
      <x:c r="AU9" s="468"/>
      <x:c r="AV9" s="468"/>
      <x:c r="AW9" s="468"/>
      <x:c r="AX9" s="469"/>
    </x:row>
    <x:row r="10">
      <x:c r="A10" s="458"/>
      <x:c r="B10" s="459"/>
      <x:c r="C10" s="468"/>
      <x:c r="D10" s="468"/>
      <x:c r="E10" s="468"/>
      <x:c r="F10" s="468"/>
      <x:c r="G10" s="468"/>
      <x:c r="H10" s="468"/>
      <x:c r="I10" s="468"/>
      <x:c r="J10" s="468"/>
      <x:c r="K10" s="468"/>
      <x:c r="L10" s="468"/>
      <x:c r="M10" s="468"/>
      <x:c r="N10" s="468"/>
      <x:c r="O10" s="468"/>
      <x:c r="P10" s="468"/>
      <x:c r="Q10" s="468"/>
      <x:c r="R10" s="468"/>
      <x:c r="S10" s="468"/>
      <x:c r="T10" s="468"/>
      <x:c r="U10" s="468"/>
      <x:c r="V10" s="468"/>
      <x:c r="W10" s="468"/>
      <x:c r="X10" s="468"/>
      <x:c r="Y10" s="468"/>
      <x:c r="Z10" s="468"/>
      <x:c r="AA10" s="468"/>
      <x:c r="AB10" s="468"/>
      <x:c r="AC10" s="468"/>
      <x:c r="AD10" s="468"/>
      <x:c r="AE10" s="468"/>
      <x:c r="AF10" s="468"/>
      <x:c r="AG10" s="468"/>
      <x:c r="AH10" s="468"/>
      <x:c r="AI10" s="468"/>
      <x:c r="AJ10" s="468"/>
      <x:c r="AK10" s="468"/>
      <x:c r="AL10" s="468"/>
      <x:c r="AM10" s="468"/>
      <x:c r="AN10" s="468"/>
      <x:c r="AO10" s="468"/>
      <x:c r="AP10" s="468"/>
      <x:c r="AQ10" s="468"/>
      <x:c r="AR10" s="468"/>
      <x:c r="AS10" s="468"/>
      <x:c r="AT10" s="468"/>
      <x:c r="AU10" s="468"/>
      <x:c r="AV10" s="468"/>
      <x:c r="AW10" s="468"/>
      <x:c r="AX10" s="469"/>
    </x:row>
    <x:row r="11">
      <x:c r="A11" s="458"/>
      <x:c r="B11" s="459"/>
      <x:c r="C11" s="468"/>
      <x:c r="D11" s="468"/>
      <x:c r="E11" s="468"/>
      <x:c r="F11" s="468"/>
      <x:c r="G11" s="468"/>
      <x:c r="H11" s="468"/>
      <x:c r="I11" s="468"/>
      <x:c r="J11" s="468"/>
      <x:c r="K11" s="468"/>
      <x:c r="L11" s="468"/>
      <x:c r="M11" s="468"/>
      <x:c r="N11" s="468"/>
      <x:c r="O11" s="468"/>
      <x:c r="P11" s="468"/>
      <x:c r="Q11" s="468"/>
      <x:c r="R11" s="468"/>
      <x:c r="S11" s="468"/>
      <x:c r="T11" s="468"/>
      <x:c r="U11" s="468"/>
      <x:c r="V11" s="468"/>
      <x:c r="W11" s="468"/>
      <x:c r="X11" s="468"/>
      <x:c r="Y11" s="468"/>
      <x:c r="Z11" s="468"/>
      <x:c r="AA11" s="468"/>
      <x:c r="AB11" s="468"/>
      <x:c r="AC11" s="468"/>
      <x:c r="AD11" s="468"/>
      <x:c r="AE11" s="468"/>
      <x:c r="AF11" s="468"/>
      <x:c r="AG11" s="468"/>
      <x:c r="AH11" s="468"/>
      <x:c r="AI11" s="468"/>
      <x:c r="AJ11" s="468"/>
      <x:c r="AK11" s="468"/>
      <x:c r="AL11" s="468"/>
      <x:c r="AM11" s="468"/>
      <x:c r="AN11" s="468"/>
      <x:c r="AO11" s="468"/>
      <x:c r="AP11" s="468"/>
      <x:c r="AQ11" s="468"/>
      <x:c r="AR11" s="468"/>
      <x:c r="AS11" s="468"/>
      <x:c r="AT11" s="468"/>
      <x:c r="AU11" s="468"/>
      <x:c r="AV11" s="468"/>
      <x:c r="AW11" s="468"/>
      <x:c r="AX11" s="469"/>
    </x:row>
    <x:row r="12">
      <x:c r="A12" s="458"/>
      <x:c r="B12" s="459"/>
      <x:c r="C12" s="468"/>
      <x:c r="D12" s="468"/>
      <x:c r="E12" s="468"/>
      <x:c r="F12" s="468"/>
      <x:c r="G12" s="468"/>
      <x:c r="H12" s="468"/>
      <x:c r="I12" s="468"/>
      <x:c r="J12" s="468"/>
      <x:c r="K12" s="468"/>
      <x:c r="L12" s="468"/>
      <x:c r="M12" s="468"/>
      <x:c r="N12" s="468"/>
      <x:c r="O12" s="468"/>
      <x:c r="P12" s="468"/>
      <x:c r="Q12" s="468"/>
      <x:c r="R12" s="468"/>
      <x:c r="S12" s="468"/>
      <x:c r="T12" s="468"/>
      <x:c r="U12" s="468"/>
      <x:c r="V12" s="468"/>
      <x:c r="W12" s="468"/>
      <x:c r="X12" s="468"/>
      <x:c r="Y12" s="468"/>
      <x:c r="Z12" s="468"/>
      <x:c r="AA12" s="468"/>
      <x:c r="AB12" s="468"/>
      <x:c r="AC12" s="468"/>
      <x:c r="AD12" s="468"/>
      <x:c r="AE12" s="468"/>
      <x:c r="AF12" s="468"/>
      <x:c r="AG12" s="468"/>
      <x:c r="AH12" s="468"/>
      <x:c r="AI12" s="468"/>
      <x:c r="AJ12" s="468"/>
      <x:c r="AK12" s="468"/>
      <x:c r="AL12" s="468"/>
      <x:c r="AM12" s="468"/>
      <x:c r="AN12" s="468"/>
      <x:c r="AO12" s="468"/>
      <x:c r="AP12" s="468"/>
      <x:c r="AQ12" s="468"/>
      <x:c r="AR12" s="468"/>
      <x:c r="AS12" s="468"/>
      <x:c r="AT12" s="468"/>
      <x:c r="AU12" s="468"/>
      <x:c r="AV12" s="468"/>
      <x:c r="AW12" s="468"/>
      <x:c r="AX12" s="469"/>
    </x:row>
    <x:row r="13">
      <x:c r="A13" s="458"/>
      <x:c r="B13" s="459"/>
      <x:c r="C13" s="468"/>
      <x:c r="D13" s="468"/>
      <x:c r="E13" s="468"/>
      <x:c r="F13" s="468"/>
      <x:c r="G13" s="468"/>
      <x:c r="H13" s="468"/>
      <x:c r="I13" s="468"/>
      <x:c r="J13" s="468"/>
      <x:c r="K13" s="468"/>
      <x:c r="L13" s="468"/>
      <x:c r="M13" s="468"/>
      <x:c r="N13" s="468"/>
      <x:c r="O13" s="468"/>
      <x:c r="P13" s="468"/>
      <x:c r="Q13" s="468"/>
      <x:c r="R13" s="468"/>
      <x:c r="S13" s="468"/>
      <x:c r="T13" s="468"/>
      <x:c r="U13" s="468"/>
      <x:c r="V13" s="468"/>
      <x:c r="W13" s="468"/>
      <x:c r="X13" s="468"/>
      <x:c r="Y13" s="468"/>
      <x:c r="Z13" s="468"/>
      <x:c r="AA13" s="468"/>
      <x:c r="AB13" s="468"/>
      <x:c r="AC13" s="468"/>
      <x:c r="AD13" s="468"/>
      <x:c r="AE13" s="468"/>
      <x:c r="AF13" s="468"/>
      <x:c r="AG13" s="468"/>
      <x:c r="AH13" s="468"/>
      <x:c r="AI13" s="468"/>
      <x:c r="AJ13" s="468"/>
      <x:c r="AK13" s="468"/>
      <x:c r="AL13" s="468"/>
      <x:c r="AM13" s="468"/>
      <x:c r="AN13" s="468"/>
      <x:c r="AO13" s="468"/>
      <x:c r="AP13" s="468"/>
      <x:c r="AQ13" s="468"/>
      <x:c r="AR13" s="468"/>
      <x:c r="AS13" s="468"/>
      <x:c r="AT13" s="468"/>
      <x:c r="AU13" s="468"/>
      <x:c r="AV13" s="468"/>
      <x:c r="AW13" s="468"/>
      <x:c r="AX13" s="469"/>
    </x:row>
    <x:row r="14">
      <x:c r="A14" s="458"/>
      <x:c r="B14" s="459"/>
      <x:c r="C14" s="468"/>
      <x:c r="D14" s="468"/>
      <x:c r="E14" s="468"/>
      <x:c r="F14" s="468"/>
      <x:c r="G14" s="468"/>
      <x:c r="H14" s="468"/>
      <x:c r="I14" s="468"/>
      <x:c r="J14" s="468"/>
      <x:c r="K14" s="468"/>
      <x:c r="L14" s="468"/>
      <x:c r="M14" s="468"/>
      <x:c r="N14" s="468"/>
      <x:c r="O14" s="468"/>
      <x:c r="P14" s="468"/>
      <x:c r="Q14" s="468"/>
      <x:c r="R14" s="468"/>
      <x:c r="S14" s="468"/>
      <x:c r="T14" s="468"/>
      <x:c r="U14" s="468"/>
      <x:c r="V14" s="468"/>
      <x:c r="W14" s="468"/>
      <x:c r="X14" s="468"/>
      <x:c r="Y14" s="468"/>
      <x:c r="Z14" s="468"/>
      <x:c r="AA14" s="468"/>
      <x:c r="AB14" s="468"/>
      <x:c r="AC14" s="468"/>
      <x:c r="AD14" s="468"/>
      <x:c r="AE14" s="468"/>
      <x:c r="AF14" s="468"/>
      <x:c r="AG14" s="468"/>
      <x:c r="AH14" s="468"/>
      <x:c r="AI14" s="468"/>
      <x:c r="AJ14" s="468"/>
      <x:c r="AK14" s="468"/>
      <x:c r="AL14" s="468"/>
      <x:c r="AM14" s="468"/>
      <x:c r="AN14" s="468"/>
      <x:c r="AO14" s="468"/>
      <x:c r="AP14" s="468"/>
      <x:c r="AQ14" s="468"/>
      <x:c r="AR14" s="468"/>
      <x:c r="AS14" s="468"/>
      <x:c r="AT14" s="468"/>
      <x:c r="AU14" s="468"/>
      <x:c r="AV14" s="468"/>
      <x:c r="AW14" s="468"/>
      <x:c r="AX14" s="469"/>
    </x:row>
    <x:row r="15">
      <x:c r="A15" s="458"/>
      <x:c r="B15" s="459"/>
      <x:c r="C15" s="468"/>
      <x:c r="D15" s="468"/>
      <x:c r="E15" s="468"/>
      <x:c r="F15" s="468"/>
      <x:c r="G15" s="468"/>
      <x:c r="H15" s="468"/>
      <x:c r="I15" s="468"/>
      <x:c r="J15" s="468"/>
      <x:c r="K15" s="468"/>
      <x:c r="L15" s="468"/>
      <x:c r="M15" s="468"/>
      <x:c r="N15" s="468"/>
      <x:c r="O15" s="468"/>
      <x:c r="P15" s="468"/>
      <x:c r="Q15" s="468"/>
      <x:c r="R15" s="468"/>
      <x:c r="S15" s="468"/>
      <x:c r="T15" s="468"/>
      <x:c r="U15" s="468"/>
      <x:c r="V15" s="468"/>
      <x:c r="W15" s="468"/>
      <x:c r="X15" s="468"/>
      <x:c r="Y15" s="468"/>
      <x:c r="Z15" s="468"/>
      <x:c r="AA15" s="468"/>
      <x:c r="AB15" s="468"/>
      <x:c r="AC15" s="468"/>
      <x:c r="AD15" s="468"/>
      <x:c r="AE15" s="468"/>
      <x:c r="AF15" s="468"/>
      <x:c r="AG15" s="468"/>
      <x:c r="AH15" s="468"/>
      <x:c r="AI15" s="468"/>
      <x:c r="AJ15" s="468"/>
      <x:c r="AK15" s="468"/>
      <x:c r="AL15" s="468"/>
      <x:c r="AM15" s="468"/>
      <x:c r="AN15" s="468"/>
      <x:c r="AO15" s="468"/>
      <x:c r="AP15" s="468"/>
      <x:c r="AQ15" s="468"/>
      <x:c r="AR15" s="468"/>
      <x:c r="AS15" s="468"/>
      <x:c r="AT15" s="468"/>
      <x:c r="AU15" s="468"/>
      <x:c r="AV15" s="468"/>
      <x:c r="AW15" s="468"/>
      <x:c r="AX15" s="469"/>
    </x:row>
    <x:row r="16">
      <x:c r="A16" s="460"/>
      <x:c r="B16" s="461"/>
      <x:c r="C16" s="470"/>
      <x:c r="D16" s="470"/>
      <x:c r="E16" s="470"/>
      <x:c r="F16" s="470"/>
      <x:c r="G16" s="470"/>
      <x:c r="H16" s="470"/>
      <x:c r="I16" s="470"/>
      <x:c r="J16" s="470"/>
      <x:c r="K16" s="470"/>
      <x:c r="L16" s="470"/>
      <x:c r="M16" s="470"/>
      <x:c r="N16" s="470"/>
      <x:c r="O16" s="470"/>
      <x:c r="P16" s="470"/>
      <x:c r="Q16" s="470"/>
      <x:c r="R16" s="470"/>
      <x:c r="S16" s="470"/>
      <x:c r="T16" s="470"/>
      <x:c r="U16" s="470"/>
      <x:c r="V16" s="470"/>
      <x:c r="W16" s="470"/>
      <x:c r="X16" s="470"/>
      <x:c r="Y16" s="470"/>
      <x:c r="Z16" s="470"/>
      <x:c r="AA16" s="470"/>
      <x:c r="AB16" s="470"/>
      <x:c r="AC16" s="470"/>
      <x:c r="AD16" s="470"/>
      <x:c r="AE16" s="470"/>
      <x:c r="AF16" s="470"/>
      <x:c r="AG16" s="470"/>
      <x:c r="AH16" s="470"/>
      <x:c r="AI16" s="470"/>
      <x:c r="AJ16" s="470"/>
      <x:c r="AK16" s="470"/>
      <x:c r="AL16" s="470"/>
      <x:c r="AM16" s="470"/>
      <x:c r="AN16" s="470"/>
      <x:c r="AO16" s="470"/>
      <x:c r="AP16" s="470"/>
      <x:c r="AQ16" s="470"/>
      <x:c r="AR16" s="470"/>
      <x:c r="AS16" s="470"/>
      <x:c r="AT16" s="470"/>
      <x:c r="AU16" s="470"/>
      <x:c r="AV16" s="470"/>
      <x:c r="AW16" s="470"/>
      <x:c r="AX16" s="471"/>
    </x:row>
    <x:row r="17">
      <x:c r="A17" s="462"/>
      <x:c r="B17" s="462"/>
      <x:c r="C17" s="472"/>
      <x:c r="D17" s="472"/>
      <x:c r="E17" s="472"/>
      <x:c r="F17" s="472"/>
      <x:c r="G17" s="472"/>
      <x:c r="H17" s="472"/>
      <x:c r="I17" s="472"/>
      <x:c r="J17" s="472"/>
      <x:c r="K17" s="472"/>
      <x:c r="L17" s="472"/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  <x:c r="AA17" s="472"/>
      <x:c r="AB17" s="472"/>
      <x:c r="AC17" s="472"/>
      <x:c r="AD17" s="472"/>
      <x:c r="AE17" s="472"/>
      <x:c r="AF17" s="472"/>
      <x:c r="AG17" s="472"/>
      <x:c r="AH17" s="472"/>
      <x:c r="AI17" s="472"/>
      <x:c r="AJ17" s="472"/>
      <x:c r="AK17" s="472"/>
      <x:c r="AL17" s="472"/>
      <x:c r="AM17" s="472"/>
      <x:c r="AN17" s="472"/>
      <x:c r="AO17" s="472"/>
      <x:c r="AP17" s="472"/>
      <x:c r="AQ17" s="472"/>
      <x:c r="AR17" s="472"/>
      <x:c r="AS17" s="472"/>
      <x:c r="AT17" s="472"/>
      <x:c r="AU17" s="472"/>
      <x:c r="AV17" s="472"/>
      <x:c r="AW17" s="472"/>
      <x:c r="AX17" s="472"/>
    </x:row>
    <x:row r="18">
      <x:c r="A18" s="462"/>
      <x:c r="B18" s="462"/>
      <x:c r="C18" s="472"/>
      <x:c r="D18" s="472"/>
      <x:c r="E18" s="472"/>
      <x:c r="F18" s="472"/>
      <x:c r="G18" s="472"/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  <x:c r="AA18" s="472"/>
      <x:c r="AB18" s="472"/>
      <x:c r="AC18" s="472"/>
      <x:c r="AD18" s="472"/>
      <x:c r="AE18" s="472"/>
      <x:c r="AF18" s="472"/>
      <x:c r="AG18" s="472"/>
      <x:c r="AH18" s="472"/>
      <x:c r="AI18" s="472"/>
      <x:c r="AJ18" s="472"/>
      <x:c r="AK18" s="472"/>
      <x:c r="AL18" s="472"/>
      <x:c r="AM18" s="472"/>
      <x:c r="AN18" s="472"/>
      <x:c r="AO18" s="472"/>
      <x:c r="AP18" s="472"/>
      <x:c r="AQ18" s="472"/>
      <x:c r="AR18" s="472"/>
      <x:c r="AS18" s="472"/>
      <x:c r="AT18" s="472"/>
      <x:c r="AU18" s="472"/>
      <x:c r="AV18" s="472"/>
      <x:c r="AW18" s="472"/>
      <x:c r="AX18" s="472"/>
    </x:row>
    <x:row r="19">
      <x:c r="A19" s="462"/>
      <x:c r="B19" s="462"/>
      <x:c r="C19" s="472"/>
      <x:c r="D19" s="472"/>
      <x:c r="E19" s="472"/>
      <x:c r="F19" s="472"/>
      <x:c r="G19" s="472"/>
      <x:c r="H19" s="472"/>
      <x:c r="I19" s="472"/>
      <x:c r="J19" s="472"/>
      <x:c r="K19" s="472"/>
      <x:c r="L19" s="472"/>
      <x:c r="M19" s="472"/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  <x:c r="AA19" s="472"/>
      <x:c r="AB19" s="472"/>
      <x:c r="AC19" s="472"/>
      <x:c r="AD19" s="472"/>
      <x:c r="AE19" s="472"/>
      <x:c r="AF19" s="472"/>
      <x:c r="AG19" s="472"/>
      <x:c r="AH19" s="472"/>
      <x:c r="AI19" s="472"/>
      <x:c r="AJ19" s="472"/>
      <x:c r="AK19" s="472"/>
      <x:c r="AL19" s="472"/>
      <x:c r="AM19" s="472"/>
      <x:c r="AN19" s="472"/>
      <x:c r="AO19" s="472"/>
      <x:c r="AP19" s="472"/>
      <x:c r="AQ19" s="472"/>
      <x:c r="AR19" s="472"/>
      <x:c r="AS19" s="472"/>
      <x:c r="AT19" s="472"/>
      <x:c r="AU19" s="472"/>
      <x:c r="AV19" s="472"/>
      <x:c r="AW19" s="472"/>
      <x:c r="AX19" s="472"/>
    </x:row>
    <x:row r="20">
      <x:c r="A20" s="462"/>
      <x:c r="B20" s="462"/>
      <x:c r="C20" s="472"/>
      <x:c r="D20" s="472"/>
      <x:c r="E20" s="472"/>
      <x:c r="F20" s="472"/>
      <x:c r="G20" s="472"/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  <x:c r="AA20" s="472"/>
      <x:c r="AB20" s="472"/>
      <x:c r="AC20" s="472"/>
      <x:c r="AD20" s="472"/>
      <x:c r="AE20" s="472"/>
      <x:c r="AF20" s="472"/>
      <x:c r="AG20" s="472"/>
      <x:c r="AH20" s="472"/>
      <x:c r="AI20" s="472"/>
      <x:c r="AJ20" s="472"/>
      <x:c r="AK20" s="472"/>
      <x:c r="AL20" s="472"/>
      <x:c r="AM20" s="472"/>
      <x:c r="AN20" s="472"/>
      <x:c r="AO20" s="472"/>
      <x:c r="AP20" s="472"/>
      <x:c r="AQ20" s="472"/>
      <x:c r="AR20" s="472"/>
      <x:c r="AS20" s="472"/>
      <x:c r="AT20" s="472"/>
      <x:c r="AU20" s="472"/>
      <x:c r="AV20" s="472"/>
      <x:c r="AW20" s="472"/>
      <x:c r="AX20" s="472"/>
    </x:row>
    <x:row r="21">
      <x:c r="A21" s="462"/>
      <x:c r="B21" s="46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  <x:c r="AA21" s="472"/>
      <x:c r="AB21" s="472"/>
      <x:c r="AC21" s="472"/>
      <x:c r="AD21" s="472"/>
      <x:c r="AE21" s="472"/>
      <x:c r="AF21" s="472"/>
      <x:c r="AG21" s="472"/>
      <x:c r="AH21" s="472"/>
      <x:c r="AI21" s="472"/>
      <x:c r="AJ21" s="472"/>
      <x:c r="AK21" s="472"/>
      <x:c r="AL21" s="472"/>
      <x:c r="AM21" s="472"/>
      <x:c r="AN21" s="472"/>
      <x:c r="AO21" s="472"/>
      <x:c r="AP21" s="472"/>
      <x:c r="AQ21" s="472"/>
      <x:c r="AR21" s="472"/>
      <x:c r="AS21" s="472"/>
      <x:c r="AT21" s="472"/>
      <x:c r="AU21" s="472"/>
      <x:c r="AV21" s="472"/>
      <x:c r="AW21" s="472"/>
      <x:c r="AX21" s="472"/>
    </x:row>
    <x:row r="22">
      <x:c r="A22" s="462"/>
      <x:c r="B22" s="46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  <x:c r="AA22" s="472"/>
      <x:c r="AB22" s="472"/>
      <x:c r="AC22" s="472"/>
      <x:c r="AD22" s="472"/>
      <x:c r="AE22" s="472"/>
      <x:c r="AF22" s="472"/>
      <x:c r="AG22" s="472"/>
      <x:c r="AH22" s="472"/>
      <x:c r="AI22" s="472"/>
      <x:c r="AJ22" s="472"/>
      <x:c r="AK22" s="472"/>
      <x:c r="AL22" s="472"/>
      <x:c r="AM22" s="472"/>
      <x:c r="AN22" s="472"/>
      <x:c r="AO22" s="472"/>
      <x:c r="AP22" s="472"/>
      <x:c r="AQ22" s="472"/>
      <x:c r="AR22" s="472"/>
      <x:c r="AS22" s="472"/>
      <x:c r="AT22" s="472"/>
      <x:c r="AU22" s="472"/>
      <x:c r="AV22" s="472"/>
      <x:c r="AW22" s="472"/>
      <x:c r="AX22" s="472"/>
    </x:row>
    <x:row r="23">
      <x:c r="A23" s="462"/>
      <x:c r="B23" s="46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  <x:c r="AA23" s="472"/>
      <x:c r="AB23" s="472"/>
      <x:c r="AC23" s="472"/>
      <x:c r="AD23" s="472"/>
      <x:c r="AE23" s="472"/>
      <x:c r="AF23" s="472"/>
      <x:c r="AG23" s="472"/>
      <x:c r="AH23" s="472"/>
      <x:c r="AI23" s="472"/>
      <x:c r="AJ23" s="472"/>
      <x:c r="AK23" s="472"/>
      <x:c r="AL23" s="472"/>
      <x:c r="AM23" s="472"/>
      <x:c r="AN23" s="472"/>
      <x:c r="AO23" s="472"/>
      <x:c r="AP23" s="472"/>
      <x:c r="AQ23" s="472"/>
      <x:c r="AR23" s="472"/>
      <x:c r="AS23" s="472"/>
      <x:c r="AT23" s="472"/>
      <x:c r="AU23" s="472"/>
      <x:c r="AV23" s="472"/>
      <x:c r="AW23" s="472"/>
      <x:c r="AX23" s="472"/>
    </x:row>
    <x:row r="24">
      <x:c r="A24" s="462"/>
      <x:c r="B24" s="46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  <x:c r="AA24" s="472"/>
      <x:c r="AB24" s="472"/>
      <x:c r="AC24" s="472"/>
      <x:c r="AD24" s="472"/>
      <x:c r="AE24" s="472"/>
      <x:c r="AF24" s="472"/>
      <x:c r="AG24" s="472"/>
      <x:c r="AH24" s="472"/>
      <x:c r="AI24" s="472"/>
      <x:c r="AJ24" s="472"/>
      <x:c r="AK24" s="472"/>
      <x:c r="AL24" s="472"/>
      <x:c r="AM24" s="472"/>
      <x:c r="AN24" s="472"/>
      <x:c r="AO24" s="472"/>
      <x:c r="AP24" s="472"/>
      <x:c r="AQ24" s="472"/>
      <x:c r="AR24" s="472"/>
      <x:c r="AS24" s="472"/>
      <x:c r="AT24" s="472"/>
      <x:c r="AU24" s="472"/>
      <x:c r="AV24" s="472"/>
      <x:c r="AW24" s="472"/>
      <x:c r="AX24" s="472"/>
    </x:row>
    <x:row r="25">
      <x:c r="A25" s="462"/>
      <x:c r="B25" s="46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  <x:c r="AA25" s="472"/>
      <x:c r="AB25" s="472"/>
      <x:c r="AC25" s="472"/>
      <x:c r="AD25" s="472"/>
      <x:c r="AE25" s="472"/>
      <x:c r="AF25" s="472"/>
      <x:c r="AG25" s="472"/>
      <x:c r="AH25" s="472"/>
      <x:c r="AI25" s="472"/>
      <x:c r="AJ25" s="472"/>
      <x:c r="AK25" s="472"/>
      <x:c r="AL25" s="472"/>
      <x:c r="AM25" s="472"/>
      <x:c r="AN25" s="472"/>
      <x:c r="AO25" s="472"/>
      <x:c r="AP25" s="472"/>
      <x:c r="AQ25" s="472"/>
      <x:c r="AR25" s="472"/>
      <x:c r="AS25" s="472"/>
      <x:c r="AT25" s="472"/>
      <x:c r="AU25" s="472"/>
      <x:c r="AV25" s="472"/>
      <x:c r="AW25" s="472"/>
      <x:c r="AX25" s="472"/>
    </x:row>
    <x:row r="26">
      <x:c r="A26" s="462"/>
      <x:c r="B26" s="46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  <x:c r="AA26" s="472"/>
      <x:c r="AB26" s="472"/>
      <x:c r="AC26" s="472"/>
      <x:c r="AD26" s="472"/>
      <x:c r="AE26" s="472"/>
      <x:c r="AF26" s="472"/>
      <x:c r="AG26" s="472"/>
      <x:c r="AH26" s="472"/>
      <x:c r="AI26" s="472"/>
      <x:c r="AJ26" s="472"/>
      <x:c r="AK26" s="472"/>
      <x:c r="AL26" s="472"/>
      <x:c r="AM26" s="472"/>
      <x:c r="AN26" s="472"/>
      <x:c r="AO26" s="472"/>
      <x:c r="AP26" s="472"/>
      <x:c r="AQ26" s="472"/>
      <x:c r="AR26" s="472"/>
      <x:c r="AS26" s="472"/>
      <x:c r="AT26" s="472"/>
      <x:c r="AU26" s="472"/>
      <x:c r="AV26" s="472"/>
      <x:c r="AW26" s="472"/>
      <x:c r="AX26" s="472"/>
    </x:row>
    <x:row r="27">
      <x:c r="A27" s="462"/>
      <x:c r="B27" s="46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  <x:c r="AA27" s="472"/>
      <x:c r="AB27" s="472"/>
      <x:c r="AC27" s="472"/>
      <x:c r="AD27" s="472"/>
      <x:c r="AE27" s="472"/>
      <x:c r="AF27" s="472"/>
      <x:c r="AG27" s="472"/>
      <x:c r="AH27" s="472"/>
      <x:c r="AI27" s="472"/>
      <x:c r="AJ27" s="472"/>
      <x:c r="AK27" s="472"/>
      <x:c r="AL27" s="472"/>
      <x:c r="AM27" s="472"/>
      <x:c r="AN27" s="472"/>
      <x:c r="AO27" s="472"/>
      <x:c r="AP27" s="472"/>
      <x:c r="AQ27" s="472"/>
      <x:c r="AR27" s="472"/>
      <x:c r="AS27" s="472"/>
      <x:c r="AT27" s="472"/>
      <x:c r="AU27" s="472"/>
      <x:c r="AV27" s="472"/>
      <x:c r="AW27" s="472"/>
      <x:c r="AX27" s="472"/>
    </x:row>
    <x:row r="28">
      <x:c r="A28" s="462"/>
      <x:c r="B28" s="46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  <x:c r="AA28" s="472"/>
      <x:c r="AB28" s="472"/>
      <x:c r="AC28" s="472"/>
      <x:c r="AD28" s="472"/>
      <x:c r="AE28" s="472"/>
      <x:c r="AF28" s="472"/>
      <x:c r="AG28" s="472"/>
      <x:c r="AH28" s="472"/>
      <x:c r="AI28" s="472"/>
      <x:c r="AJ28" s="472"/>
      <x:c r="AK28" s="472"/>
      <x:c r="AL28" s="472"/>
      <x:c r="AM28" s="472"/>
      <x:c r="AN28" s="472"/>
      <x:c r="AO28" s="472"/>
      <x:c r="AP28" s="472"/>
      <x:c r="AQ28" s="472"/>
      <x:c r="AR28" s="472"/>
      <x:c r="AS28" s="472"/>
      <x:c r="AT28" s="472"/>
      <x:c r="AU28" s="472"/>
      <x:c r="AV28" s="472"/>
      <x:c r="AW28" s="472"/>
      <x:c r="AX28" s="472"/>
    </x:row>
    <x:row r="29">
      <x:c r="A29" s="462"/>
      <x:c r="B29" s="46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  <x:c r="AA29" s="472"/>
      <x:c r="AB29" s="472"/>
      <x:c r="AC29" s="472"/>
      <x:c r="AD29" s="472"/>
      <x:c r="AE29" s="472"/>
      <x:c r="AF29" s="472"/>
      <x:c r="AG29" s="472"/>
      <x:c r="AH29" s="472"/>
      <x:c r="AI29" s="472"/>
      <x:c r="AJ29" s="472"/>
      <x:c r="AK29" s="472"/>
      <x:c r="AL29" s="472"/>
      <x:c r="AM29" s="472"/>
      <x:c r="AN29" s="472"/>
      <x:c r="AO29" s="472"/>
      <x:c r="AP29" s="472"/>
      <x:c r="AQ29" s="472"/>
      <x:c r="AR29" s="472"/>
      <x:c r="AS29" s="472"/>
      <x:c r="AT29" s="472"/>
      <x:c r="AU29" s="472"/>
      <x:c r="AV29" s="472"/>
      <x:c r="AW29" s="472"/>
      <x:c r="AX29" s="472"/>
    </x:row>
    <x:row r="30">
      <x:c r="A30" s="462"/>
      <x:c r="B30" s="46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  <x:c r="AA30" s="472"/>
      <x:c r="AB30" s="472"/>
      <x:c r="AC30" s="472"/>
      <x:c r="AD30" s="472"/>
      <x:c r="AE30" s="472"/>
      <x:c r="AF30" s="472"/>
      <x:c r="AG30" s="472"/>
      <x:c r="AH30" s="472"/>
      <x:c r="AI30" s="472"/>
      <x:c r="AJ30" s="472"/>
      <x:c r="AK30" s="472"/>
      <x:c r="AL30" s="472"/>
      <x:c r="AM30" s="472"/>
      <x:c r="AN30" s="472"/>
      <x:c r="AO30" s="472"/>
      <x:c r="AP30" s="472"/>
      <x:c r="AQ30" s="472"/>
      <x:c r="AR30" s="472"/>
      <x:c r="AS30" s="472"/>
      <x:c r="AT30" s="472"/>
      <x:c r="AU30" s="472"/>
      <x:c r="AV30" s="472"/>
      <x:c r="AW30" s="472"/>
      <x:c r="AX30" s="472"/>
    </x:row>
    <x:row r="31">
      <x:c r="A31" s="462"/>
      <x:c r="B31" s="46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  <x:c r="AA31" s="472"/>
      <x:c r="AB31" s="472"/>
      <x:c r="AC31" s="472"/>
      <x:c r="AD31" s="472"/>
      <x:c r="AE31" s="472"/>
      <x:c r="AF31" s="472"/>
      <x:c r="AG31" s="472"/>
      <x:c r="AH31" s="472"/>
      <x:c r="AI31" s="472"/>
      <x:c r="AJ31" s="472"/>
      <x:c r="AK31" s="472"/>
      <x:c r="AL31" s="472"/>
      <x:c r="AM31" s="472"/>
      <x:c r="AN31" s="472"/>
      <x:c r="AO31" s="472"/>
      <x:c r="AP31" s="472"/>
      <x:c r="AQ31" s="472"/>
      <x:c r="AR31" s="472"/>
      <x:c r="AS31" s="472"/>
      <x:c r="AT31" s="472"/>
      <x:c r="AU31" s="472"/>
      <x:c r="AV31" s="472"/>
      <x:c r="AW31" s="472"/>
      <x:c r="AX31" s="472"/>
    </x:row>
    <x:row r="32">
      <x:c r="A32" s="462"/>
      <x:c r="B32" s="46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  <x:c r="AA32" s="472"/>
      <x:c r="AB32" s="472"/>
      <x:c r="AC32" s="472"/>
      <x:c r="AD32" s="472"/>
      <x:c r="AE32" s="472"/>
      <x:c r="AF32" s="472"/>
      <x:c r="AG32" s="472"/>
      <x:c r="AH32" s="472"/>
      <x:c r="AI32" s="472"/>
      <x:c r="AJ32" s="472"/>
      <x:c r="AK32" s="472"/>
      <x:c r="AL32" s="472"/>
      <x:c r="AM32" s="472"/>
      <x:c r="AN32" s="472"/>
      <x:c r="AO32" s="472"/>
      <x:c r="AP32" s="472"/>
      <x:c r="AQ32" s="472"/>
      <x:c r="AR32" s="472"/>
      <x:c r="AS32" s="472"/>
      <x:c r="AT32" s="472"/>
      <x:c r="AU32" s="472"/>
      <x:c r="AV32" s="472"/>
      <x:c r="AW32" s="472"/>
      <x:c r="AX32" s="472"/>
    </x:row>
    <x:row r="33">
      <x:c r="A33" s="462"/>
      <x:c r="B33" s="46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  <x:c r="AA33" s="472"/>
      <x:c r="AB33" s="472"/>
      <x:c r="AC33" s="472"/>
      <x:c r="AD33" s="472"/>
      <x:c r="AE33" s="472"/>
      <x:c r="AF33" s="472"/>
      <x:c r="AG33" s="472"/>
      <x:c r="AH33" s="472"/>
      <x:c r="AI33" s="472"/>
      <x:c r="AJ33" s="472"/>
      <x:c r="AK33" s="472"/>
      <x:c r="AL33" s="472"/>
      <x:c r="AM33" s="472"/>
      <x:c r="AN33" s="472"/>
      <x:c r="AO33" s="472"/>
      <x:c r="AP33" s="472"/>
      <x:c r="AQ33" s="472"/>
      <x:c r="AR33" s="472"/>
      <x:c r="AS33" s="472"/>
      <x:c r="AT33" s="472"/>
      <x:c r="AU33" s="472"/>
      <x:c r="AV33" s="472"/>
      <x:c r="AW33" s="472"/>
      <x:c r="AX33" s="472"/>
    </x:row>
    <x:row r="34">
      <x:c r="A34" s="462"/>
      <x:c r="B34" s="46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  <x:c r="AA34" s="472"/>
      <x:c r="AB34" s="472"/>
      <x:c r="AC34" s="472"/>
      <x:c r="AD34" s="472"/>
      <x:c r="AE34" s="472"/>
      <x:c r="AF34" s="472"/>
      <x:c r="AG34" s="472"/>
      <x:c r="AH34" s="472"/>
      <x:c r="AI34" s="472"/>
      <x:c r="AJ34" s="472"/>
      <x:c r="AK34" s="472"/>
      <x:c r="AL34" s="472"/>
      <x:c r="AM34" s="472"/>
      <x:c r="AN34" s="472"/>
      <x:c r="AO34" s="472"/>
      <x:c r="AP34" s="472"/>
      <x:c r="AQ34" s="472"/>
      <x:c r="AR34" s="472"/>
      <x:c r="AS34" s="472"/>
      <x:c r="AT34" s="472"/>
      <x:c r="AU34" s="472"/>
      <x:c r="AV34" s="472"/>
      <x:c r="AW34" s="472"/>
      <x:c r="AX34" s="472"/>
    </x:row>
    <x:row r="35">
      <x:c r="A35" s="462"/>
      <x:c r="B35" s="46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  <x:c r="AA35" s="472"/>
      <x:c r="AB35" s="472"/>
      <x:c r="AC35" s="472"/>
      <x:c r="AD35" s="472"/>
      <x:c r="AE35" s="472"/>
      <x:c r="AF35" s="472"/>
      <x:c r="AG35" s="472"/>
      <x:c r="AH35" s="472"/>
      <x:c r="AI35" s="472"/>
      <x:c r="AJ35" s="472"/>
      <x:c r="AK35" s="472"/>
      <x:c r="AL35" s="472"/>
      <x:c r="AM35" s="472"/>
      <x:c r="AN35" s="472"/>
      <x:c r="AO35" s="472"/>
      <x:c r="AP35" s="472"/>
      <x:c r="AQ35" s="472"/>
      <x:c r="AR35" s="472"/>
      <x:c r="AS35" s="472"/>
      <x:c r="AT35" s="472"/>
      <x:c r="AU35" s="472"/>
      <x:c r="AV35" s="472"/>
      <x:c r="AW35" s="472"/>
      <x:c r="AX35" s="472"/>
    </x:row>
    <x:row r="36">
      <x:c r="A36" s="462"/>
      <x:c r="B36" s="46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  <x:c r="AA36" s="472"/>
      <x:c r="AB36" s="472"/>
      <x:c r="AC36" s="472"/>
      <x:c r="AD36" s="472"/>
      <x:c r="AE36" s="472"/>
      <x:c r="AF36" s="472"/>
      <x:c r="AG36" s="472"/>
      <x:c r="AH36" s="472"/>
      <x:c r="AI36" s="472"/>
      <x:c r="AJ36" s="472"/>
      <x:c r="AK36" s="472"/>
      <x:c r="AL36" s="472"/>
      <x:c r="AM36" s="472"/>
      <x:c r="AN36" s="472"/>
      <x:c r="AO36" s="472"/>
      <x:c r="AP36" s="472"/>
      <x:c r="AQ36" s="472"/>
      <x:c r="AR36" s="472"/>
      <x:c r="AS36" s="472"/>
      <x:c r="AT36" s="472"/>
      <x:c r="AU36" s="472"/>
      <x:c r="AV36" s="472"/>
      <x:c r="AW36" s="472"/>
      <x:c r="AX36" s="472"/>
    </x:row>
    <x:row r="37">
      <x:c r="A37" s="462"/>
      <x:c r="B37" s="46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  <x:c r="AA37" s="472"/>
      <x:c r="AB37" s="472"/>
      <x:c r="AC37" s="472"/>
      <x:c r="AD37" s="472"/>
      <x:c r="AE37" s="472"/>
      <x:c r="AF37" s="472"/>
      <x:c r="AG37" s="472"/>
      <x:c r="AH37" s="472"/>
      <x:c r="AI37" s="472"/>
      <x:c r="AJ37" s="472"/>
      <x:c r="AK37" s="472"/>
      <x:c r="AL37" s="472"/>
      <x:c r="AM37" s="472"/>
      <x:c r="AN37" s="472"/>
      <x:c r="AO37" s="472"/>
      <x:c r="AP37" s="472"/>
      <x:c r="AQ37" s="472"/>
      <x:c r="AR37" s="472"/>
      <x:c r="AS37" s="472"/>
      <x:c r="AT37" s="472"/>
      <x:c r="AU37" s="472"/>
      <x:c r="AV37" s="472"/>
      <x:c r="AW37" s="472"/>
      <x:c r="AX37" s="472"/>
    </x:row>
    <x:row r="38">
      <x:c r="A38" s="462"/>
      <x:c r="B38" s="46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  <x:c r="AA38" s="472"/>
      <x:c r="AB38" s="472"/>
      <x:c r="AC38" s="472"/>
      <x:c r="AD38" s="472"/>
      <x:c r="AE38" s="472"/>
      <x:c r="AF38" s="472"/>
      <x:c r="AG38" s="472"/>
      <x:c r="AH38" s="472"/>
      <x:c r="AI38" s="472"/>
      <x:c r="AJ38" s="472"/>
      <x:c r="AK38" s="472"/>
      <x:c r="AL38" s="472"/>
      <x:c r="AM38" s="472"/>
      <x:c r="AN38" s="472"/>
      <x:c r="AO38" s="472"/>
      <x:c r="AP38" s="472"/>
      <x:c r="AQ38" s="472"/>
      <x:c r="AR38" s="472"/>
      <x:c r="AS38" s="472"/>
      <x:c r="AT38" s="472"/>
      <x:c r="AU38" s="472"/>
      <x:c r="AV38" s="472"/>
      <x:c r="AW38" s="472"/>
      <x:c r="AX38" s="472"/>
    </x:row>
    <x:row r="39">
      <x:c r="A39" s="462"/>
      <x:c r="B39" s="46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  <x:c r="AA39" s="472"/>
      <x:c r="AB39" s="472"/>
      <x:c r="AC39" s="472"/>
      <x:c r="AD39" s="472"/>
      <x:c r="AE39" s="472"/>
      <x:c r="AF39" s="472"/>
      <x:c r="AG39" s="472"/>
      <x:c r="AH39" s="472"/>
      <x:c r="AI39" s="472"/>
      <x:c r="AJ39" s="472"/>
      <x:c r="AK39" s="472"/>
      <x:c r="AL39" s="472"/>
      <x:c r="AM39" s="472"/>
      <x:c r="AN39" s="472"/>
      <x:c r="AO39" s="472"/>
      <x:c r="AP39" s="472"/>
      <x:c r="AQ39" s="472"/>
      <x:c r="AR39" s="472"/>
      <x:c r="AS39" s="472"/>
      <x:c r="AT39" s="472"/>
      <x:c r="AU39" s="472"/>
      <x:c r="AV39" s="472"/>
      <x:c r="AW39" s="472"/>
      <x:c r="AX39" s="472"/>
    </x:row>
    <x:row r="40">
      <x:c r="A40" s="462"/>
      <x:c r="B40" s="46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  <x:c r="AA40" s="472"/>
      <x:c r="AB40" s="472"/>
      <x:c r="AC40" s="472"/>
      <x:c r="AD40" s="472"/>
      <x:c r="AE40" s="472"/>
      <x:c r="AF40" s="472"/>
      <x:c r="AG40" s="472"/>
      <x:c r="AH40" s="472"/>
      <x:c r="AI40" s="472"/>
      <x:c r="AJ40" s="472"/>
      <x:c r="AK40" s="472"/>
      <x:c r="AL40" s="472"/>
      <x:c r="AM40" s="472"/>
      <x:c r="AN40" s="472"/>
      <x:c r="AO40" s="472"/>
      <x:c r="AP40" s="472"/>
      <x:c r="AQ40" s="472"/>
      <x:c r="AR40" s="472"/>
      <x:c r="AS40" s="472"/>
      <x:c r="AT40" s="472"/>
      <x:c r="AU40" s="472"/>
      <x:c r="AV40" s="472"/>
      <x:c r="AW40" s="472"/>
      <x:c r="AX40" s="472"/>
    </x:row>
    <x:row r="41">
      <x:c r="A41" s="462"/>
      <x:c r="B41" s="46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  <x:c r="AA41" s="472"/>
      <x:c r="AB41" s="472"/>
      <x:c r="AC41" s="472"/>
      <x:c r="AD41" s="472"/>
      <x:c r="AE41" s="472"/>
      <x:c r="AF41" s="472"/>
      <x:c r="AG41" s="472"/>
      <x:c r="AH41" s="472"/>
      <x:c r="AI41" s="472"/>
      <x:c r="AJ41" s="472"/>
      <x:c r="AK41" s="472"/>
      <x:c r="AL41" s="472"/>
      <x:c r="AM41" s="472"/>
      <x:c r="AN41" s="472"/>
      <x:c r="AO41" s="472"/>
      <x:c r="AP41" s="472"/>
      <x:c r="AQ41" s="472"/>
      <x:c r="AR41" s="472"/>
      <x:c r="AS41" s="472"/>
      <x:c r="AT41" s="472"/>
      <x:c r="AU41" s="472"/>
      <x:c r="AV41" s="472"/>
      <x:c r="AW41" s="472"/>
      <x:c r="AX41" s="472"/>
    </x:row>
    <x:row r="42">
      <x:c r="A42" s="462"/>
      <x:c r="B42" s="46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  <x:c r="AA42" s="472"/>
      <x:c r="AB42" s="472"/>
      <x:c r="AC42" s="472"/>
      <x:c r="AD42" s="472"/>
      <x:c r="AE42" s="472"/>
      <x:c r="AF42" s="472"/>
      <x:c r="AG42" s="472"/>
      <x:c r="AH42" s="472"/>
      <x:c r="AI42" s="472"/>
      <x:c r="AJ42" s="472"/>
      <x:c r="AK42" s="472"/>
      <x:c r="AL42" s="472"/>
      <x:c r="AM42" s="472"/>
      <x:c r="AN42" s="472"/>
      <x:c r="AO42" s="472"/>
      <x:c r="AP42" s="472"/>
      <x:c r="AQ42" s="472"/>
      <x:c r="AR42" s="472"/>
      <x:c r="AS42" s="472"/>
      <x:c r="AT42" s="472"/>
      <x:c r="AU42" s="472"/>
      <x:c r="AV42" s="472"/>
      <x:c r="AW42" s="472"/>
      <x:c r="AX42" s="472"/>
    </x:row>
    <x:row r="43">
      <x:c r="A43" s="462"/>
      <x:c r="B43" s="46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  <x:c r="AA43" s="472"/>
      <x:c r="AB43" s="472"/>
      <x:c r="AC43" s="472"/>
      <x:c r="AD43" s="472"/>
      <x:c r="AE43" s="472"/>
      <x:c r="AF43" s="472"/>
      <x:c r="AG43" s="472"/>
      <x:c r="AH43" s="472"/>
      <x:c r="AI43" s="472"/>
      <x:c r="AJ43" s="472"/>
      <x:c r="AK43" s="472"/>
      <x:c r="AL43" s="472"/>
      <x:c r="AM43" s="472"/>
      <x:c r="AN43" s="472"/>
      <x:c r="AO43" s="472"/>
      <x:c r="AP43" s="472"/>
      <x:c r="AQ43" s="472"/>
      <x:c r="AR43" s="472"/>
      <x:c r="AS43" s="472"/>
      <x:c r="AT43" s="472"/>
      <x:c r="AU43" s="472"/>
      <x:c r="AV43" s="472"/>
      <x:c r="AW43" s="472"/>
      <x:c r="AX43" s="472"/>
    </x:row>
    <x:row r="44">
      <x:c r="A44" s="462"/>
      <x:c r="B44" s="46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  <x:c r="AA44" s="472"/>
      <x:c r="AB44" s="472"/>
      <x:c r="AC44" s="472"/>
      <x:c r="AD44" s="472"/>
      <x:c r="AE44" s="472"/>
      <x:c r="AF44" s="472"/>
      <x:c r="AG44" s="472"/>
      <x:c r="AH44" s="472"/>
      <x:c r="AI44" s="472"/>
      <x:c r="AJ44" s="472"/>
      <x:c r="AK44" s="472"/>
      <x:c r="AL44" s="472"/>
      <x:c r="AM44" s="472"/>
      <x:c r="AN44" s="472"/>
      <x:c r="AO44" s="472"/>
      <x:c r="AP44" s="472"/>
      <x:c r="AQ44" s="472"/>
      <x:c r="AR44" s="472"/>
      <x:c r="AS44" s="472"/>
      <x:c r="AT44" s="472"/>
      <x:c r="AU44" s="472"/>
      <x:c r="AV44" s="472"/>
      <x:c r="AW44" s="472"/>
      <x:c r="AX44" s="472"/>
    </x:row>
    <x:row r="45">
      <x:c r="A45" s="462"/>
      <x:c r="B45" s="46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  <x:c r="AA45" s="472"/>
      <x:c r="AB45" s="472"/>
      <x:c r="AC45" s="472"/>
      <x:c r="AD45" s="472"/>
      <x:c r="AE45" s="472"/>
      <x:c r="AF45" s="472"/>
      <x:c r="AG45" s="472"/>
      <x:c r="AH45" s="472"/>
      <x:c r="AI45" s="472"/>
      <x:c r="AJ45" s="472"/>
      <x:c r="AK45" s="472"/>
      <x:c r="AL45" s="472"/>
      <x:c r="AM45" s="472"/>
      <x:c r="AN45" s="472"/>
      <x:c r="AO45" s="472"/>
      <x:c r="AP45" s="472"/>
      <x:c r="AQ45" s="472"/>
      <x:c r="AR45" s="472"/>
      <x:c r="AS45" s="472"/>
      <x:c r="AT45" s="472"/>
      <x:c r="AU45" s="472"/>
      <x:c r="AV45" s="472"/>
      <x:c r="AW45" s="472"/>
      <x:c r="AX45" s="472"/>
    </x:row>
    <x:row r="46">
      <x:c r="A46" s="462"/>
      <x:c r="B46" s="46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  <x:c r="AA46" s="472"/>
      <x:c r="AB46" s="472"/>
      <x:c r="AC46" s="472"/>
      <x:c r="AD46" s="472"/>
      <x:c r="AE46" s="472"/>
      <x:c r="AF46" s="472"/>
      <x:c r="AG46" s="472"/>
      <x:c r="AH46" s="472"/>
      <x:c r="AI46" s="472"/>
      <x:c r="AJ46" s="472"/>
      <x:c r="AK46" s="472"/>
      <x:c r="AL46" s="472"/>
      <x:c r="AM46" s="472"/>
      <x:c r="AN46" s="472"/>
      <x:c r="AO46" s="472"/>
      <x:c r="AP46" s="472"/>
      <x:c r="AQ46" s="472"/>
      <x:c r="AR46" s="472"/>
      <x:c r="AS46" s="472"/>
      <x:c r="AT46" s="472"/>
      <x:c r="AU46" s="472"/>
      <x:c r="AV46" s="472"/>
      <x:c r="AW46" s="472"/>
      <x:c r="AX46" s="472"/>
    </x:row>
    <x:row r="47">
      <x:c r="A47" s="462"/>
      <x:c r="B47" s="46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  <x:c r="AA47" s="472"/>
      <x:c r="AB47" s="472"/>
      <x:c r="AC47" s="472"/>
      <x:c r="AD47" s="472"/>
      <x:c r="AE47" s="472"/>
      <x:c r="AF47" s="472"/>
      <x:c r="AG47" s="472"/>
      <x:c r="AH47" s="472"/>
      <x:c r="AI47" s="472"/>
      <x:c r="AJ47" s="472"/>
      <x:c r="AK47" s="472"/>
      <x:c r="AL47" s="472"/>
      <x:c r="AM47" s="472"/>
      <x:c r="AN47" s="472"/>
      <x:c r="AO47" s="472"/>
      <x:c r="AP47" s="472"/>
      <x:c r="AQ47" s="472"/>
      <x:c r="AR47" s="472"/>
      <x:c r="AS47" s="472"/>
      <x:c r="AT47" s="472"/>
      <x:c r="AU47" s="472"/>
      <x:c r="AV47" s="472"/>
      <x:c r="AW47" s="472"/>
      <x:c r="AX47" s="472"/>
    </x:row>
    <x:row r="48">
      <x:c r="A48" s="462"/>
      <x:c r="B48" s="46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  <x:c r="AA48" s="472"/>
      <x:c r="AB48" s="472"/>
      <x:c r="AC48" s="472"/>
      <x:c r="AD48" s="472"/>
      <x:c r="AE48" s="472"/>
      <x:c r="AF48" s="472"/>
      <x:c r="AG48" s="472"/>
      <x:c r="AH48" s="472"/>
      <x:c r="AI48" s="472"/>
      <x:c r="AJ48" s="472"/>
      <x:c r="AK48" s="472"/>
      <x:c r="AL48" s="472"/>
      <x:c r="AM48" s="472"/>
      <x:c r="AN48" s="472"/>
      <x:c r="AO48" s="472"/>
      <x:c r="AP48" s="472"/>
      <x:c r="AQ48" s="472"/>
      <x:c r="AR48" s="472"/>
      <x:c r="AS48" s="472"/>
      <x:c r="AT48" s="472"/>
      <x:c r="AU48" s="472"/>
      <x:c r="AV48" s="472"/>
      <x:c r="AW48" s="472"/>
      <x:c r="AX48" s="472"/>
    </x:row>
    <x:row r="49">
      <x:c r="A49" s="462"/>
      <x:c r="B49" s="46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  <x:c r="AA49" s="472"/>
      <x:c r="AB49" s="472"/>
      <x:c r="AC49" s="472"/>
      <x:c r="AD49" s="472"/>
      <x:c r="AE49" s="472"/>
      <x:c r="AF49" s="472"/>
      <x:c r="AG49" s="472"/>
      <x:c r="AH49" s="472"/>
      <x:c r="AI49" s="472"/>
      <x:c r="AJ49" s="472"/>
      <x:c r="AK49" s="472"/>
      <x:c r="AL49" s="472"/>
      <x:c r="AM49" s="472"/>
      <x:c r="AN49" s="472"/>
      <x:c r="AO49" s="472"/>
      <x:c r="AP49" s="472"/>
      <x:c r="AQ49" s="472"/>
      <x:c r="AR49" s="472"/>
      <x:c r="AS49" s="472"/>
      <x:c r="AT49" s="472"/>
      <x:c r="AU49" s="472"/>
      <x:c r="AV49" s="472"/>
      <x:c r="AW49" s="472"/>
      <x:c r="AX49" s="472"/>
    </x:row>
    <x:row r="50">
      <x:c r="A50" s="462"/>
      <x:c r="B50" s="46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  <x:c r="AA50" s="472"/>
      <x:c r="AB50" s="472"/>
      <x:c r="AC50" s="472"/>
      <x:c r="AD50" s="472"/>
      <x:c r="AE50" s="472"/>
      <x:c r="AF50" s="472"/>
      <x:c r="AG50" s="472"/>
      <x:c r="AH50" s="472"/>
      <x:c r="AI50" s="472"/>
      <x:c r="AJ50" s="472"/>
      <x:c r="AK50" s="472"/>
      <x:c r="AL50" s="472"/>
      <x:c r="AM50" s="472"/>
      <x:c r="AN50" s="472"/>
      <x:c r="AO50" s="472"/>
      <x:c r="AP50" s="472"/>
      <x:c r="AQ50" s="472"/>
      <x:c r="AR50" s="472"/>
      <x:c r="AS50" s="472"/>
      <x:c r="AT50" s="472"/>
      <x:c r="AU50" s="472"/>
      <x:c r="AV50" s="472"/>
      <x:c r="AW50" s="472"/>
      <x:c r="AX50" s="47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</x:cols>
  <x:sheetData>
    <x:row r="1">
      <x:c r="A1" s="453"/>
      <x:c r="B1" s="453"/>
      <x:c r="C1" s="463"/>
      <x:c r="D1" s="463"/>
      <x:c r="E1" s="463"/>
      <x:c r="F1" s="463"/>
      <x:c r="G1" s="463"/>
      <x:c r="H1" s="463"/>
      <x:c r="I1" s="463"/>
      <x:c r="J1" s="463"/>
      <x:c r="K1" s="463"/>
      <x:c r="L1" s="463"/>
      <x:c r="M1" s="463"/>
      <x:c r="N1" s="463"/>
      <x:c r="O1" s="463"/>
      <x:c r="P1" s="463"/>
      <x:c r="Q1" s="463"/>
      <x:c r="R1" s="463"/>
      <x:c r="S1" s="463"/>
      <x:c r="T1" s="463"/>
      <x:c r="U1" s="463"/>
      <x:c r="V1" s="463"/>
      <x:c r="W1" s="463"/>
      <x:c r="X1" s="463"/>
      <x:c r="Y1" s="463"/>
      <x:c r="Z1" s="463"/>
      <x:c r="AA1" s="463"/>
      <x:c r="AB1" s="463"/>
      <x:c r="AC1" s="463"/>
      <x:c r="AD1" s="463"/>
      <x:c r="AE1" s="463"/>
      <x:c r="AF1" s="463"/>
      <x:c r="AG1" s="463"/>
      <x:c r="AH1" s="463"/>
      <x:c r="AI1" s="463"/>
      <x:c r="AJ1" s="463"/>
      <x:c r="AK1" s="463"/>
      <x:c r="AL1" s="463"/>
      <x:c r="AM1" s="463"/>
      <x:c r="AN1" s="463"/>
      <x:c r="AO1" s="463"/>
      <x:c r="AP1" s="463"/>
      <x:c r="AQ1" s="463"/>
      <x:c r="AR1" s="463"/>
      <x:c r="AS1" s="463"/>
      <x:c r="AT1" s="463"/>
      <x:c r="AU1" s="463"/>
      <x:c r="AV1" s="463"/>
      <x:c r="AW1" s="463"/>
      <x:c r="AX1" s="463"/>
    </x:row>
    <x:row r="2">
      <x:c r="A2" s="454"/>
      <x:c r="B2" s="455"/>
      <x:c r="C2" s="464"/>
      <x:c r="D2" s="464"/>
      <x:c r="E2" s="464"/>
      <x:c r="F2" s="464"/>
      <x:c r="G2" s="464"/>
      <x:c r="H2" s="464"/>
      <x:c r="I2" s="464"/>
      <x:c r="J2" s="464"/>
      <x:c r="K2" s="464"/>
      <x:c r="L2" s="464"/>
      <x:c r="M2" s="464"/>
      <x:c r="N2" s="464"/>
      <x:c r="O2" s="464"/>
      <x:c r="P2" s="464"/>
      <x:c r="Q2" s="464"/>
      <x:c r="R2" s="464"/>
      <x:c r="S2" s="464"/>
      <x:c r="T2" s="464"/>
      <x:c r="U2" s="464"/>
      <x:c r="V2" s="464"/>
      <x:c r="W2" s="464"/>
      <x:c r="X2" s="464"/>
      <x:c r="Y2" s="464"/>
      <x:c r="Z2" s="464"/>
      <x:c r="AA2" s="464"/>
      <x:c r="AB2" s="464"/>
      <x:c r="AC2" s="464"/>
      <x:c r="AD2" s="464"/>
      <x:c r="AE2" s="464"/>
      <x:c r="AF2" s="464"/>
      <x:c r="AG2" s="464"/>
      <x:c r="AH2" s="464"/>
      <x:c r="AI2" s="464"/>
      <x:c r="AJ2" s="464"/>
      <x:c r="AK2" s="464"/>
      <x:c r="AL2" s="464"/>
      <x:c r="AM2" s="464"/>
      <x:c r="AN2" s="464"/>
      <x:c r="AO2" s="464"/>
      <x:c r="AP2" s="464"/>
      <x:c r="AQ2" s="464"/>
      <x:c r="AR2" s="464"/>
      <x:c r="AS2" s="464"/>
      <x:c r="AT2" s="464"/>
      <x:c r="AU2" s="464"/>
      <x:c r="AV2" s="464"/>
      <x:c r="AW2" s="464"/>
      <x:c r="AX2" s="465"/>
    </x:row>
    <x:row r="3">
      <x:c r="A3" s="456"/>
      <x:c r="B3" s="457"/>
      <x:c r="C3" s="466"/>
      <x:c r="D3" s="466"/>
      <x:c r="E3" s="466"/>
      <x:c r="F3" s="466"/>
      <x:c r="G3" s="466"/>
      <x:c r="H3" s="466"/>
      <x:c r="I3" s="466"/>
      <x:c r="J3" s="466"/>
      <x:c r="K3" s="466"/>
      <x:c r="L3" s="466"/>
      <x:c r="M3" s="466"/>
      <x:c r="N3" s="466"/>
      <x:c r="O3" s="466"/>
      <x:c r="P3" s="466"/>
      <x:c r="Q3" s="466"/>
      <x:c r="R3" s="466"/>
      <x:c r="S3" s="466"/>
      <x:c r="T3" s="466"/>
      <x:c r="U3" s="466"/>
      <x:c r="V3" s="466"/>
      <x:c r="W3" s="466"/>
      <x:c r="X3" s="466"/>
      <x:c r="Y3" s="466"/>
      <x:c r="Z3" s="466"/>
      <x:c r="AA3" s="466"/>
      <x:c r="AB3" s="466"/>
      <x:c r="AC3" s="466"/>
      <x:c r="AD3" s="466"/>
      <x:c r="AE3" s="466"/>
      <x:c r="AF3" s="466"/>
      <x:c r="AG3" s="466"/>
      <x:c r="AH3" s="466"/>
      <x:c r="AI3" s="466"/>
      <x:c r="AJ3" s="466"/>
      <x:c r="AK3" s="466"/>
      <x:c r="AL3" s="466"/>
      <x:c r="AM3" s="466"/>
      <x:c r="AN3" s="466"/>
      <x:c r="AO3" s="466"/>
      <x:c r="AP3" s="466"/>
      <x:c r="AQ3" s="466"/>
      <x:c r="AR3" s="466"/>
      <x:c r="AS3" s="466"/>
      <x:c r="AT3" s="466"/>
      <x:c r="AU3" s="466"/>
      <x:c r="AV3" s="466"/>
      <x:c r="AW3" s="466"/>
      <x:c r="AX3" s="467"/>
    </x:row>
    <x:row r="4">
      <x:c r="A4" s="458"/>
      <x:c r="B4" s="459"/>
      <x:c r="C4" s="468"/>
      <x:c r="D4" s="468"/>
      <x:c r="E4" s="468"/>
      <x:c r="F4" s="468"/>
      <x:c r="G4" s="468"/>
      <x:c r="H4" s="468"/>
      <x:c r="I4" s="468"/>
      <x:c r="J4" s="468"/>
      <x:c r="K4" s="468"/>
      <x:c r="L4" s="468"/>
      <x:c r="M4" s="468"/>
      <x:c r="N4" s="468"/>
      <x:c r="O4" s="468"/>
      <x:c r="P4" s="468"/>
      <x:c r="Q4" s="468"/>
      <x:c r="R4" s="468"/>
      <x:c r="S4" s="468"/>
      <x:c r="T4" s="468"/>
      <x:c r="U4" s="468"/>
      <x:c r="V4" s="468"/>
      <x:c r="W4" s="468"/>
      <x:c r="X4" s="468"/>
      <x:c r="Y4" s="468"/>
      <x:c r="Z4" s="468"/>
      <x:c r="AA4" s="468"/>
      <x:c r="AB4" s="468"/>
      <x:c r="AC4" s="468"/>
      <x:c r="AD4" s="468"/>
      <x:c r="AE4" s="468"/>
      <x:c r="AF4" s="468"/>
      <x:c r="AG4" s="468"/>
      <x:c r="AH4" s="468"/>
      <x:c r="AI4" s="468"/>
      <x:c r="AJ4" s="468"/>
      <x:c r="AK4" s="468"/>
      <x:c r="AL4" s="468"/>
      <x:c r="AM4" s="468"/>
      <x:c r="AN4" s="468"/>
      <x:c r="AO4" s="468"/>
      <x:c r="AP4" s="468"/>
      <x:c r="AQ4" s="468"/>
      <x:c r="AR4" s="468"/>
      <x:c r="AS4" s="468"/>
      <x:c r="AT4" s="468"/>
      <x:c r="AU4" s="468"/>
      <x:c r="AV4" s="468"/>
      <x:c r="AW4" s="468"/>
      <x:c r="AX4" s="469"/>
    </x:row>
    <x:row r="5">
      <x:c r="A5" s="458"/>
      <x:c r="B5" s="459"/>
      <x:c r="C5" s="468"/>
      <x:c r="D5" s="468"/>
      <x:c r="E5" s="468"/>
      <x:c r="F5" s="468"/>
      <x:c r="G5" s="468"/>
      <x:c r="H5" s="468"/>
      <x:c r="I5" s="468"/>
      <x:c r="J5" s="468"/>
      <x:c r="K5" s="468"/>
      <x:c r="L5" s="468"/>
      <x:c r="M5" s="468"/>
      <x:c r="N5" s="468"/>
      <x:c r="O5" s="468"/>
      <x:c r="P5" s="468"/>
      <x:c r="Q5" s="468"/>
      <x:c r="R5" s="468"/>
      <x:c r="S5" s="468"/>
      <x:c r="T5" s="468"/>
      <x:c r="U5" s="468"/>
      <x:c r="V5" s="468"/>
      <x:c r="W5" s="468"/>
      <x:c r="X5" s="468"/>
      <x:c r="Y5" s="468"/>
      <x:c r="Z5" s="468"/>
      <x:c r="AA5" s="468"/>
      <x:c r="AB5" s="468"/>
      <x:c r="AC5" s="468"/>
      <x:c r="AD5" s="468"/>
      <x:c r="AE5" s="468"/>
      <x:c r="AF5" s="468"/>
      <x:c r="AG5" s="468"/>
      <x:c r="AH5" s="468"/>
      <x:c r="AI5" s="468"/>
      <x:c r="AJ5" s="468"/>
      <x:c r="AK5" s="468"/>
      <x:c r="AL5" s="468"/>
      <x:c r="AM5" s="468"/>
      <x:c r="AN5" s="468"/>
      <x:c r="AO5" s="468"/>
      <x:c r="AP5" s="468"/>
      <x:c r="AQ5" s="468"/>
      <x:c r="AR5" s="468"/>
      <x:c r="AS5" s="468"/>
      <x:c r="AT5" s="468"/>
      <x:c r="AU5" s="468"/>
      <x:c r="AV5" s="468"/>
      <x:c r="AW5" s="468"/>
      <x:c r="AX5" s="469"/>
    </x:row>
    <x:row r="6">
      <x:c r="A6" s="458"/>
      <x:c r="B6" s="459"/>
      <x:c r="C6" s="468"/>
      <x:c r="D6" s="468"/>
      <x:c r="E6" s="468"/>
      <x:c r="F6" s="468"/>
      <x:c r="G6" s="468"/>
      <x:c r="H6" s="468"/>
      <x:c r="I6" s="468"/>
      <x:c r="J6" s="468"/>
      <x:c r="K6" s="468"/>
      <x:c r="L6" s="468"/>
      <x:c r="M6" s="468"/>
      <x:c r="N6" s="468"/>
      <x:c r="O6" s="468"/>
      <x:c r="P6" s="468"/>
      <x:c r="Q6" s="468"/>
      <x:c r="R6" s="468"/>
      <x:c r="S6" s="468"/>
      <x:c r="T6" s="468"/>
      <x:c r="U6" s="468"/>
      <x:c r="V6" s="468"/>
      <x:c r="W6" s="468"/>
      <x:c r="X6" s="468"/>
      <x:c r="Y6" s="468"/>
      <x:c r="Z6" s="468"/>
      <x:c r="AA6" s="468"/>
      <x:c r="AB6" s="468"/>
      <x:c r="AC6" s="468"/>
      <x:c r="AD6" s="468"/>
      <x:c r="AE6" s="468"/>
      <x:c r="AF6" s="468"/>
      <x:c r="AG6" s="468"/>
      <x:c r="AH6" s="468"/>
      <x:c r="AI6" s="468"/>
      <x:c r="AJ6" s="468"/>
      <x:c r="AK6" s="468"/>
      <x:c r="AL6" s="468"/>
      <x:c r="AM6" s="468"/>
      <x:c r="AN6" s="468"/>
      <x:c r="AO6" s="468"/>
      <x:c r="AP6" s="468"/>
      <x:c r="AQ6" s="468"/>
      <x:c r="AR6" s="468"/>
      <x:c r="AS6" s="468"/>
      <x:c r="AT6" s="468"/>
      <x:c r="AU6" s="468"/>
      <x:c r="AV6" s="468"/>
      <x:c r="AW6" s="468"/>
      <x:c r="AX6" s="469"/>
    </x:row>
    <x:row r="7">
      <x:c r="A7" s="458"/>
      <x:c r="B7" s="459"/>
      <x:c r="C7" s="468"/>
      <x:c r="D7" s="468"/>
      <x:c r="E7" s="468"/>
      <x:c r="F7" s="468"/>
      <x:c r="G7" s="468"/>
      <x:c r="H7" s="468"/>
      <x:c r="I7" s="468"/>
      <x:c r="J7" s="468"/>
      <x:c r="K7" s="468"/>
      <x:c r="L7" s="468"/>
      <x:c r="M7" s="468"/>
      <x:c r="N7" s="468"/>
      <x:c r="O7" s="468"/>
      <x:c r="P7" s="468"/>
      <x:c r="Q7" s="468"/>
      <x:c r="R7" s="468"/>
      <x:c r="S7" s="468"/>
      <x:c r="T7" s="468"/>
      <x:c r="U7" s="468"/>
      <x:c r="V7" s="468"/>
      <x:c r="W7" s="468"/>
      <x:c r="X7" s="468"/>
      <x:c r="Y7" s="468"/>
      <x:c r="Z7" s="468"/>
      <x:c r="AA7" s="468"/>
      <x:c r="AB7" s="468"/>
      <x:c r="AC7" s="468"/>
      <x:c r="AD7" s="468"/>
      <x:c r="AE7" s="468"/>
      <x:c r="AF7" s="468"/>
      <x:c r="AG7" s="468"/>
      <x:c r="AH7" s="468"/>
      <x:c r="AI7" s="468"/>
      <x:c r="AJ7" s="468"/>
      <x:c r="AK7" s="468"/>
      <x:c r="AL7" s="468"/>
      <x:c r="AM7" s="468"/>
      <x:c r="AN7" s="468"/>
      <x:c r="AO7" s="468"/>
      <x:c r="AP7" s="468"/>
      <x:c r="AQ7" s="468"/>
      <x:c r="AR7" s="468"/>
      <x:c r="AS7" s="468"/>
      <x:c r="AT7" s="468"/>
      <x:c r="AU7" s="468"/>
      <x:c r="AV7" s="468"/>
      <x:c r="AW7" s="468"/>
      <x:c r="AX7" s="469"/>
    </x:row>
    <x:row r="8">
      <x:c r="A8" s="458"/>
      <x:c r="B8" s="459"/>
      <x:c r="C8" s="468"/>
      <x:c r="D8" s="468"/>
      <x:c r="E8" s="468"/>
      <x:c r="F8" s="468"/>
      <x:c r="G8" s="468"/>
      <x:c r="H8" s="468"/>
      <x:c r="I8" s="468"/>
      <x:c r="J8" s="468"/>
      <x:c r="K8" s="468"/>
      <x:c r="L8" s="468"/>
      <x:c r="M8" s="468"/>
      <x:c r="N8" s="468"/>
      <x:c r="O8" s="468"/>
      <x:c r="P8" s="468"/>
      <x:c r="Q8" s="468"/>
      <x:c r="R8" s="468"/>
      <x:c r="S8" s="468"/>
      <x:c r="T8" s="468"/>
      <x:c r="U8" s="468"/>
      <x:c r="V8" s="468"/>
      <x:c r="W8" s="468"/>
      <x:c r="X8" s="468"/>
      <x:c r="Y8" s="468"/>
      <x:c r="Z8" s="468"/>
      <x:c r="AA8" s="468"/>
      <x:c r="AB8" s="468"/>
      <x:c r="AC8" s="468"/>
      <x:c r="AD8" s="468"/>
      <x:c r="AE8" s="468"/>
      <x:c r="AF8" s="468"/>
      <x:c r="AG8" s="468"/>
      <x:c r="AH8" s="468"/>
      <x:c r="AI8" s="468"/>
      <x:c r="AJ8" s="468"/>
      <x:c r="AK8" s="468"/>
      <x:c r="AL8" s="468"/>
      <x:c r="AM8" s="468"/>
      <x:c r="AN8" s="468"/>
      <x:c r="AO8" s="468"/>
      <x:c r="AP8" s="468"/>
      <x:c r="AQ8" s="468"/>
      <x:c r="AR8" s="468"/>
      <x:c r="AS8" s="468"/>
      <x:c r="AT8" s="468"/>
      <x:c r="AU8" s="468"/>
      <x:c r="AV8" s="468"/>
      <x:c r="AW8" s="468"/>
      <x:c r="AX8" s="469"/>
    </x:row>
    <x:row r="9">
      <x:c r="A9" s="458"/>
      <x:c r="B9" s="459"/>
      <x:c r="C9" s="468"/>
      <x:c r="D9" s="468"/>
      <x:c r="E9" s="468"/>
      <x:c r="F9" s="468"/>
      <x:c r="G9" s="468"/>
      <x:c r="H9" s="468"/>
      <x:c r="I9" s="468"/>
      <x:c r="J9" s="468"/>
      <x:c r="K9" s="468"/>
      <x:c r="L9" s="468"/>
      <x:c r="M9" s="468"/>
      <x:c r="N9" s="468"/>
      <x:c r="O9" s="468"/>
      <x:c r="P9" s="468"/>
      <x:c r="Q9" s="468"/>
      <x:c r="R9" s="468"/>
      <x:c r="S9" s="468"/>
      <x:c r="T9" s="468"/>
      <x:c r="U9" s="468"/>
      <x:c r="V9" s="468"/>
      <x:c r="W9" s="468"/>
      <x:c r="X9" s="468"/>
      <x:c r="Y9" s="468"/>
      <x:c r="Z9" s="468"/>
      <x:c r="AA9" s="468"/>
      <x:c r="AB9" s="468"/>
      <x:c r="AC9" s="468"/>
      <x:c r="AD9" s="468"/>
      <x:c r="AE9" s="468"/>
      <x:c r="AF9" s="468"/>
      <x:c r="AG9" s="468"/>
      <x:c r="AH9" s="468"/>
      <x:c r="AI9" s="468"/>
      <x:c r="AJ9" s="468"/>
      <x:c r="AK9" s="468"/>
      <x:c r="AL9" s="468"/>
      <x:c r="AM9" s="468"/>
      <x:c r="AN9" s="468"/>
      <x:c r="AO9" s="468"/>
      <x:c r="AP9" s="468"/>
      <x:c r="AQ9" s="468"/>
      <x:c r="AR9" s="468"/>
      <x:c r="AS9" s="468"/>
      <x:c r="AT9" s="468"/>
      <x:c r="AU9" s="468"/>
      <x:c r="AV9" s="468"/>
      <x:c r="AW9" s="468"/>
      <x:c r="AX9" s="469"/>
    </x:row>
    <x:row r="10">
      <x:c r="A10" s="458"/>
      <x:c r="B10" s="459"/>
      <x:c r="C10" s="468"/>
      <x:c r="D10" s="468"/>
      <x:c r="E10" s="468"/>
      <x:c r="F10" s="468"/>
      <x:c r="G10" s="468"/>
      <x:c r="H10" s="468"/>
      <x:c r="I10" s="468"/>
      <x:c r="J10" s="468"/>
      <x:c r="K10" s="468"/>
      <x:c r="L10" s="468"/>
      <x:c r="M10" s="468"/>
      <x:c r="N10" s="468"/>
      <x:c r="O10" s="468"/>
      <x:c r="P10" s="468"/>
      <x:c r="Q10" s="468"/>
      <x:c r="R10" s="468"/>
      <x:c r="S10" s="468"/>
      <x:c r="T10" s="468"/>
      <x:c r="U10" s="468"/>
      <x:c r="V10" s="468"/>
      <x:c r="W10" s="468"/>
      <x:c r="X10" s="468"/>
      <x:c r="Y10" s="468"/>
      <x:c r="Z10" s="468"/>
      <x:c r="AA10" s="468"/>
      <x:c r="AB10" s="468"/>
      <x:c r="AC10" s="468"/>
      <x:c r="AD10" s="468"/>
      <x:c r="AE10" s="468"/>
      <x:c r="AF10" s="468"/>
      <x:c r="AG10" s="468"/>
      <x:c r="AH10" s="468"/>
      <x:c r="AI10" s="468"/>
      <x:c r="AJ10" s="468"/>
      <x:c r="AK10" s="468"/>
      <x:c r="AL10" s="468"/>
      <x:c r="AM10" s="468"/>
      <x:c r="AN10" s="468"/>
      <x:c r="AO10" s="468"/>
      <x:c r="AP10" s="468"/>
      <x:c r="AQ10" s="468"/>
      <x:c r="AR10" s="468"/>
      <x:c r="AS10" s="468"/>
      <x:c r="AT10" s="468"/>
      <x:c r="AU10" s="468"/>
      <x:c r="AV10" s="468"/>
      <x:c r="AW10" s="468"/>
      <x:c r="AX10" s="469"/>
    </x:row>
    <x:row r="11">
      <x:c r="A11" s="458"/>
      <x:c r="B11" s="459"/>
      <x:c r="C11" s="468"/>
      <x:c r="D11" s="468"/>
      <x:c r="E11" s="468"/>
      <x:c r="F11" s="468"/>
      <x:c r="G11" s="468"/>
      <x:c r="H11" s="468"/>
      <x:c r="I11" s="468"/>
      <x:c r="J11" s="468"/>
      <x:c r="K11" s="468"/>
      <x:c r="L11" s="468"/>
      <x:c r="M11" s="468"/>
      <x:c r="N11" s="468"/>
      <x:c r="O11" s="468"/>
      <x:c r="P11" s="468"/>
      <x:c r="Q11" s="468"/>
      <x:c r="R11" s="468"/>
      <x:c r="S11" s="468"/>
      <x:c r="T11" s="468"/>
      <x:c r="U11" s="468"/>
      <x:c r="V11" s="468"/>
      <x:c r="W11" s="468"/>
      <x:c r="X11" s="468"/>
      <x:c r="Y11" s="468"/>
      <x:c r="Z11" s="468"/>
      <x:c r="AA11" s="468"/>
      <x:c r="AB11" s="468"/>
      <x:c r="AC11" s="468"/>
      <x:c r="AD11" s="468"/>
      <x:c r="AE11" s="468"/>
      <x:c r="AF11" s="468"/>
      <x:c r="AG11" s="468"/>
      <x:c r="AH11" s="468"/>
      <x:c r="AI11" s="468"/>
      <x:c r="AJ11" s="468"/>
      <x:c r="AK11" s="468"/>
      <x:c r="AL11" s="468"/>
      <x:c r="AM11" s="468"/>
      <x:c r="AN11" s="468"/>
      <x:c r="AO11" s="468"/>
      <x:c r="AP11" s="468"/>
      <x:c r="AQ11" s="468"/>
      <x:c r="AR11" s="468"/>
      <x:c r="AS11" s="468"/>
      <x:c r="AT11" s="468"/>
      <x:c r="AU11" s="468"/>
      <x:c r="AV11" s="468"/>
      <x:c r="AW11" s="468"/>
      <x:c r="AX11" s="469"/>
    </x:row>
    <x:row r="12">
      <x:c r="A12" s="458"/>
      <x:c r="B12" s="459"/>
      <x:c r="C12" s="468"/>
      <x:c r="D12" s="468"/>
      <x:c r="E12" s="468"/>
      <x:c r="F12" s="468"/>
      <x:c r="G12" s="468"/>
      <x:c r="H12" s="468"/>
      <x:c r="I12" s="468"/>
      <x:c r="J12" s="468"/>
      <x:c r="K12" s="468"/>
      <x:c r="L12" s="468"/>
      <x:c r="M12" s="468"/>
      <x:c r="N12" s="468"/>
      <x:c r="O12" s="468"/>
      <x:c r="P12" s="468"/>
      <x:c r="Q12" s="468"/>
      <x:c r="R12" s="468"/>
      <x:c r="S12" s="468"/>
      <x:c r="T12" s="468"/>
      <x:c r="U12" s="468"/>
      <x:c r="V12" s="468"/>
      <x:c r="W12" s="468"/>
      <x:c r="X12" s="468"/>
      <x:c r="Y12" s="468"/>
      <x:c r="Z12" s="468"/>
      <x:c r="AA12" s="468"/>
      <x:c r="AB12" s="468"/>
      <x:c r="AC12" s="468"/>
      <x:c r="AD12" s="468"/>
      <x:c r="AE12" s="468"/>
      <x:c r="AF12" s="468"/>
      <x:c r="AG12" s="468"/>
      <x:c r="AH12" s="468"/>
      <x:c r="AI12" s="468"/>
      <x:c r="AJ12" s="468"/>
      <x:c r="AK12" s="468"/>
      <x:c r="AL12" s="468"/>
      <x:c r="AM12" s="468"/>
      <x:c r="AN12" s="468"/>
      <x:c r="AO12" s="468"/>
      <x:c r="AP12" s="468"/>
      <x:c r="AQ12" s="468"/>
      <x:c r="AR12" s="468"/>
      <x:c r="AS12" s="468"/>
      <x:c r="AT12" s="468"/>
      <x:c r="AU12" s="468"/>
      <x:c r="AV12" s="468"/>
      <x:c r="AW12" s="468"/>
      <x:c r="AX12" s="469"/>
    </x:row>
    <x:row r="13">
      <x:c r="A13" s="458"/>
      <x:c r="B13" s="459"/>
      <x:c r="C13" s="468"/>
      <x:c r="D13" s="468"/>
      <x:c r="E13" s="468"/>
      <x:c r="F13" s="468"/>
      <x:c r="G13" s="468"/>
      <x:c r="H13" s="468"/>
      <x:c r="I13" s="468"/>
      <x:c r="J13" s="468"/>
      <x:c r="K13" s="468"/>
      <x:c r="L13" s="468"/>
      <x:c r="M13" s="468"/>
      <x:c r="N13" s="468"/>
      <x:c r="O13" s="468"/>
      <x:c r="P13" s="468"/>
      <x:c r="Q13" s="468"/>
      <x:c r="R13" s="468"/>
      <x:c r="S13" s="468"/>
      <x:c r="T13" s="468"/>
      <x:c r="U13" s="468"/>
      <x:c r="V13" s="468"/>
      <x:c r="W13" s="468"/>
      <x:c r="X13" s="468"/>
      <x:c r="Y13" s="468"/>
      <x:c r="Z13" s="468"/>
      <x:c r="AA13" s="468"/>
      <x:c r="AB13" s="468"/>
      <x:c r="AC13" s="468"/>
      <x:c r="AD13" s="468"/>
      <x:c r="AE13" s="468"/>
      <x:c r="AF13" s="468"/>
      <x:c r="AG13" s="468"/>
      <x:c r="AH13" s="468"/>
      <x:c r="AI13" s="468"/>
      <x:c r="AJ13" s="468"/>
      <x:c r="AK13" s="468"/>
      <x:c r="AL13" s="468"/>
      <x:c r="AM13" s="468"/>
      <x:c r="AN13" s="468"/>
      <x:c r="AO13" s="468"/>
      <x:c r="AP13" s="468"/>
      <x:c r="AQ13" s="468"/>
      <x:c r="AR13" s="468"/>
      <x:c r="AS13" s="468"/>
      <x:c r="AT13" s="468"/>
      <x:c r="AU13" s="468"/>
      <x:c r="AV13" s="468"/>
      <x:c r="AW13" s="468"/>
      <x:c r="AX13" s="469"/>
    </x:row>
    <x:row r="14">
      <x:c r="A14" s="458"/>
      <x:c r="B14" s="459"/>
      <x:c r="C14" s="468"/>
      <x:c r="D14" s="468"/>
      <x:c r="E14" s="468"/>
      <x:c r="F14" s="468"/>
      <x:c r="G14" s="468"/>
      <x:c r="H14" s="468"/>
      <x:c r="I14" s="468"/>
      <x:c r="J14" s="468"/>
      <x:c r="K14" s="468"/>
      <x:c r="L14" s="468"/>
      <x:c r="M14" s="468"/>
      <x:c r="N14" s="468"/>
      <x:c r="O14" s="468"/>
      <x:c r="P14" s="468"/>
      <x:c r="Q14" s="468"/>
      <x:c r="R14" s="468"/>
      <x:c r="S14" s="468"/>
      <x:c r="T14" s="468"/>
      <x:c r="U14" s="468"/>
      <x:c r="V14" s="468"/>
      <x:c r="W14" s="468"/>
      <x:c r="X14" s="468"/>
      <x:c r="Y14" s="468"/>
      <x:c r="Z14" s="468"/>
      <x:c r="AA14" s="468"/>
      <x:c r="AB14" s="468"/>
      <x:c r="AC14" s="468"/>
      <x:c r="AD14" s="468"/>
      <x:c r="AE14" s="468"/>
      <x:c r="AF14" s="468"/>
      <x:c r="AG14" s="468"/>
      <x:c r="AH14" s="468"/>
      <x:c r="AI14" s="468"/>
      <x:c r="AJ14" s="468"/>
      <x:c r="AK14" s="468"/>
      <x:c r="AL14" s="468"/>
      <x:c r="AM14" s="468"/>
      <x:c r="AN14" s="468"/>
      <x:c r="AO14" s="468"/>
      <x:c r="AP14" s="468"/>
      <x:c r="AQ14" s="468"/>
      <x:c r="AR14" s="468"/>
      <x:c r="AS14" s="468"/>
      <x:c r="AT14" s="468"/>
      <x:c r="AU14" s="468"/>
      <x:c r="AV14" s="468"/>
      <x:c r="AW14" s="468"/>
      <x:c r="AX14" s="469"/>
    </x:row>
    <x:row r="15">
      <x:c r="A15" s="458"/>
      <x:c r="B15" s="459"/>
      <x:c r="C15" s="468"/>
      <x:c r="D15" s="468"/>
      <x:c r="E15" s="468"/>
      <x:c r="F15" s="468"/>
      <x:c r="G15" s="468"/>
      <x:c r="H15" s="468"/>
      <x:c r="I15" s="468"/>
      <x:c r="J15" s="468"/>
      <x:c r="K15" s="468"/>
      <x:c r="L15" s="468"/>
      <x:c r="M15" s="468"/>
      <x:c r="N15" s="468"/>
      <x:c r="O15" s="468"/>
      <x:c r="P15" s="468"/>
      <x:c r="Q15" s="468"/>
      <x:c r="R15" s="468"/>
      <x:c r="S15" s="468"/>
      <x:c r="T15" s="468"/>
      <x:c r="U15" s="468"/>
      <x:c r="V15" s="468"/>
      <x:c r="W15" s="468"/>
      <x:c r="X15" s="468"/>
      <x:c r="Y15" s="468"/>
      <x:c r="Z15" s="468"/>
      <x:c r="AA15" s="468"/>
      <x:c r="AB15" s="468"/>
      <x:c r="AC15" s="468"/>
      <x:c r="AD15" s="468"/>
      <x:c r="AE15" s="468"/>
      <x:c r="AF15" s="468"/>
      <x:c r="AG15" s="468"/>
      <x:c r="AH15" s="468"/>
      <x:c r="AI15" s="468"/>
      <x:c r="AJ15" s="468"/>
      <x:c r="AK15" s="468"/>
      <x:c r="AL15" s="468"/>
      <x:c r="AM15" s="468"/>
      <x:c r="AN15" s="468"/>
      <x:c r="AO15" s="468"/>
      <x:c r="AP15" s="468"/>
      <x:c r="AQ15" s="468"/>
      <x:c r="AR15" s="468"/>
      <x:c r="AS15" s="468"/>
      <x:c r="AT15" s="468"/>
      <x:c r="AU15" s="468"/>
      <x:c r="AV15" s="468"/>
      <x:c r="AW15" s="468"/>
      <x:c r="AX15" s="469"/>
    </x:row>
    <x:row r="16">
      <x:c r="A16" s="460"/>
      <x:c r="B16" s="461"/>
      <x:c r="C16" s="470"/>
      <x:c r="D16" s="470"/>
      <x:c r="E16" s="470"/>
      <x:c r="F16" s="470"/>
      <x:c r="G16" s="470"/>
      <x:c r="H16" s="470"/>
      <x:c r="I16" s="470"/>
      <x:c r="J16" s="470"/>
      <x:c r="K16" s="470"/>
      <x:c r="L16" s="470"/>
      <x:c r="M16" s="470"/>
      <x:c r="N16" s="470"/>
      <x:c r="O16" s="470"/>
      <x:c r="P16" s="470"/>
      <x:c r="Q16" s="470"/>
      <x:c r="R16" s="470"/>
      <x:c r="S16" s="470"/>
      <x:c r="T16" s="470"/>
      <x:c r="U16" s="470"/>
      <x:c r="V16" s="470"/>
      <x:c r="W16" s="470"/>
      <x:c r="X16" s="470"/>
      <x:c r="Y16" s="470"/>
      <x:c r="Z16" s="470"/>
      <x:c r="AA16" s="470"/>
      <x:c r="AB16" s="470"/>
      <x:c r="AC16" s="470"/>
      <x:c r="AD16" s="470"/>
      <x:c r="AE16" s="470"/>
      <x:c r="AF16" s="470"/>
      <x:c r="AG16" s="470"/>
      <x:c r="AH16" s="470"/>
      <x:c r="AI16" s="470"/>
      <x:c r="AJ16" s="470"/>
      <x:c r="AK16" s="470"/>
      <x:c r="AL16" s="470"/>
      <x:c r="AM16" s="470"/>
      <x:c r="AN16" s="470"/>
      <x:c r="AO16" s="470"/>
      <x:c r="AP16" s="470"/>
      <x:c r="AQ16" s="470"/>
      <x:c r="AR16" s="470"/>
      <x:c r="AS16" s="470"/>
      <x:c r="AT16" s="470"/>
      <x:c r="AU16" s="470"/>
      <x:c r="AV16" s="470"/>
      <x:c r="AW16" s="470"/>
      <x:c r="AX16" s="471"/>
    </x:row>
    <x:row r="17">
      <x:c r="A17" s="462"/>
      <x:c r="B17" s="462"/>
      <x:c r="C17" s="472"/>
      <x:c r="D17" s="472"/>
      <x:c r="E17" s="472"/>
      <x:c r="F17" s="472"/>
      <x:c r="G17" s="472"/>
      <x:c r="H17" s="472"/>
      <x:c r="I17" s="472"/>
      <x:c r="J17" s="472"/>
      <x:c r="K17" s="472"/>
      <x:c r="L17" s="472"/>
      <x:c r="M17" s="472"/>
      <x:c r="N17" s="472"/>
      <x:c r="O17" s="472"/>
      <x:c r="P17" s="472"/>
      <x:c r="Q17" s="472"/>
      <x:c r="R17" s="472"/>
      <x:c r="S17" s="472"/>
      <x:c r="T17" s="472"/>
      <x:c r="U17" s="472"/>
      <x:c r="V17" s="472"/>
      <x:c r="W17" s="472"/>
      <x:c r="X17" s="472"/>
      <x:c r="Y17" s="472"/>
      <x:c r="Z17" s="472"/>
      <x:c r="AA17" s="472"/>
      <x:c r="AB17" s="472"/>
      <x:c r="AC17" s="472"/>
      <x:c r="AD17" s="472"/>
      <x:c r="AE17" s="472"/>
      <x:c r="AF17" s="472"/>
      <x:c r="AG17" s="472"/>
      <x:c r="AH17" s="472"/>
      <x:c r="AI17" s="472"/>
      <x:c r="AJ17" s="472"/>
      <x:c r="AK17" s="472"/>
      <x:c r="AL17" s="472"/>
      <x:c r="AM17" s="472"/>
      <x:c r="AN17" s="472"/>
      <x:c r="AO17" s="472"/>
      <x:c r="AP17" s="472"/>
      <x:c r="AQ17" s="472"/>
      <x:c r="AR17" s="472"/>
      <x:c r="AS17" s="472"/>
      <x:c r="AT17" s="472"/>
      <x:c r="AU17" s="472"/>
      <x:c r="AV17" s="472"/>
      <x:c r="AW17" s="472"/>
      <x:c r="AX17" s="472"/>
    </x:row>
    <x:row r="18">
      <x:c r="A18" s="462"/>
      <x:c r="B18" s="462"/>
      <x:c r="C18" s="472"/>
      <x:c r="D18" s="472"/>
      <x:c r="E18" s="472"/>
      <x:c r="F18" s="472"/>
      <x:c r="G18" s="472"/>
      <x:c r="H18" s="472"/>
      <x:c r="I18" s="472"/>
      <x:c r="J18" s="472"/>
      <x:c r="K18" s="472"/>
      <x:c r="L18" s="472"/>
      <x:c r="M18" s="472"/>
      <x:c r="N18" s="472"/>
      <x:c r="O18" s="472"/>
      <x:c r="P18" s="472"/>
      <x:c r="Q18" s="472"/>
      <x:c r="R18" s="472"/>
      <x:c r="S18" s="472"/>
      <x:c r="T18" s="472"/>
      <x:c r="U18" s="472"/>
      <x:c r="V18" s="472"/>
      <x:c r="W18" s="472"/>
      <x:c r="X18" s="472"/>
      <x:c r="Y18" s="472"/>
      <x:c r="Z18" s="472"/>
      <x:c r="AA18" s="472"/>
      <x:c r="AB18" s="472"/>
      <x:c r="AC18" s="472"/>
      <x:c r="AD18" s="472"/>
      <x:c r="AE18" s="472"/>
      <x:c r="AF18" s="472"/>
      <x:c r="AG18" s="472"/>
      <x:c r="AH18" s="472"/>
      <x:c r="AI18" s="472"/>
      <x:c r="AJ18" s="472"/>
      <x:c r="AK18" s="472"/>
      <x:c r="AL18" s="472"/>
      <x:c r="AM18" s="472"/>
      <x:c r="AN18" s="472"/>
      <x:c r="AO18" s="472"/>
      <x:c r="AP18" s="472"/>
      <x:c r="AQ18" s="472"/>
      <x:c r="AR18" s="472"/>
      <x:c r="AS18" s="472"/>
      <x:c r="AT18" s="472"/>
      <x:c r="AU18" s="472"/>
      <x:c r="AV18" s="472"/>
      <x:c r="AW18" s="472"/>
      <x:c r="AX18" s="472"/>
    </x:row>
    <x:row r="19">
      <x:c r="A19" s="462"/>
      <x:c r="B19" s="462"/>
      <x:c r="C19" s="472"/>
      <x:c r="D19" s="472"/>
      <x:c r="E19" s="472"/>
      <x:c r="F19" s="472"/>
      <x:c r="G19" s="472"/>
      <x:c r="H19" s="472"/>
      <x:c r="I19" s="472"/>
      <x:c r="J19" s="472"/>
      <x:c r="K19" s="472"/>
      <x:c r="L19" s="472"/>
      <x:c r="M19" s="472"/>
      <x:c r="N19" s="472"/>
      <x:c r="O19" s="472"/>
      <x:c r="P19" s="472"/>
      <x:c r="Q19" s="472"/>
      <x:c r="R19" s="472"/>
      <x:c r="S19" s="472"/>
      <x:c r="T19" s="472"/>
      <x:c r="U19" s="472"/>
      <x:c r="V19" s="472"/>
      <x:c r="W19" s="472"/>
      <x:c r="X19" s="472"/>
      <x:c r="Y19" s="472"/>
      <x:c r="Z19" s="472"/>
      <x:c r="AA19" s="472"/>
      <x:c r="AB19" s="472"/>
      <x:c r="AC19" s="472"/>
      <x:c r="AD19" s="472"/>
      <x:c r="AE19" s="472"/>
      <x:c r="AF19" s="472"/>
      <x:c r="AG19" s="472"/>
      <x:c r="AH19" s="472"/>
      <x:c r="AI19" s="472"/>
      <x:c r="AJ19" s="472"/>
      <x:c r="AK19" s="472"/>
      <x:c r="AL19" s="472"/>
      <x:c r="AM19" s="472"/>
      <x:c r="AN19" s="472"/>
      <x:c r="AO19" s="472"/>
      <x:c r="AP19" s="472"/>
      <x:c r="AQ19" s="472"/>
      <x:c r="AR19" s="472"/>
      <x:c r="AS19" s="472"/>
      <x:c r="AT19" s="472"/>
      <x:c r="AU19" s="472"/>
      <x:c r="AV19" s="472"/>
      <x:c r="AW19" s="472"/>
      <x:c r="AX19" s="472"/>
    </x:row>
    <x:row r="20">
      <x:c r="A20" s="462"/>
      <x:c r="B20" s="462"/>
      <x:c r="C20" s="472"/>
      <x:c r="D20" s="472"/>
      <x:c r="E20" s="472"/>
      <x:c r="F20" s="472"/>
      <x:c r="G20" s="472"/>
      <x:c r="H20" s="472"/>
      <x:c r="I20" s="472"/>
      <x:c r="J20" s="472"/>
      <x:c r="K20" s="472"/>
      <x:c r="L20" s="472"/>
      <x:c r="M20" s="472"/>
      <x:c r="N20" s="472"/>
      <x:c r="O20" s="472"/>
      <x:c r="P20" s="472"/>
      <x:c r="Q20" s="472"/>
      <x:c r="R20" s="472"/>
      <x:c r="S20" s="472"/>
      <x:c r="T20" s="472"/>
      <x:c r="U20" s="472"/>
      <x:c r="V20" s="472"/>
      <x:c r="W20" s="472"/>
      <x:c r="X20" s="472"/>
      <x:c r="Y20" s="472"/>
      <x:c r="Z20" s="472"/>
      <x:c r="AA20" s="472"/>
      <x:c r="AB20" s="472"/>
      <x:c r="AC20" s="472"/>
      <x:c r="AD20" s="472"/>
      <x:c r="AE20" s="472"/>
      <x:c r="AF20" s="472"/>
      <x:c r="AG20" s="472"/>
      <x:c r="AH20" s="472"/>
      <x:c r="AI20" s="472"/>
      <x:c r="AJ20" s="472"/>
      <x:c r="AK20" s="472"/>
      <x:c r="AL20" s="472"/>
      <x:c r="AM20" s="472"/>
      <x:c r="AN20" s="472"/>
      <x:c r="AO20" s="472"/>
      <x:c r="AP20" s="472"/>
      <x:c r="AQ20" s="472"/>
      <x:c r="AR20" s="472"/>
      <x:c r="AS20" s="472"/>
      <x:c r="AT20" s="472"/>
      <x:c r="AU20" s="472"/>
      <x:c r="AV20" s="472"/>
      <x:c r="AW20" s="472"/>
      <x:c r="AX20" s="472"/>
    </x:row>
    <x:row r="21">
      <x:c r="A21" s="462"/>
      <x:c r="B21" s="462"/>
      <x:c r="C21" s="472"/>
      <x:c r="D21" s="472"/>
      <x:c r="E21" s="472"/>
      <x:c r="F21" s="472"/>
      <x:c r="G21" s="472"/>
      <x:c r="H21" s="472"/>
      <x:c r="I21" s="472"/>
      <x:c r="J21" s="472"/>
      <x:c r="K21" s="472"/>
      <x:c r="L21" s="472"/>
      <x:c r="M21" s="472"/>
      <x:c r="N21" s="472"/>
      <x:c r="O21" s="472"/>
      <x:c r="P21" s="472"/>
      <x:c r="Q21" s="472"/>
      <x:c r="R21" s="472"/>
      <x:c r="S21" s="472"/>
      <x:c r="T21" s="472"/>
      <x:c r="U21" s="472"/>
      <x:c r="V21" s="472"/>
      <x:c r="W21" s="472"/>
      <x:c r="X21" s="472"/>
      <x:c r="Y21" s="472"/>
      <x:c r="Z21" s="472"/>
      <x:c r="AA21" s="472"/>
      <x:c r="AB21" s="472"/>
      <x:c r="AC21" s="472"/>
      <x:c r="AD21" s="472"/>
      <x:c r="AE21" s="472"/>
      <x:c r="AF21" s="472"/>
      <x:c r="AG21" s="472"/>
      <x:c r="AH21" s="472"/>
      <x:c r="AI21" s="472"/>
      <x:c r="AJ21" s="472"/>
      <x:c r="AK21" s="472"/>
      <x:c r="AL21" s="472"/>
      <x:c r="AM21" s="472"/>
      <x:c r="AN21" s="472"/>
      <x:c r="AO21" s="472"/>
      <x:c r="AP21" s="472"/>
      <x:c r="AQ21" s="472"/>
      <x:c r="AR21" s="472"/>
      <x:c r="AS21" s="472"/>
      <x:c r="AT21" s="472"/>
      <x:c r="AU21" s="472"/>
      <x:c r="AV21" s="472"/>
      <x:c r="AW21" s="472"/>
      <x:c r="AX21" s="472"/>
    </x:row>
    <x:row r="22">
      <x:c r="A22" s="462"/>
      <x:c r="B22" s="462"/>
      <x:c r="C22" s="472"/>
      <x:c r="D22" s="472"/>
      <x:c r="E22" s="472"/>
      <x:c r="F22" s="472"/>
      <x:c r="G22" s="472"/>
      <x:c r="H22" s="472"/>
      <x:c r="I22" s="472"/>
      <x:c r="J22" s="472"/>
      <x:c r="K22" s="472"/>
      <x:c r="L22" s="472"/>
      <x:c r="M22" s="472"/>
      <x:c r="N22" s="472"/>
      <x:c r="O22" s="472"/>
      <x:c r="P22" s="472"/>
      <x:c r="Q22" s="472"/>
      <x:c r="R22" s="472"/>
      <x:c r="S22" s="472"/>
      <x:c r="T22" s="472"/>
      <x:c r="U22" s="472"/>
      <x:c r="V22" s="472"/>
      <x:c r="W22" s="472"/>
      <x:c r="X22" s="472"/>
      <x:c r="Y22" s="472"/>
      <x:c r="Z22" s="472"/>
      <x:c r="AA22" s="472"/>
      <x:c r="AB22" s="472"/>
      <x:c r="AC22" s="472"/>
      <x:c r="AD22" s="472"/>
      <x:c r="AE22" s="472"/>
      <x:c r="AF22" s="472"/>
      <x:c r="AG22" s="472"/>
      <x:c r="AH22" s="472"/>
      <x:c r="AI22" s="472"/>
      <x:c r="AJ22" s="472"/>
      <x:c r="AK22" s="472"/>
      <x:c r="AL22" s="472"/>
      <x:c r="AM22" s="472"/>
      <x:c r="AN22" s="472"/>
      <x:c r="AO22" s="472"/>
      <x:c r="AP22" s="472"/>
      <x:c r="AQ22" s="472"/>
      <x:c r="AR22" s="472"/>
      <x:c r="AS22" s="472"/>
      <x:c r="AT22" s="472"/>
      <x:c r="AU22" s="472"/>
      <x:c r="AV22" s="472"/>
      <x:c r="AW22" s="472"/>
      <x:c r="AX22" s="472"/>
    </x:row>
    <x:row r="23">
      <x:c r="A23" s="462"/>
      <x:c r="B23" s="462"/>
      <x:c r="C23" s="472"/>
      <x:c r="D23" s="472"/>
      <x:c r="E23" s="472"/>
      <x:c r="F23" s="472"/>
      <x:c r="G23" s="472"/>
      <x:c r="H23" s="472"/>
      <x:c r="I23" s="472"/>
      <x:c r="J23" s="472"/>
      <x:c r="K23" s="472"/>
      <x:c r="L23" s="472"/>
      <x:c r="M23" s="472"/>
      <x:c r="N23" s="472"/>
      <x:c r="O23" s="472"/>
      <x:c r="P23" s="472"/>
      <x:c r="Q23" s="472"/>
      <x:c r="R23" s="472"/>
      <x:c r="S23" s="472"/>
      <x:c r="T23" s="472"/>
      <x:c r="U23" s="472"/>
      <x:c r="V23" s="472"/>
      <x:c r="W23" s="472"/>
      <x:c r="X23" s="472"/>
      <x:c r="Y23" s="472"/>
      <x:c r="Z23" s="472"/>
      <x:c r="AA23" s="472"/>
      <x:c r="AB23" s="472"/>
      <x:c r="AC23" s="472"/>
      <x:c r="AD23" s="472"/>
      <x:c r="AE23" s="472"/>
      <x:c r="AF23" s="472"/>
      <x:c r="AG23" s="472"/>
      <x:c r="AH23" s="472"/>
      <x:c r="AI23" s="472"/>
      <x:c r="AJ23" s="472"/>
      <x:c r="AK23" s="472"/>
      <x:c r="AL23" s="472"/>
      <x:c r="AM23" s="472"/>
      <x:c r="AN23" s="472"/>
      <x:c r="AO23" s="472"/>
      <x:c r="AP23" s="472"/>
      <x:c r="AQ23" s="472"/>
      <x:c r="AR23" s="472"/>
      <x:c r="AS23" s="472"/>
      <x:c r="AT23" s="472"/>
      <x:c r="AU23" s="472"/>
      <x:c r="AV23" s="472"/>
      <x:c r="AW23" s="472"/>
      <x:c r="AX23" s="472"/>
    </x:row>
    <x:row r="24">
      <x:c r="A24" s="462"/>
      <x:c r="B24" s="462"/>
      <x:c r="C24" s="472"/>
      <x:c r="D24" s="472"/>
      <x:c r="E24" s="472"/>
      <x:c r="F24" s="472"/>
      <x:c r="G24" s="472"/>
      <x:c r="H24" s="472"/>
      <x:c r="I24" s="472"/>
      <x:c r="J24" s="472"/>
      <x:c r="K24" s="472"/>
      <x:c r="L24" s="472"/>
      <x:c r="M24" s="472"/>
      <x:c r="N24" s="472"/>
      <x:c r="O24" s="472"/>
      <x:c r="P24" s="472"/>
      <x:c r="Q24" s="472"/>
      <x:c r="R24" s="472"/>
      <x:c r="S24" s="472"/>
      <x:c r="T24" s="472"/>
      <x:c r="U24" s="472"/>
      <x:c r="V24" s="472"/>
      <x:c r="W24" s="472"/>
      <x:c r="X24" s="472"/>
      <x:c r="Y24" s="472"/>
      <x:c r="Z24" s="472"/>
      <x:c r="AA24" s="472"/>
      <x:c r="AB24" s="472"/>
      <x:c r="AC24" s="472"/>
      <x:c r="AD24" s="472"/>
      <x:c r="AE24" s="472"/>
      <x:c r="AF24" s="472"/>
      <x:c r="AG24" s="472"/>
      <x:c r="AH24" s="472"/>
      <x:c r="AI24" s="472"/>
      <x:c r="AJ24" s="472"/>
      <x:c r="AK24" s="472"/>
      <x:c r="AL24" s="472"/>
      <x:c r="AM24" s="472"/>
      <x:c r="AN24" s="472"/>
      <x:c r="AO24" s="472"/>
      <x:c r="AP24" s="472"/>
      <x:c r="AQ24" s="472"/>
      <x:c r="AR24" s="472"/>
      <x:c r="AS24" s="472"/>
      <x:c r="AT24" s="472"/>
      <x:c r="AU24" s="472"/>
      <x:c r="AV24" s="472"/>
      <x:c r="AW24" s="472"/>
      <x:c r="AX24" s="472"/>
    </x:row>
    <x:row r="25">
      <x:c r="A25" s="462"/>
      <x:c r="B25" s="462"/>
      <x:c r="C25" s="472"/>
      <x:c r="D25" s="472"/>
      <x:c r="E25" s="472"/>
      <x:c r="F25" s="472"/>
      <x:c r="G25" s="472"/>
      <x:c r="H25" s="472"/>
      <x:c r="I25" s="472"/>
      <x:c r="J25" s="472"/>
      <x:c r="K25" s="472"/>
      <x:c r="L25" s="472"/>
      <x:c r="M25" s="472"/>
      <x:c r="N25" s="472"/>
      <x:c r="O25" s="472"/>
      <x:c r="P25" s="472"/>
      <x:c r="Q25" s="472"/>
      <x:c r="R25" s="472"/>
      <x:c r="S25" s="472"/>
      <x:c r="T25" s="472"/>
      <x:c r="U25" s="472"/>
      <x:c r="V25" s="472"/>
      <x:c r="W25" s="472"/>
      <x:c r="X25" s="472"/>
      <x:c r="Y25" s="472"/>
      <x:c r="Z25" s="472"/>
      <x:c r="AA25" s="472"/>
      <x:c r="AB25" s="472"/>
      <x:c r="AC25" s="472"/>
      <x:c r="AD25" s="472"/>
      <x:c r="AE25" s="472"/>
      <x:c r="AF25" s="472"/>
      <x:c r="AG25" s="472"/>
      <x:c r="AH25" s="472"/>
      <x:c r="AI25" s="472"/>
      <x:c r="AJ25" s="472"/>
      <x:c r="AK25" s="472"/>
      <x:c r="AL25" s="472"/>
      <x:c r="AM25" s="472"/>
      <x:c r="AN25" s="472"/>
      <x:c r="AO25" s="472"/>
      <x:c r="AP25" s="472"/>
      <x:c r="AQ25" s="472"/>
      <x:c r="AR25" s="472"/>
      <x:c r="AS25" s="472"/>
      <x:c r="AT25" s="472"/>
      <x:c r="AU25" s="472"/>
      <x:c r="AV25" s="472"/>
      <x:c r="AW25" s="472"/>
      <x:c r="AX25" s="472"/>
    </x:row>
    <x:row r="26">
      <x:c r="A26" s="462"/>
      <x:c r="B26" s="462"/>
      <x:c r="C26" s="472"/>
      <x:c r="D26" s="472"/>
      <x:c r="E26" s="472"/>
      <x:c r="F26" s="472"/>
      <x:c r="G26" s="472"/>
      <x:c r="H26" s="472"/>
      <x:c r="I26" s="472"/>
      <x:c r="J26" s="472"/>
      <x:c r="K26" s="472"/>
      <x:c r="L26" s="472"/>
      <x:c r="M26" s="472"/>
      <x:c r="N26" s="472"/>
      <x:c r="O26" s="472"/>
      <x:c r="P26" s="472"/>
      <x:c r="Q26" s="472"/>
      <x:c r="R26" s="472"/>
      <x:c r="S26" s="472"/>
      <x:c r="T26" s="472"/>
      <x:c r="U26" s="472"/>
      <x:c r="V26" s="472"/>
      <x:c r="W26" s="472"/>
      <x:c r="X26" s="472"/>
      <x:c r="Y26" s="472"/>
      <x:c r="Z26" s="472"/>
      <x:c r="AA26" s="472"/>
      <x:c r="AB26" s="472"/>
      <x:c r="AC26" s="472"/>
      <x:c r="AD26" s="472"/>
      <x:c r="AE26" s="472"/>
      <x:c r="AF26" s="472"/>
      <x:c r="AG26" s="472"/>
      <x:c r="AH26" s="472"/>
      <x:c r="AI26" s="472"/>
      <x:c r="AJ26" s="472"/>
      <x:c r="AK26" s="472"/>
      <x:c r="AL26" s="472"/>
      <x:c r="AM26" s="472"/>
      <x:c r="AN26" s="472"/>
      <x:c r="AO26" s="472"/>
      <x:c r="AP26" s="472"/>
      <x:c r="AQ26" s="472"/>
      <x:c r="AR26" s="472"/>
      <x:c r="AS26" s="472"/>
      <x:c r="AT26" s="472"/>
      <x:c r="AU26" s="472"/>
      <x:c r="AV26" s="472"/>
      <x:c r="AW26" s="472"/>
      <x:c r="AX26" s="472"/>
    </x:row>
    <x:row r="27">
      <x:c r="A27" s="462"/>
      <x:c r="B27" s="462"/>
      <x:c r="C27" s="472"/>
      <x:c r="D27" s="472"/>
      <x:c r="E27" s="472"/>
      <x:c r="F27" s="472"/>
      <x:c r="G27" s="472"/>
      <x:c r="H27" s="472"/>
      <x:c r="I27" s="472"/>
      <x:c r="J27" s="472"/>
      <x:c r="K27" s="472"/>
      <x:c r="L27" s="472"/>
      <x:c r="M27" s="472"/>
      <x:c r="N27" s="472"/>
      <x:c r="O27" s="472"/>
      <x:c r="P27" s="472"/>
      <x:c r="Q27" s="472"/>
      <x:c r="R27" s="472"/>
      <x:c r="S27" s="472"/>
      <x:c r="T27" s="472"/>
      <x:c r="U27" s="472"/>
      <x:c r="V27" s="472"/>
      <x:c r="W27" s="472"/>
      <x:c r="X27" s="472"/>
      <x:c r="Y27" s="472"/>
      <x:c r="Z27" s="472"/>
      <x:c r="AA27" s="472"/>
      <x:c r="AB27" s="472"/>
      <x:c r="AC27" s="472"/>
      <x:c r="AD27" s="472"/>
      <x:c r="AE27" s="472"/>
      <x:c r="AF27" s="472"/>
      <x:c r="AG27" s="472"/>
      <x:c r="AH27" s="472"/>
      <x:c r="AI27" s="472"/>
      <x:c r="AJ27" s="472"/>
      <x:c r="AK27" s="472"/>
      <x:c r="AL27" s="472"/>
      <x:c r="AM27" s="472"/>
      <x:c r="AN27" s="472"/>
      <x:c r="AO27" s="472"/>
      <x:c r="AP27" s="472"/>
      <x:c r="AQ27" s="472"/>
      <x:c r="AR27" s="472"/>
      <x:c r="AS27" s="472"/>
      <x:c r="AT27" s="472"/>
      <x:c r="AU27" s="472"/>
      <x:c r="AV27" s="472"/>
      <x:c r="AW27" s="472"/>
      <x:c r="AX27" s="472"/>
    </x:row>
    <x:row r="28">
      <x:c r="A28" s="462"/>
      <x:c r="B28" s="462"/>
      <x:c r="C28" s="472"/>
      <x:c r="D28" s="472"/>
      <x:c r="E28" s="472"/>
      <x:c r="F28" s="472"/>
      <x:c r="G28" s="472"/>
      <x:c r="H28" s="472"/>
      <x:c r="I28" s="472"/>
      <x:c r="J28" s="472"/>
      <x:c r="K28" s="472"/>
      <x:c r="L28" s="472"/>
      <x:c r="M28" s="472"/>
      <x:c r="N28" s="472"/>
      <x:c r="O28" s="472"/>
      <x:c r="P28" s="472"/>
      <x:c r="Q28" s="472"/>
      <x:c r="R28" s="472"/>
      <x:c r="S28" s="472"/>
      <x:c r="T28" s="472"/>
      <x:c r="U28" s="472"/>
      <x:c r="V28" s="472"/>
      <x:c r="W28" s="472"/>
      <x:c r="X28" s="472"/>
      <x:c r="Y28" s="472"/>
      <x:c r="Z28" s="472"/>
      <x:c r="AA28" s="472"/>
      <x:c r="AB28" s="472"/>
      <x:c r="AC28" s="472"/>
      <x:c r="AD28" s="472"/>
      <x:c r="AE28" s="472"/>
      <x:c r="AF28" s="472"/>
      <x:c r="AG28" s="472"/>
      <x:c r="AH28" s="472"/>
      <x:c r="AI28" s="472"/>
      <x:c r="AJ28" s="472"/>
      <x:c r="AK28" s="472"/>
      <x:c r="AL28" s="472"/>
      <x:c r="AM28" s="472"/>
      <x:c r="AN28" s="472"/>
      <x:c r="AO28" s="472"/>
      <x:c r="AP28" s="472"/>
      <x:c r="AQ28" s="472"/>
      <x:c r="AR28" s="472"/>
      <x:c r="AS28" s="472"/>
      <x:c r="AT28" s="472"/>
      <x:c r="AU28" s="472"/>
      <x:c r="AV28" s="472"/>
      <x:c r="AW28" s="472"/>
      <x:c r="AX28" s="472"/>
    </x:row>
    <x:row r="29">
      <x:c r="A29" s="462"/>
      <x:c r="B29" s="462"/>
      <x:c r="C29" s="472"/>
      <x:c r="D29" s="472"/>
      <x:c r="E29" s="472"/>
      <x:c r="F29" s="472"/>
      <x:c r="G29" s="472"/>
      <x:c r="H29" s="472"/>
      <x:c r="I29" s="472"/>
      <x:c r="J29" s="472"/>
      <x:c r="K29" s="472"/>
      <x:c r="L29" s="472"/>
      <x:c r="M29" s="472"/>
      <x:c r="N29" s="472"/>
      <x:c r="O29" s="472"/>
      <x:c r="P29" s="472"/>
      <x:c r="Q29" s="472"/>
      <x:c r="R29" s="472"/>
      <x:c r="S29" s="472"/>
      <x:c r="T29" s="472"/>
      <x:c r="U29" s="472"/>
      <x:c r="V29" s="472"/>
      <x:c r="W29" s="472"/>
      <x:c r="X29" s="472"/>
      <x:c r="Y29" s="472"/>
      <x:c r="Z29" s="472"/>
      <x:c r="AA29" s="472"/>
      <x:c r="AB29" s="472"/>
      <x:c r="AC29" s="472"/>
      <x:c r="AD29" s="472"/>
      <x:c r="AE29" s="472"/>
      <x:c r="AF29" s="472"/>
      <x:c r="AG29" s="472"/>
      <x:c r="AH29" s="472"/>
      <x:c r="AI29" s="472"/>
      <x:c r="AJ29" s="472"/>
      <x:c r="AK29" s="472"/>
      <x:c r="AL29" s="472"/>
      <x:c r="AM29" s="472"/>
      <x:c r="AN29" s="472"/>
      <x:c r="AO29" s="472"/>
      <x:c r="AP29" s="472"/>
      <x:c r="AQ29" s="472"/>
      <x:c r="AR29" s="472"/>
      <x:c r="AS29" s="472"/>
      <x:c r="AT29" s="472"/>
      <x:c r="AU29" s="472"/>
      <x:c r="AV29" s="472"/>
      <x:c r="AW29" s="472"/>
      <x:c r="AX29" s="472"/>
    </x:row>
    <x:row r="30">
      <x:c r="A30" s="462"/>
      <x:c r="B30" s="462"/>
      <x:c r="C30" s="472"/>
      <x:c r="D30" s="472"/>
      <x:c r="E30" s="472"/>
      <x:c r="F30" s="472"/>
      <x:c r="G30" s="472"/>
      <x:c r="H30" s="472"/>
      <x:c r="I30" s="472"/>
      <x:c r="J30" s="472"/>
      <x:c r="K30" s="472"/>
      <x:c r="L30" s="472"/>
      <x:c r="M30" s="472"/>
      <x:c r="N30" s="472"/>
      <x:c r="O30" s="472"/>
      <x:c r="P30" s="472"/>
      <x:c r="Q30" s="472"/>
      <x:c r="R30" s="472"/>
      <x:c r="S30" s="472"/>
      <x:c r="T30" s="472"/>
      <x:c r="U30" s="472"/>
      <x:c r="V30" s="472"/>
      <x:c r="W30" s="472"/>
      <x:c r="X30" s="472"/>
      <x:c r="Y30" s="472"/>
      <x:c r="Z30" s="472"/>
      <x:c r="AA30" s="472"/>
      <x:c r="AB30" s="472"/>
      <x:c r="AC30" s="472"/>
      <x:c r="AD30" s="472"/>
      <x:c r="AE30" s="472"/>
      <x:c r="AF30" s="472"/>
      <x:c r="AG30" s="472"/>
      <x:c r="AH30" s="472"/>
      <x:c r="AI30" s="472"/>
      <x:c r="AJ30" s="472"/>
      <x:c r="AK30" s="472"/>
      <x:c r="AL30" s="472"/>
      <x:c r="AM30" s="472"/>
      <x:c r="AN30" s="472"/>
      <x:c r="AO30" s="472"/>
      <x:c r="AP30" s="472"/>
      <x:c r="AQ30" s="472"/>
      <x:c r="AR30" s="472"/>
      <x:c r="AS30" s="472"/>
      <x:c r="AT30" s="472"/>
      <x:c r="AU30" s="472"/>
      <x:c r="AV30" s="472"/>
      <x:c r="AW30" s="472"/>
      <x:c r="AX30" s="472"/>
    </x:row>
    <x:row r="31">
      <x:c r="A31" s="462"/>
      <x:c r="B31" s="462"/>
      <x:c r="C31" s="472"/>
      <x:c r="D31" s="472"/>
      <x:c r="E31" s="472"/>
      <x:c r="F31" s="472"/>
      <x:c r="G31" s="472"/>
      <x:c r="H31" s="472"/>
      <x:c r="I31" s="472"/>
      <x:c r="J31" s="472"/>
      <x:c r="K31" s="472"/>
      <x:c r="L31" s="472"/>
      <x:c r="M31" s="472"/>
      <x:c r="N31" s="472"/>
      <x:c r="O31" s="472"/>
      <x:c r="P31" s="472"/>
      <x:c r="Q31" s="472"/>
      <x:c r="R31" s="472"/>
      <x:c r="S31" s="472"/>
      <x:c r="T31" s="472"/>
      <x:c r="U31" s="472"/>
      <x:c r="V31" s="472"/>
      <x:c r="W31" s="472"/>
      <x:c r="X31" s="472"/>
      <x:c r="Y31" s="472"/>
      <x:c r="Z31" s="472"/>
      <x:c r="AA31" s="472"/>
      <x:c r="AB31" s="472"/>
      <x:c r="AC31" s="472"/>
      <x:c r="AD31" s="472"/>
      <x:c r="AE31" s="472"/>
      <x:c r="AF31" s="472"/>
      <x:c r="AG31" s="472"/>
      <x:c r="AH31" s="472"/>
      <x:c r="AI31" s="472"/>
      <x:c r="AJ31" s="472"/>
      <x:c r="AK31" s="472"/>
      <x:c r="AL31" s="472"/>
      <x:c r="AM31" s="472"/>
      <x:c r="AN31" s="472"/>
      <x:c r="AO31" s="472"/>
      <x:c r="AP31" s="472"/>
      <x:c r="AQ31" s="472"/>
      <x:c r="AR31" s="472"/>
      <x:c r="AS31" s="472"/>
      <x:c r="AT31" s="472"/>
      <x:c r="AU31" s="472"/>
      <x:c r="AV31" s="472"/>
      <x:c r="AW31" s="472"/>
      <x:c r="AX31" s="472"/>
    </x:row>
    <x:row r="32">
      <x:c r="A32" s="462"/>
      <x:c r="B32" s="462"/>
      <x:c r="C32" s="472"/>
      <x:c r="D32" s="472"/>
      <x:c r="E32" s="472"/>
      <x:c r="F32" s="472"/>
      <x:c r="G32" s="472"/>
      <x:c r="H32" s="472"/>
      <x:c r="I32" s="472"/>
      <x:c r="J32" s="472"/>
      <x:c r="K32" s="472"/>
      <x:c r="L32" s="472"/>
      <x:c r="M32" s="472"/>
      <x:c r="N32" s="472"/>
      <x:c r="O32" s="472"/>
      <x:c r="P32" s="472"/>
      <x:c r="Q32" s="472"/>
      <x:c r="R32" s="472"/>
      <x:c r="S32" s="472"/>
      <x:c r="T32" s="472"/>
      <x:c r="U32" s="472"/>
      <x:c r="V32" s="472"/>
      <x:c r="W32" s="472"/>
      <x:c r="X32" s="472"/>
      <x:c r="Y32" s="472"/>
      <x:c r="Z32" s="472"/>
      <x:c r="AA32" s="472"/>
      <x:c r="AB32" s="472"/>
      <x:c r="AC32" s="472"/>
      <x:c r="AD32" s="472"/>
      <x:c r="AE32" s="472"/>
      <x:c r="AF32" s="472"/>
      <x:c r="AG32" s="472"/>
      <x:c r="AH32" s="472"/>
      <x:c r="AI32" s="472"/>
      <x:c r="AJ32" s="472"/>
      <x:c r="AK32" s="472"/>
      <x:c r="AL32" s="472"/>
      <x:c r="AM32" s="472"/>
      <x:c r="AN32" s="472"/>
      <x:c r="AO32" s="472"/>
      <x:c r="AP32" s="472"/>
      <x:c r="AQ32" s="472"/>
      <x:c r="AR32" s="472"/>
      <x:c r="AS32" s="472"/>
      <x:c r="AT32" s="472"/>
      <x:c r="AU32" s="472"/>
      <x:c r="AV32" s="472"/>
      <x:c r="AW32" s="472"/>
      <x:c r="AX32" s="472"/>
    </x:row>
    <x:row r="33">
      <x:c r="A33" s="462"/>
      <x:c r="B33" s="462"/>
      <x:c r="C33" s="472"/>
      <x:c r="D33" s="472"/>
      <x:c r="E33" s="472"/>
      <x:c r="F33" s="472"/>
      <x:c r="G33" s="472"/>
      <x:c r="H33" s="472"/>
      <x:c r="I33" s="472"/>
      <x:c r="J33" s="472"/>
      <x:c r="K33" s="472"/>
      <x:c r="L33" s="472"/>
      <x:c r="M33" s="472"/>
      <x:c r="N33" s="472"/>
      <x:c r="O33" s="472"/>
      <x:c r="P33" s="472"/>
      <x:c r="Q33" s="472"/>
      <x:c r="R33" s="472"/>
      <x:c r="S33" s="472"/>
      <x:c r="T33" s="472"/>
      <x:c r="U33" s="472"/>
      <x:c r="V33" s="472"/>
      <x:c r="W33" s="472"/>
      <x:c r="X33" s="472"/>
      <x:c r="Y33" s="472"/>
      <x:c r="Z33" s="472"/>
      <x:c r="AA33" s="472"/>
      <x:c r="AB33" s="472"/>
      <x:c r="AC33" s="472"/>
      <x:c r="AD33" s="472"/>
      <x:c r="AE33" s="472"/>
      <x:c r="AF33" s="472"/>
      <x:c r="AG33" s="472"/>
      <x:c r="AH33" s="472"/>
      <x:c r="AI33" s="472"/>
      <x:c r="AJ33" s="472"/>
      <x:c r="AK33" s="472"/>
      <x:c r="AL33" s="472"/>
      <x:c r="AM33" s="472"/>
      <x:c r="AN33" s="472"/>
      <x:c r="AO33" s="472"/>
      <x:c r="AP33" s="472"/>
      <x:c r="AQ33" s="472"/>
      <x:c r="AR33" s="472"/>
      <x:c r="AS33" s="472"/>
      <x:c r="AT33" s="472"/>
      <x:c r="AU33" s="472"/>
      <x:c r="AV33" s="472"/>
      <x:c r="AW33" s="472"/>
      <x:c r="AX33" s="472"/>
    </x:row>
    <x:row r="34">
      <x:c r="A34" s="462"/>
      <x:c r="B34" s="462"/>
      <x:c r="C34" s="472"/>
      <x:c r="D34" s="472"/>
      <x:c r="E34" s="472"/>
      <x:c r="F34" s="472"/>
      <x:c r="G34" s="472"/>
      <x:c r="H34" s="472"/>
      <x:c r="I34" s="472"/>
      <x:c r="J34" s="472"/>
      <x:c r="K34" s="472"/>
      <x:c r="L34" s="472"/>
      <x:c r="M34" s="472"/>
      <x:c r="N34" s="472"/>
      <x:c r="O34" s="472"/>
      <x:c r="P34" s="472"/>
      <x:c r="Q34" s="472"/>
      <x:c r="R34" s="472"/>
      <x:c r="S34" s="472"/>
      <x:c r="T34" s="472"/>
      <x:c r="U34" s="472"/>
      <x:c r="V34" s="472"/>
      <x:c r="W34" s="472"/>
      <x:c r="X34" s="472"/>
      <x:c r="Y34" s="472"/>
      <x:c r="Z34" s="472"/>
      <x:c r="AA34" s="472"/>
      <x:c r="AB34" s="472"/>
      <x:c r="AC34" s="472"/>
      <x:c r="AD34" s="472"/>
      <x:c r="AE34" s="472"/>
      <x:c r="AF34" s="472"/>
      <x:c r="AG34" s="472"/>
      <x:c r="AH34" s="472"/>
      <x:c r="AI34" s="472"/>
      <x:c r="AJ34" s="472"/>
      <x:c r="AK34" s="472"/>
      <x:c r="AL34" s="472"/>
      <x:c r="AM34" s="472"/>
      <x:c r="AN34" s="472"/>
      <x:c r="AO34" s="472"/>
      <x:c r="AP34" s="472"/>
      <x:c r="AQ34" s="472"/>
      <x:c r="AR34" s="472"/>
      <x:c r="AS34" s="472"/>
      <x:c r="AT34" s="472"/>
      <x:c r="AU34" s="472"/>
      <x:c r="AV34" s="472"/>
      <x:c r="AW34" s="472"/>
      <x:c r="AX34" s="472"/>
    </x:row>
    <x:row r="35">
      <x:c r="A35" s="462"/>
      <x:c r="B35" s="462"/>
      <x:c r="C35" s="472"/>
      <x:c r="D35" s="472"/>
      <x:c r="E35" s="472"/>
      <x:c r="F35" s="472"/>
      <x:c r="G35" s="472"/>
      <x:c r="H35" s="472"/>
      <x:c r="I35" s="472"/>
      <x:c r="J35" s="472"/>
      <x:c r="K35" s="472"/>
      <x:c r="L35" s="472"/>
      <x:c r="M35" s="472"/>
      <x:c r="N35" s="472"/>
      <x:c r="O35" s="472"/>
      <x:c r="P35" s="472"/>
      <x:c r="Q35" s="472"/>
      <x:c r="R35" s="472"/>
      <x:c r="S35" s="472"/>
      <x:c r="T35" s="472"/>
      <x:c r="U35" s="472"/>
      <x:c r="V35" s="472"/>
      <x:c r="W35" s="472"/>
      <x:c r="X35" s="472"/>
      <x:c r="Y35" s="472"/>
      <x:c r="Z35" s="472"/>
      <x:c r="AA35" s="472"/>
      <x:c r="AB35" s="472"/>
      <x:c r="AC35" s="472"/>
      <x:c r="AD35" s="472"/>
      <x:c r="AE35" s="472"/>
      <x:c r="AF35" s="472"/>
      <x:c r="AG35" s="472"/>
      <x:c r="AH35" s="472"/>
      <x:c r="AI35" s="472"/>
      <x:c r="AJ35" s="472"/>
      <x:c r="AK35" s="472"/>
      <x:c r="AL35" s="472"/>
      <x:c r="AM35" s="472"/>
      <x:c r="AN35" s="472"/>
      <x:c r="AO35" s="472"/>
      <x:c r="AP35" s="472"/>
      <x:c r="AQ35" s="472"/>
      <x:c r="AR35" s="472"/>
      <x:c r="AS35" s="472"/>
      <x:c r="AT35" s="472"/>
      <x:c r="AU35" s="472"/>
      <x:c r="AV35" s="472"/>
      <x:c r="AW35" s="472"/>
      <x:c r="AX35" s="472"/>
    </x:row>
    <x:row r="36">
      <x:c r="A36" s="462"/>
      <x:c r="B36" s="462"/>
      <x:c r="C36" s="472"/>
      <x:c r="D36" s="472"/>
      <x:c r="E36" s="472"/>
      <x:c r="F36" s="472"/>
      <x:c r="G36" s="472"/>
      <x:c r="H36" s="472"/>
      <x:c r="I36" s="472"/>
      <x:c r="J36" s="472"/>
      <x:c r="K36" s="472"/>
      <x:c r="L36" s="472"/>
      <x:c r="M36" s="472"/>
      <x:c r="N36" s="472"/>
      <x:c r="O36" s="472"/>
      <x:c r="P36" s="472"/>
      <x:c r="Q36" s="472"/>
      <x:c r="R36" s="472"/>
      <x:c r="S36" s="472"/>
      <x:c r="T36" s="472"/>
      <x:c r="U36" s="472"/>
      <x:c r="V36" s="472"/>
      <x:c r="W36" s="472"/>
      <x:c r="X36" s="472"/>
      <x:c r="Y36" s="472"/>
      <x:c r="Z36" s="472"/>
      <x:c r="AA36" s="472"/>
      <x:c r="AB36" s="472"/>
      <x:c r="AC36" s="472"/>
      <x:c r="AD36" s="472"/>
      <x:c r="AE36" s="472"/>
      <x:c r="AF36" s="472"/>
      <x:c r="AG36" s="472"/>
      <x:c r="AH36" s="472"/>
      <x:c r="AI36" s="472"/>
      <x:c r="AJ36" s="472"/>
      <x:c r="AK36" s="472"/>
      <x:c r="AL36" s="472"/>
      <x:c r="AM36" s="472"/>
      <x:c r="AN36" s="472"/>
      <x:c r="AO36" s="472"/>
      <x:c r="AP36" s="472"/>
      <x:c r="AQ36" s="472"/>
      <x:c r="AR36" s="472"/>
      <x:c r="AS36" s="472"/>
      <x:c r="AT36" s="472"/>
      <x:c r="AU36" s="472"/>
      <x:c r="AV36" s="472"/>
      <x:c r="AW36" s="472"/>
      <x:c r="AX36" s="472"/>
    </x:row>
    <x:row r="37">
      <x:c r="A37" s="462"/>
      <x:c r="B37" s="462"/>
      <x:c r="C37" s="472"/>
      <x:c r="D37" s="472"/>
      <x:c r="E37" s="472"/>
      <x:c r="F37" s="472"/>
      <x:c r="G37" s="472"/>
      <x:c r="H37" s="472"/>
      <x:c r="I37" s="472"/>
      <x:c r="J37" s="472"/>
      <x:c r="K37" s="472"/>
      <x:c r="L37" s="472"/>
      <x:c r="M37" s="472"/>
      <x:c r="N37" s="472"/>
      <x:c r="O37" s="472"/>
      <x:c r="P37" s="472"/>
      <x:c r="Q37" s="472"/>
      <x:c r="R37" s="472"/>
      <x:c r="S37" s="472"/>
      <x:c r="T37" s="472"/>
      <x:c r="U37" s="472"/>
      <x:c r="V37" s="472"/>
      <x:c r="W37" s="472"/>
      <x:c r="X37" s="472"/>
      <x:c r="Y37" s="472"/>
      <x:c r="Z37" s="472"/>
      <x:c r="AA37" s="472"/>
      <x:c r="AB37" s="472"/>
      <x:c r="AC37" s="472"/>
      <x:c r="AD37" s="472"/>
      <x:c r="AE37" s="472"/>
      <x:c r="AF37" s="472"/>
      <x:c r="AG37" s="472"/>
      <x:c r="AH37" s="472"/>
      <x:c r="AI37" s="472"/>
      <x:c r="AJ37" s="472"/>
      <x:c r="AK37" s="472"/>
      <x:c r="AL37" s="472"/>
      <x:c r="AM37" s="472"/>
      <x:c r="AN37" s="472"/>
      <x:c r="AO37" s="472"/>
      <x:c r="AP37" s="472"/>
      <x:c r="AQ37" s="472"/>
      <x:c r="AR37" s="472"/>
      <x:c r="AS37" s="472"/>
      <x:c r="AT37" s="472"/>
      <x:c r="AU37" s="472"/>
      <x:c r="AV37" s="472"/>
      <x:c r="AW37" s="472"/>
      <x:c r="AX37" s="472"/>
    </x:row>
    <x:row r="38">
      <x:c r="A38" s="462"/>
      <x:c r="B38" s="462"/>
      <x:c r="C38" s="472"/>
      <x:c r="D38" s="472"/>
      <x:c r="E38" s="472"/>
      <x:c r="F38" s="472"/>
      <x:c r="G38" s="472"/>
      <x:c r="H38" s="472"/>
      <x:c r="I38" s="472"/>
      <x:c r="J38" s="472"/>
      <x:c r="K38" s="472"/>
      <x:c r="L38" s="472"/>
      <x:c r="M38" s="472"/>
      <x:c r="N38" s="472"/>
      <x:c r="O38" s="472"/>
      <x:c r="P38" s="472"/>
      <x:c r="Q38" s="472"/>
      <x:c r="R38" s="472"/>
      <x:c r="S38" s="472"/>
      <x:c r="T38" s="472"/>
      <x:c r="U38" s="472"/>
      <x:c r="V38" s="472"/>
      <x:c r="W38" s="472"/>
      <x:c r="X38" s="472"/>
      <x:c r="Y38" s="472"/>
      <x:c r="Z38" s="472"/>
      <x:c r="AA38" s="472"/>
      <x:c r="AB38" s="472"/>
      <x:c r="AC38" s="472"/>
      <x:c r="AD38" s="472"/>
      <x:c r="AE38" s="472"/>
      <x:c r="AF38" s="472"/>
      <x:c r="AG38" s="472"/>
      <x:c r="AH38" s="472"/>
      <x:c r="AI38" s="472"/>
      <x:c r="AJ38" s="472"/>
      <x:c r="AK38" s="472"/>
      <x:c r="AL38" s="472"/>
      <x:c r="AM38" s="472"/>
      <x:c r="AN38" s="472"/>
      <x:c r="AO38" s="472"/>
      <x:c r="AP38" s="472"/>
      <x:c r="AQ38" s="472"/>
      <x:c r="AR38" s="472"/>
      <x:c r="AS38" s="472"/>
      <x:c r="AT38" s="472"/>
      <x:c r="AU38" s="472"/>
      <x:c r="AV38" s="472"/>
      <x:c r="AW38" s="472"/>
      <x:c r="AX38" s="472"/>
    </x:row>
    <x:row r="39">
      <x:c r="A39" s="462"/>
      <x:c r="B39" s="462"/>
      <x:c r="C39" s="472"/>
      <x:c r="D39" s="472"/>
      <x:c r="E39" s="472"/>
      <x:c r="F39" s="472"/>
      <x:c r="G39" s="472"/>
      <x:c r="H39" s="472"/>
      <x:c r="I39" s="472"/>
      <x:c r="J39" s="472"/>
      <x:c r="K39" s="472"/>
      <x:c r="L39" s="472"/>
      <x:c r="M39" s="472"/>
      <x:c r="N39" s="472"/>
      <x:c r="O39" s="472"/>
      <x:c r="P39" s="472"/>
      <x:c r="Q39" s="472"/>
      <x:c r="R39" s="472"/>
      <x:c r="S39" s="472"/>
      <x:c r="T39" s="472"/>
      <x:c r="U39" s="472"/>
      <x:c r="V39" s="472"/>
      <x:c r="W39" s="472"/>
      <x:c r="X39" s="472"/>
      <x:c r="Y39" s="472"/>
      <x:c r="Z39" s="472"/>
      <x:c r="AA39" s="472"/>
      <x:c r="AB39" s="472"/>
      <x:c r="AC39" s="472"/>
      <x:c r="AD39" s="472"/>
      <x:c r="AE39" s="472"/>
      <x:c r="AF39" s="472"/>
      <x:c r="AG39" s="472"/>
      <x:c r="AH39" s="472"/>
      <x:c r="AI39" s="472"/>
      <x:c r="AJ39" s="472"/>
      <x:c r="AK39" s="472"/>
      <x:c r="AL39" s="472"/>
      <x:c r="AM39" s="472"/>
      <x:c r="AN39" s="472"/>
      <x:c r="AO39" s="472"/>
      <x:c r="AP39" s="472"/>
      <x:c r="AQ39" s="472"/>
      <x:c r="AR39" s="472"/>
      <x:c r="AS39" s="472"/>
      <x:c r="AT39" s="472"/>
      <x:c r="AU39" s="472"/>
      <x:c r="AV39" s="472"/>
      <x:c r="AW39" s="472"/>
      <x:c r="AX39" s="472"/>
    </x:row>
    <x:row r="40">
      <x:c r="A40" s="462"/>
      <x:c r="B40" s="462"/>
      <x:c r="C40" s="472"/>
      <x:c r="D40" s="472"/>
      <x:c r="E40" s="472"/>
      <x:c r="F40" s="472"/>
      <x:c r="G40" s="472"/>
      <x:c r="H40" s="472"/>
      <x:c r="I40" s="472"/>
      <x:c r="J40" s="472"/>
      <x:c r="K40" s="472"/>
      <x:c r="L40" s="472"/>
      <x:c r="M40" s="472"/>
      <x:c r="N40" s="472"/>
      <x:c r="O40" s="472"/>
      <x:c r="P40" s="472"/>
      <x:c r="Q40" s="472"/>
      <x:c r="R40" s="472"/>
      <x:c r="S40" s="472"/>
      <x:c r="T40" s="472"/>
      <x:c r="U40" s="472"/>
      <x:c r="V40" s="472"/>
      <x:c r="W40" s="472"/>
      <x:c r="X40" s="472"/>
      <x:c r="Y40" s="472"/>
      <x:c r="Z40" s="472"/>
      <x:c r="AA40" s="472"/>
      <x:c r="AB40" s="472"/>
      <x:c r="AC40" s="472"/>
      <x:c r="AD40" s="472"/>
      <x:c r="AE40" s="472"/>
      <x:c r="AF40" s="472"/>
      <x:c r="AG40" s="472"/>
      <x:c r="AH40" s="472"/>
      <x:c r="AI40" s="472"/>
      <x:c r="AJ40" s="472"/>
      <x:c r="AK40" s="472"/>
      <x:c r="AL40" s="472"/>
      <x:c r="AM40" s="472"/>
      <x:c r="AN40" s="472"/>
      <x:c r="AO40" s="472"/>
      <x:c r="AP40" s="472"/>
      <x:c r="AQ40" s="472"/>
      <x:c r="AR40" s="472"/>
      <x:c r="AS40" s="472"/>
      <x:c r="AT40" s="472"/>
      <x:c r="AU40" s="472"/>
      <x:c r="AV40" s="472"/>
      <x:c r="AW40" s="472"/>
      <x:c r="AX40" s="472"/>
    </x:row>
    <x:row r="41">
      <x:c r="A41" s="462"/>
      <x:c r="B41" s="462"/>
      <x:c r="C41" s="472"/>
      <x:c r="D41" s="472"/>
      <x:c r="E41" s="472"/>
      <x:c r="F41" s="472"/>
      <x:c r="G41" s="472"/>
      <x:c r="H41" s="472"/>
      <x:c r="I41" s="472"/>
      <x:c r="J41" s="472"/>
      <x:c r="K41" s="472"/>
      <x:c r="L41" s="472"/>
      <x:c r="M41" s="472"/>
      <x:c r="N41" s="472"/>
      <x:c r="O41" s="472"/>
      <x:c r="P41" s="472"/>
      <x:c r="Q41" s="472"/>
      <x:c r="R41" s="472"/>
      <x:c r="S41" s="472"/>
      <x:c r="T41" s="472"/>
      <x:c r="U41" s="472"/>
      <x:c r="V41" s="472"/>
      <x:c r="W41" s="472"/>
      <x:c r="X41" s="472"/>
      <x:c r="Y41" s="472"/>
      <x:c r="Z41" s="472"/>
      <x:c r="AA41" s="472"/>
      <x:c r="AB41" s="472"/>
      <x:c r="AC41" s="472"/>
      <x:c r="AD41" s="472"/>
      <x:c r="AE41" s="472"/>
      <x:c r="AF41" s="472"/>
      <x:c r="AG41" s="472"/>
      <x:c r="AH41" s="472"/>
      <x:c r="AI41" s="472"/>
      <x:c r="AJ41" s="472"/>
      <x:c r="AK41" s="472"/>
      <x:c r="AL41" s="472"/>
      <x:c r="AM41" s="472"/>
      <x:c r="AN41" s="472"/>
      <x:c r="AO41" s="472"/>
      <x:c r="AP41" s="472"/>
      <x:c r="AQ41" s="472"/>
      <x:c r="AR41" s="472"/>
      <x:c r="AS41" s="472"/>
      <x:c r="AT41" s="472"/>
      <x:c r="AU41" s="472"/>
      <x:c r="AV41" s="472"/>
      <x:c r="AW41" s="472"/>
      <x:c r="AX41" s="472"/>
    </x:row>
    <x:row r="42">
      <x:c r="A42" s="462"/>
      <x:c r="B42" s="462"/>
      <x:c r="C42" s="472"/>
      <x:c r="D42" s="472"/>
      <x:c r="E42" s="472"/>
      <x:c r="F42" s="472"/>
      <x:c r="G42" s="472"/>
      <x:c r="H42" s="472"/>
      <x:c r="I42" s="472"/>
      <x:c r="J42" s="472"/>
      <x:c r="K42" s="472"/>
      <x:c r="L42" s="472"/>
      <x:c r="M42" s="472"/>
      <x:c r="N42" s="472"/>
      <x:c r="O42" s="472"/>
      <x:c r="P42" s="472"/>
      <x:c r="Q42" s="472"/>
      <x:c r="R42" s="472"/>
      <x:c r="S42" s="472"/>
      <x:c r="T42" s="472"/>
      <x:c r="U42" s="472"/>
      <x:c r="V42" s="472"/>
      <x:c r="W42" s="472"/>
      <x:c r="X42" s="472"/>
      <x:c r="Y42" s="472"/>
      <x:c r="Z42" s="472"/>
      <x:c r="AA42" s="472"/>
      <x:c r="AB42" s="472"/>
      <x:c r="AC42" s="472"/>
      <x:c r="AD42" s="472"/>
      <x:c r="AE42" s="472"/>
      <x:c r="AF42" s="472"/>
      <x:c r="AG42" s="472"/>
      <x:c r="AH42" s="472"/>
      <x:c r="AI42" s="472"/>
      <x:c r="AJ42" s="472"/>
      <x:c r="AK42" s="472"/>
      <x:c r="AL42" s="472"/>
      <x:c r="AM42" s="472"/>
      <x:c r="AN42" s="472"/>
      <x:c r="AO42" s="472"/>
      <x:c r="AP42" s="472"/>
      <x:c r="AQ42" s="472"/>
      <x:c r="AR42" s="472"/>
      <x:c r="AS42" s="472"/>
      <x:c r="AT42" s="472"/>
      <x:c r="AU42" s="472"/>
      <x:c r="AV42" s="472"/>
      <x:c r="AW42" s="472"/>
      <x:c r="AX42" s="472"/>
    </x:row>
    <x:row r="43">
      <x:c r="A43" s="462"/>
      <x:c r="B43" s="462"/>
      <x:c r="C43" s="472"/>
      <x:c r="D43" s="472"/>
      <x:c r="E43" s="472"/>
      <x:c r="F43" s="472"/>
      <x:c r="G43" s="472"/>
      <x:c r="H43" s="472"/>
      <x:c r="I43" s="472"/>
      <x:c r="J43" s="472"/>
      <x:c r="K43" s="472"/>
      <x:c r="L43" s="472"/>
      <x:c r="M43" s="472"/>
      <x:c r="N43" s="472"/>
      <x:c r="O43" s="472"/>
      <x:c r="P43" s="472"/>
      <x:c r="Q43" s="472"/>
      <x:c r="R43" s="472"/>
      <x:c r="S43" s="472"/>
      <x:c r="T43" s="472"/>
      <x:c r="U43" s="472"/>
      <x:c r="V43" s="472"/>
      <x:c r="W43" s="472"/>
      <x:c r="X43" s="472"/>
      <x:c r="Y43" s="472"/>
      <x:c r="Z43" s="472"/>
      <x:c r="AA43" s="472"/>
      <x:c r="AB43" s="472"/>
      <x:c r="AC43" s="472"/>
      <x:c r="AD43" s="472"/>
      <x:c r="AE43" s="472"/>
      <x:c r="AF43" s="472"/>
      <x:c r="AG43" s="472"/>
      <x:c r="AH43" s="472"/>
      <x:c r="AI43" s="472"/>
      <x:c r="AJ43" s="472"/>
      <x:c r="AK43" s="472"/>
      <x:c r="AL43" s="472"/>
      <x:c r="AM43" s="472"/>
      <x:c r="AN43" s="472"/>
      <x:c r="AO43" s="472"/>
      <x:c r="AP43" s="472"/>
      <x:c r="AQ43" s="472"/>
      <x:c r="AR43" s="472"/>
      <x:c r="AS43" s="472"/>
      <x:c r="AT43" s="472"/>
      <x:c r="AU43" s="472"/>
      <x:c r="AV43" s="472"/>
      <x:c r="AW43" s="472"/>
      <x:c r="AX43" s="472"/>
    </x:row>
    <x:row r="44">
      <x:c r="A44" s="462"/>
      <x:c r="B44" s="462"/>
      <x:c r="C44" s="472"/>
      <x:c r="D44" s="472"/>
      <x:c r="E44" s="472"/>
      <x:c r="F44" s="472"/>
      <x:c r="G44" s="472"/>
      <x:c r="H44" s="472"/>
      <x:c r="I44" s="472"/>
      <x:c r="J44" s="472"/>
      <x:c r="K44" s="472"/>
      <x:c r="L44" s="472"/>
      <x:c r="M44" s="472"/>
      <x:c r="N44" s="472"/>
      <x:c r="O44" s="472"/>
      <x:c r="P44" s="472"/>
      <x:c r="Q44" s="472"/>
      <x:c r="R44" s="472"/>
      <x:c r="S44" s="472"/>
      <x:c r="T44" s="472"/>
      <x:c r="U44" s="472"/>
      <x:c r="V44" s="472"/>
      <x:c r="W44" s="472"/>
      <x:c r="X44" s="472"/>
      <x:c r="Y44" s="472"/>
      <x:c r="Z44" s="472"/>
      <x:c r="AA44" s="472"/>
      <x:c r="AB44" s="472"/>
      <x:c r="AC44" s="472"/>
      <x:c r="AD44" s="472"/>
      <x:c r="AE44" s="472"/>
      <x:c r="AF44" s="472"/>
      <x:c r="AG44" s="472"/>
      <x:c r="AH44" s="472"/>
      <x:c r="AI44" s="472"/>
      <x:c r="AJ44" s="472"/>
      <x:c r="AK44" s="472"/>
      <x:c r="AL44" s="472"/>
      <x:c r="AM44" s="472"/>
      <x:c r="AN44" s="472"/>
      <x:c r="AO44" s="472"/>
      <x:c r="AP44" s="472"/>
      <x:c r="AQ44" s="472"/>
      <x:c r="AR44" s="472"/>
      <x:c r="AS44" s="472"/>
      <x:c r="AT44" s="472"/>
      <x:c r="AU44" s="472"/>
      <x:c r="AV44" s="472"/>
      <x:c r="AW44" s="472"/>
      <x:c r="AX44" s="472"/>
    </x:row>
    <x:row r="45">
      <x:c r="A45" s="462"/>
      <x:c r="B45" s="462"/>
      <x:c r="C45" s="472"/>
      <x:c r="D45" s="472"/>
      <x:c r="E45" s="472"/>
      <x:c r="F45" s="472"/>
      <x:c r="G45" s="472"/>
      <x:c r="H45" s="472"/>
      <x:c r="I45" s="472"/>
      <x:c r="J45" s="472"/>
      <x:c r="K45" s="472"/>
      <x:c r="L45" s="472"/>
      <x:c r="M45" s="472"/>
      <x:c r="N45" s="472"/>
      <x:c r="O45" s="472"/>
      <x:c r="P45" s="472"/>
      <x:c r="Q45" s="472"/>
      <x:c r="R45" s="472"/>
      <x:c r="S45" s="472"/>
      <x:c r="T45" s="472"/>
      <x:c r="U45" s="472"/>
      <x:c r="V45" s="472"/>
      <x:c r="W45" s="472"/>
      <x:c r="X45" s="472"/>
      <x:c r="Y45" s="472"/>
      <x:c r="Z45" s="472"/>
      <x:c r="AA45" s="472"/>
      <x:c r="AB45" s="472"/>
      <x:c r="AC45" s="472"/>
      <x:c r="AD45" s="472"/>
      <x:c r="AE45" s="472"/>
      <x:c r="AF45" s="472"/>
      <x:c r="AG45" s="472"/>
      <x:c r="AH45" s="472"/>
      <x:c r="AI45" s="472"/>
      <x:c r="AJ45" s="472"/>
      <x:c r="AK45" s="472"/>
      <x:c r="AL45" s="472"/>
      <x:c r="AM45" s="472"/>
      <x:c r="AN45" s="472"/>
      <x:c r="AO45" s="472"/>
      <x:c r="AP45" s="472"/>
      <x:c r="AQ45" s="472"/>
      <x:c r="AR45" s="472"/>
      <x:c r="AS45" s="472"/>
      <x:c r="AT45" s="472"/>
      <x:c r="AU45" s="472"/>
      <x:c r="AV45" s="472"/>
      <x:c r="AW45" s="472"/>
      <x:c r="AX45" s="472"/>
    </x:row>
    <x:row r="46">
      <x:c r="A46" s="462"/>
      <x:c r="B46" s="462"/>
      <x:c r="C46" s="472"/>
      <x:c r="D46" s="472"/>
      <x:c r="E46" s="472"/>
      <x:c r="F46" s="472"/>
      <x:c r="G46" s="472"/>
      <x:c r="H46" s="472"/>
      <x:c r="I46" s="472"/>
      <x:c r="J46" s="472"/>
      <x:c r="K46" s="472"/>
      <x:c r="L46" s="472"/>
      <x:c r="M46" s="472"/>
      <x:c r="N46" s="472"/>
      <x:c r="O46" s="472"/>
      <x:c r="P46" s="472"/>
      <x:c r="Q46" s="472"/>
      <x:c r="R46" s="472"/>
      <x:c r="S46" s="472"/>
      <x:c r="T46" s="472"/>
      <x:c r="U46" s="472"/>
      <x:c r="V46" s="472"/>
      <x:c r="W46" s="472"/>
      <x:c r="X46" s="472"/>
      <x:c r="Y46" s="472"/>
      <x:c r="Z46" s="472"/>
      <x:c r="AA46" s="472"/>
      <x:c r="AB46" s="472"/>
      <x:c r="AC46" s="472"/>
      <x:c r="AD46" s="472"/>
      <x:c r="AE46" s="472"/>
      <x:c r="AF46" s="472"/>
      <x:c r="AG46" s="472"/>
      <x:c r="AH46" s="472"/>
      <x:c r="AI46" s="472"/>
      <x:c r="AJ46" s="472"/>
      <x:c r="AK46" s="472"/>
      <x:c r="AL46" s="472"/>
      <x:c r="AM46" s="472"/>
      <x:c r="AN46" s="472"/>
      <x:c r="AO46" s="472"/>
      <x:c r="AP46" s="472"/>
      <x:c r="AQ46" s="472"/>
      <x:c r="AR46" s="472"/>
      <x:c r="AS46" s="472"/>
      <x:c r="AT46" s="472"/>
      <x:c r="AU46" s="472"/>
      <x:c r="AV46" s="472"/>
      <x:c r="AW46" s="472"/>
      <x:c r="AX46" s="472"/>
    </x:row>
    <x:row r="47">
      <x:c r="A47" s="462"/>
      <x:c r="B47" s="462"/>
      <x:c r="C47" s="472"/>
      <x:c r="D47" s="472"/>
      <x:c r="E47" s="472"/>
      <x:c r="F47" s="472"/>
      <x:c r="G47" s="472"/>
      <x:c r="H47" s="472"/>
      <x:c r="I47" s="472"/>
      <x:c r="J47" s="472"/>
      <x:c r="K47" s="472"/>
      <x:c r="L47" s="472"/>
      <x:c r="M47" s="472"/>
      <x:c r="N47" s="472"/>
      <x:c r="O47" s="472"/>
      <x:c r="P47" s="472"/>
      <x:c r="Q47" s="472"/>
      <x:c r="R47" s="472"/>
      <x:c r="S47" s="472"/>
      <x:c r="T47" s="472"/>
      <x:c r="U47" s="472"/>
      <x:c r="V47" s="472"/>
      <x:c r="W47" s="472"/>
      <x:c r="X47" s="472"/>
      <x:c r="Y47" s="472"/>
      <x:c r="Z47" s="472"/>
      <x:c r="AA47" s="472"/>
      <x:c r="AB47" s="472"/>
      <x:c r="AC47" s="472"/>
      <x:c r="AD47" s="472"/>
      <x:c r="AE47" s="472"/>
      <x:c r="AF47" s="472"/>
      <x:c r="AG47" s="472"/>
      <x:c r="AH47" s="472"/>
      <x:c r="AI47" s="472"/>
      <x:c r="AJ47" s="472"/>
      <x:c r="AK47" s="472"/>
      <x:c r="AL47" s="472"/>
      <x:c r="AM47" s="472"/>
      <x:c r="AN47" s="472"/>
      <x:c r="AO47" s="472"/>
      <x:c r="AP47" s="472"/>
      <x:c r="AQ47" s="472"/>
      <x:c r="AR47" s="472"/>
      <x:c r="AS47" s="472"/>
      <x:c r="AT47" s="472"/>
      <x:c r="AU47" s="472"/>
      <x:c r="AV47" s="472"/>
      <x:c r="AW47" s="472"/>
      <x:c r="AX47" s="472"/>
    </x:row>
    <x:row r="48">
      <x:c r="A48" s="462"/>
      <x:c r="B48" s="462"/>
      <x:c r="C48" s="472"/>
      <x:c r="D48" s="472"/>
      <x:c r="E48" s="472"/>
      <x:c r="F48" s="472"/>
      <x:c r="G48" s="472"/>
      <x:c r="H48" s="472"/>
      <x:c r="I48" s="472"/>
      <x:c r="J48" s="472"/>
      <x:c r="K48" s="472"/>
      <x:c r="L48" s="472"/>
      <x:c r="M48" s="472"/>
      <x:c r="N48" s="472"/>
      <x:c r="O48" s="472"/>
      <x:c r="P48" s="472"/>
      <x:c r="Q48" s="472"/>
      <x:c r="R48" s="472"/>
      <x:c r="S48" s="472"/>
      <x:c r="T48" s="472"/>
      <x:c r="U48" s="472"/>
      <x:c r="V48" s="472"/>
      <x:c r="W48" s="472"/>
      <x:c r="X48" s="472"/>
      <x:c r="Y48" s="472"/>
      <x:c r="Z48" s="472"/>
      <x:c r="AA48" s="472"/>
      <x:c r="AB48" s="472"/>
      <x:c r="AC48" s="472"/>
      <x:c r="AD48" s="472"/>
      <x:c r="AE48" s="472"/>
      <x:c r="AF48" s="472"/>
      <x:c r="AG48" s="472"/>
      <x:c r="AH48" s="472"/>
      <x:c r="AI48" s="472"/>
      <x:c r="AJ48" s="472"/>
      <x:c r="AK48" s="472"/>
      <x:c r="AL48" s="472"/>
      <x:c r="AM48" s="472"/>
      <x:c r="AN48" s="472"/>
      <x:c r="AO48" s="472"/>
      <x:c r="AP48" s="472"/>
      <x:c r="AQ48" s="472"/>
      <x:c r="AR48" s="472"/>
      <x:c r="AS48" s="472"/>
      <x:c r="AT48" s="472"/>
      <x:c r="AU48" s="472"/>
      <x:c r="AV48" s="472"/>
      <x:c r="AW48" s="472"/>
      <x:c r="AX48" s="472"/>
    </x:row>
    <x:row r="49">
      <x:c r="A49" s="462"/>
      <x:c r="B49" s="462"/>
      <x:c r="C49" s="472"/>
      <x:c r="D49" s="472"/>
      <x:c r="E49" s="472"/>
      <x:c r="F49" s="472"/>
      <x:c r="G49" s="472"/>
      <x:c r="H49" s="472"/>
      <x:c r="I49" s="472"/>
      <x:c r="J49" s="472"/>
      <x:c r="K49" s="472"/>
      <x:c r="L49" s="472"/>
      <x:c r="M49" s="472"/>
      <x:c r="N49" s="472"/>
      <x:c r="O49" s="472"/>
      <x:c r="P49" s="472"/>
      <x:c r="Q49" s="472"/>
      <x:c r="R49" s="472"/>
      <x:c r="S49" s="472"/>
      <x:c r="T49" s="472"/>
      <x:c r="U49" s="472"/>
      <x:c r="V49" s="472"/>
      <x:c r="W49" s="472"/>
      <x:c r="X49" s="472"/>
      <x:c r="Y49" s="472"/>
      <x:c r="Z49" s="472"/>
      <x:c r="AA49" s="472"/>
      <x:c r="AB49" s="472"/>
      <x:c r="AC49" s="472"/>
      <x:c r="AD49" s="472"/>
      <x:c r="AE49" s="472"/>
      <x:c r="AF49" s="472"/>
      <x:c r="AG49" s="472"/>
      <x:c r="AH49" s="472"/>
      <x:c r="AI49" s="472"/>
      <x:c r="AJ49" s="472"/>
      <x:c r="AK49" s="472"/>
      <x:c r="AL49" s="472"/>
      <x:c r="AM49" s="472"/>
      <x:c r="AN49" s="472"/>
      <x:c r="AO49" s="472"/>
      <x:c r="AP49" s="472"/>
      <x:c r="AQ49" s="472"/>
      <x:c r="AR49" s="472"/>
      <x:c r="AS49" s="472"/>
      <x:c r="AT49" s="472"/>
      <x:c r="AU49" s="472"/>
      <x:c r="AV49" s="472"/>
      <x:c r="AW49" s="472"/>
      <x:c r="AX49" s="472"/>
    </x:row>
    <x:row r="50">
      <x:c r="A50" s="462"/>
      <x:c r="B50" s="462"/>
      <x:c r="C50" s="472"/>
      <x:c r="D50" s="472"/>
      <x:c r="E50" s="472"/>
      <x:c r="F50" s="472"/>
      <x:c r="G50" s="472"/>
      <x:c r="H50" s="472"/>
      <x:c r="I50" s="472"/>
      <x:c r="J50" s="472"/>
      <x:c r="K50" s="472"/>
      <x:c r="L50" s="472"/>
      <x:c r="M50" s="472"/>
      <x:c r="N50" s="472"/>
      <x:c r="O50" s="472"/>
      <x:c r="P50" s="472"/>
      <x:c r="Q50" s="472"/>
      <x:c r="R50" s="472"/>
      <x:c r="S50" s="472"/>
      <x:c r="T50" s="472"/>
      <x:c r="U50" s="472"/>
      <x:c r="V50" s="472"/>
      <x:c r="W50" s="472"/>
      <x:c r="X50" s="472"/>
      <x:c r="Y50" s="472"/>
      <x:c r="Z50" s="472"/>
      <x:c r="AA50" s="472"/>
      <x:c r="AB50" s="472"/>
      <x:c r="AC50" s="472"/>
      <x:c r="AD50" s="472"/>
      <x:c r="AE50" s="472"/>
      <x:c r="AF50" s="472"/>
      <x:c r="AG50" s="472"/>
      <x:c r="AH50" s="472"/>
      <x:c r="AI50" s="472"/>
      <x:c r="AJ50" s="472"/>
      <x:c r="AK50" s="472"/>
      <x:c r="AL50" s="472"/>
      <x:c r="AM50" s="472"/>
      <x:c r="AN50" s="472"/>
      <x:c r="AO50" s="472"/>
      <x:c r="AP50" s="472"/>
      <x:c r="AQ50" s="472"/>
      <x:c r="AR50" s="472"/>
      <x:c r="AS50" s="472"/>
      <x:c r="AT50" s="472"/>
      <x:c r="AU50" s="472"/>
      <x:c r="AV50" s="472"/>
      <x:c r="AW50" s="472"/>
      <x:c r="AX50" s="47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5" hidden="0" customWidth="1"/>
    <x:col min="4" max="4" width="15" hidden="0" customWidth="1"/>
    <x:col min="5" max="5" width="25" hidden="0" customWidth="1"/>
    <x:col min="6" max="6" width="15" hidden="0" customWidth="1"/>
    <x:col min="7" max="7" width="14" hidden="0" customWidth="1"/>
    <x:col min="8" max="8" width="18" hidden="0" customWidth="1"/>
    <x:col min="9" max="9" width="18" hidden="0" customWidth="1"/>
    <x:col min="10" max="10" width="25" hidden="0" customWidth="1"/>
    <x:col min="11" max="11" width="14" hidden="0" customWidth="1"/>
    <x:col min="12" max="12" width="28" hidden="0" customWidth="1"/>
  </x:cols>
  <x:sheetData>
    <x:row r="1">
      <x:c r="A1" s="18" t="str">
        <x:v>STT</x:v>
      </x:c>
      <x:c r="B1" s="129" t="str">
        <x:v>Bắt đầu (giây)</x:v>
      </x:c>
      <x:c r="C1" s="129" t="str">
        <x:v>Thời điểm bắt đầu</x:v>
      </x:c>
      <x:c r="D1" s="129" t="str">
        <x:v>P mục tiêu</x:v>
      </x:c>
      <x:c r="E1" s="129" t="str">
        <x:v>Thời điểm hoàn thành gốc</x:v>
      </x:c>
      <x:c r="F1" s="129" t="str">
        <x:v>P bắt đầu</x:v>
      </x:c>
      <x:c r="G1" s="129" t="str">
        <x:v>Loại</x:v>
      </x:c>
      <x:c r="H1" s="129" t="str">
        <x:v>Thời lượng (giây)</x:v>
      </x:c>
      <x:c r="I1" s="129" t="str">
        <x:v>Kết thúc (giây)</x:v>
      </x:c>
      <x:c r="J1" s="129" t="str">
        <x:v>Thời điểm kết thúc</x:v>
      </x:c>
      <x:c r="K1" s="129" t="str">
        <x:v>P cuối</x:v>
      </x:c>
      <x:c r="L1" s="19" t="str">
        <x:v>Ghi chú</x:v>
      </x:c>
    </x:row>
    <x:row r="2">
      <x:c r="A2" s="36" t="n">
        <x:f>ROW()-1</x:f>
        <x:v>1</x:v>
      </x:c>
      <x:c r="B2" s="166" t="str">
        <x:f>IF(LENH_DIEU_DO!C3="","",MOD(LENH_DIEU_DO!C3,1)*86400)</x:f>
      </x:c>
      <x:c r="C2" s="184" t="str">
        <x:f>IF(LENH_DIEU_DO!C3="","",LENH_DIEU_DO!C3)</x:f>
      </x:c>
      <x:c r="D2" s="190" t="str">
        <x:f>IF(LENH_DIEU_DO!D3="","",LENH_DIEU_DO!D3)</x:f>
      </x:c>
      <x:c r="E2" s="190" t="str">
        <x:f>IF(LENH_DIEU_DO!E3="","",LENH_DIEU_DO!E3)</x:f>
      </x:c>
      <x:c r="F2" s="190" t="str">
        <x:f>IF(C2="","",CAI_DAT!$B$6)</x:f>
      </x:c>
      <x:c r="G2" s="190" t="str">
        <x:f>IF(C2="","",IF(D2&gt;F2,"RAMP_UP",IF(D2&lt;F2,"RAMP_DOWN","HOLD")))</x:f>
      </x:c>
      <x:c r="H2" s="190" t="str">
        <x:f>IF(C2="","",IF(G2="HOLD",0,ABS(D2-F2)/CAI_DAT!$B$7*60))</x:f>
      </x:c>
      <x:c r="I2" s="190" t="str">
        <x:f>IF(C2="","",B2+H2)</x:f>
      </x:c>
      <x:c r="J2" s="184" t="str">
        <x:f>IF(C2="","",CAI_DAT!$B$4+I2/86400)</x:f>
      </x:c>
      <x:c r="K2" s="140" t="str">
        <x:f>IF(C2="","",D2)</x:f>
      </x:c>
      <x:c r="L2" s="37" t="str">
        <x:f>IF(LENH_DIEU_DO!G3="","",LENH_DIEU_DO!G3)</x:f>
      </x:c>
    </x:row>
    <x:row r="3">
      <x:c r="A3" s="38" t="n">
        <x:f>ROW()-1</x:f>
        <x:v>2</x:v>
      </x:c>
      <x:c r="B3" s="167" t="str">
        <x:f>IF(LENH_DIEU_DO!C4="","",MOD(LENH_DIEU_DO!C4,1)*86400)</x:f>
      </x:c>
      <x:c r="C3" s="185" t="str">
        <x:f>IF(LENH_DIEU_DO!C4="","",LENH_DIEU_DO!C4)</x:f>
      </x:c>
      <x:c r="D3" s="191" t="str">
        <x:f>IF(LENH_DIEU_DO!D4="","",LENH_DIEU_DO!D4)</x:f>
      </x:c>
      <x:c r="E3" s="191" t="str">
        <x:f>IF(LENH_DIEU_DO!E4="","",LENH_DIEU_DO!E4)</x:f>
      </x:c>
      <x:c r="F3" s="191" t="str">
        <x:f>IF(C3="","",IF(B3&gt;=I2,D2,F2+(D2-F2)*(B3-B2)/MAX(I2-B2,0.000001)))</x:f>
      </x:c>
      <x:c r="G3" s="191" t="str">
        <x:f>IF(C3="","",IF(D3&gt;F3,"RAMP_UP",IF(D3&lt;F3,"RAMP_DOWN","HOLD")))</x:f>
      </x:c>
      <x:c r="H3" s="191" t="str">
        <x:f>IF(C3="","",IF(G3="HOLD",0,ABS(D3-F3)/CAI_DAT!$B$7*60))</x:f>
      </x:c>
      <x:c r="I3" s="191" t="str">
        <x:f>IF(C3="","",B3+H3)</x:f>
      </x:c>
      <x:c r="J3" s="185" t="str">
        <x:f>IF(C3="","",CAI_DAT!$B$4+I3/86400)</x:f>
      </x:c>
      <x:c r="K3" s="142" t="str">
        <x:f>IF(C3="","",D3)</x:f>
      </x:c>
      <x:c r="L3" s="39" t="str">
        <x:f>IF(LENH_DIEU_DO!G4="","",LENH_DIEU_DO!G4)</x:f>
      </x:c>
    </x:row>
    <x:row r="4">
      <x:c r="A4" s="38" t="n">
        <x:f>ROW()-1</x:f>
        <x:v>3</x:v>
      </x:c>
      <x:c r="B4" s="167" t="str">
        <x:f>IF(LENH_DIEU_DO!C5="","",MOD(LENH_DIEU_DO!C5,1)*86400)</x:f>
      </x:c>
      <x:c r="C4" s="185" t="str">
        <x:f>IF(LENH_DIEU_DO!C5="","",LENH_DIEU_DO!C5)</x:f>
      </x:c>
      <x:c r="D4" s="191" t="str">
        <x:f>IF(LENH_DIEU_DO!D5="","",LENH_DIEU_DO!D5)</x:f>
      </x:c>
      <x:c r="E4" s="191" t="str">
        <x:f>IF(LENH_DIEU_DO!E5="","",LENH_DIEU_DO!E5)</x:f>
      </x:c>
      <x:c r="F4" s="191" t="str">
        <x:f>IF(C4="","",IF(B4&gt;=I3,D3,F3+(D3-F3)*(B4-B3)/MAX(I3-B3,0.000001)))</x:f>
      </x:c>
      <x:c r="G4" s="191" t="str">
        <x:f>IF(C4="","",IF(D4&gt;F4,"RAMP_UP",IF(D4&lt;F4,"RAMP_DOWN","HOLD")))</x:f>
      </x:c>
      <x:c r="H4" s="191" t="str">
        <x:f>IF(C4="","",IF(G4="HOLD",0,ABS(D4-F4)/CAI_DAT!$B$7*60))</x:f>
      </x:c>
      <x:c r="I4" s="191" t="str">
        <x:f>IF(C4="","",B4+H4)</x:f>
      </x:c>
      <x:c r="J4" s="185" t="str">
        <x:f>IF(C4="","",CAI_DAT!$B$4+I4/86400)</x:f>
      </x:c>
      <x:c r="K4" s="142" t="str">
        <x:f>IF(C4="","",D4)</x:f>
      </x:c>
      <x:c r="L4" s="39" t="str">
        <x:f>IF(LENH_DIEU_DO!G5="","",LENH_DIEU_DO!G5)</x:f>
      </x:c>
    </x:row>
    <x:row r="5">
      <x:c r="A5" s="38" t="n">
        <x:f>ROW()-1</x:f>
        <x:v>4</x:v>
      </x:c>
      <x:c r="B5" s="167" t="str">
        <x:f>IF(LENH_DIEU_DO!C6="","",MOD(LENH_DIEU_DO!C6,1)*86400)</x:f>
      </x:c>
      <x:c r="C5" s="185" t="str">
        <x:f>IF(LENH_DIEU_DO!C6="","",LENH_DIEU_DO!C6)</x:f>
      </x:c>
      <x:c r="D5" s="191" t="str">
        <x:f>IF(LENH_DIEU_DO!D6="","",LENH_DIEU_DO!D6)</x:f>
      </x:c>
      <x:c r="E5" s="191" t="str">
        <x:f>IF(LENH_DIEU_DO!E6="","",LENH_DIEU_DO!E6)</x:f>
      </x:c>
      <x:c r="F5" s="191" t="str">
        <x:f>IF(C5="","",IF(B5&gt;=I4,D4,F4+(D4-F4)*(B5-B4)/MAX(I4-B4,0.000001)))</x:f>
      </x:c>
      <x:c r="G5" s="191" t="str">
        <x:f>IF(C5="","",IF(D5&gt;F5,"RAMP_UP",IF(D5&lt;F5,"RAMP_DOWN","HOLD")))</x:f>
      </x:c>
      <x:c r="H5" s="191" t="str">
        <x:f>IF(C5="","",IF(G5="HOLD",0,ABS(D5-F5)/CAI_DAT!$B$7*60))</x:f>
      </x:c>
      <x:c r="I5" s="191" t="str">
        <x:f>IF(C5="","",B5+H5)</x:f>
      </x:c>
      <x:c r="J5" s="185" t="str">
        <x:f>IF(C5="","",CAI_DAT!$B$4+I5/86400)</x:f>
      </x:c>
      <x:c r="K5" s="142" t="str">
        <x:f>IF(C5="","",D5)</x:f>
      </x:c>
      <x:c r="L5" s="39" t="str">
        <x:f>IF(LENH_DIEU_DO!G6="","",LENH_DIEU_DO!G6)</x:f>
      </x:c>
    </x:row>
    <x:row r="6">
      <x:c r="A6" s="38" t="n">
        <x:f>ROW()-1</x:f>
        <x:v>5</x:v>
      </x:c>
      <x:c r="B6" s="167" t="str">
        <x:f>IF(LENH_DIEU_DO!C7="","",MOD(LENH_DIEU_DO!C7,1)*86400)</x:f>
      </x:c>
      <x:c r="C6" s="185" t="str">
        <x:f>IF(LENH_DIEU_DO!C7="","",LENH_DIEU_DO!C7)</x:f>
      </x:c>
      <x:c r="D6" s="191" t="str">
        <x:f>IF(LENH_DIEU_DO!D7="","",LENH_DIEU_DO!D7)</x:f>
      </x:c>
      <x:c r="E6" s="191" t="str">
        <x:f>IF(LENH_DIEU_DO!E7="","",LENH_DIEU_DO!E7)</x:f>
      </x:c>
      <x:c r="F6" s="191" t="str">
        <x:f>IF(C6="","",IF(B6&gt;=I5,D5,F5+(D5-F5)*(B6-B5)/MAX(I5-B5,0.000001)))</x:f>
      </x:c>
      <x:c r="G6" s="191" t="str">
        <x:f>IF(C6="","",IF(D6&gt;F6,"RAMP_UP",IF(D6&lt;F6,"RAMP_DOWN","HOLD")))</x:f>
      </x:c>
      <x:c r="H6" s="191" t="str">
        <x:f>IF(C6="","",IF(G6="HOLD",0,ABS(D6-F6)/CAI_DAT!$B$7*60))</x:f>
      </x:c>
      <x:c r="I6" s="191" t="str">
        <x:f>IF(C6="","",B6+H6)</x:f>
      </x:c>
      <x:c r="J6" s="185" t="str">
        <x:f>IF(C6="","",CAI_DAT!$B$4+I6/86400)</x:f>
      </x:c>
      <x:c r="K6" s="142" t="str">
        <x:f>IF(C6="","",D6)</x:f>
      </x:c>
      <x:c r="L6" s="39" t="str">
        <x:f>IF(LENH_DIEU_DO!G7="","",LENH_DIEU_DO!G7)</x:f>
      </x:c>
    </x:row>
    <x:row r="7">
      <x:c r="A7" s="38" t="n">
        <x:f>ROW()-1</x:f>
        <x:v>6</x:v>
      </x:c>
      <x:c r="B7" s="167" t="str">
        <x:f>IF(LENH_DIEU_DO!C8="","",MOD(LENH_DIEU_DO!C8,1)*86400)</x:f>
      </x:c>
      <x:c r="C7" s="185" t="str">
        <x:f>IF(LENH_DIEU_DO!C8="","",LENH_DIEU_DO!C8)</x:f>
      </x:c>
      <x:c r="D7" s="191" t="str">
        <x:f>IF(LENH_DIEU_DO!D8="","",LENH_DIEU_DO!D8)</x:f>
      </x:c>
      <x:c r="E7" s="191" t="str">
        <x:f>IF(LENH_DIEU_DO!E8="","",LENH_DIEU_DO!E8)</x:f>
      </x:c>
      <x:c r="F7" s="191" t="str">
        <x:f>IF(C7="","",IF(B7&gt;=I6,D6,F6+(D6-F6)*(B7-B6)/MAX(I6-B6,0.000001)))</x:f>
      </x:c>
      <x:c r="G7" s="191" t="str">
        <x:f>IF(C7="","",IF(D7&gt;F7,"RAMP_UP",IF(D7&lt;F7,"RAMP_DOWN","HOLD")))</x:f>
      </x:c>
      <x:c r="H7" s="191" t="str">
        <x:f>IF(C7="","",IF(G7="HOLD",0,ABS(D7-F7)/CAI_DAT!$B$7*60))</x:f>
      </x:c>
      <x:c r="I7" s="191" t="str">
        <x:f>IF(C7="","",B7+H7)</x:f>
      </x:c>
      <x:c r="J7" s="185" t="str">
        <x:f>IF(C7="","",CAI_DAT!$B$4+I7/86400)</x:f>
      </x:c>
      <x:c r="K7" s="142" t="str">
        <x:f>IF(C7="","",D7)</x:f>
      </x:c>
      <x:c r="L7" s="39" t="str">
        <x:f>IF(LENH_DIEU_DO!G8="","",LENH_DIEU_DO!G8)</x:f>
      </x:c>
    </x:row>
    <x:row r="8">
      <x:c r="A8" s="38" t="n">
        <x:f>ROW()-1</x:f>
        <x:v>7</x:v>
      </x:c>
      <x:c r="B8" s="167" t="str">
        <x:f>IF(LENH_DIEU_DO!C9="","",MOD(LENH_DIEU_DO!C9,1)*86400)</x:f>
      </x:c>
      <x:c r="C8" s="185" t="str">
        <x:f>IF(LENH_DIEU_DO!C9="","",LENH_DIEU_DO!C9)</x:f>
      </x:c>
      <x:c r="D8" s="191" t="str">
        <x:f>IF(LENH_DIEU_DO!D9="","",LENH_DIEU_DO!D9)</x:f>
      </x:c>
      <x:c r="E8" s="191" t="str">
        <x:f>IF(LENH_DIEU_DO!E9="","",LENH_DIEU_DO!E9)</x:f>
      </x:c>
      <x:c r="F8" s="191" t="str">
        <x:f>IF(C8="","",IF(B8&gt;=I7,D7,F7+(D7-F7)*(B8-B7)/MAX(I7-B7,0.000001)))</x:f>
      </x:c>
      <x:c r="G8" s="191" t="str">
        <x:f>IF(C8="","",IF(D8&gt;F8,"RAMP_UP",IF(D8&lt;F8,"RAMP_DOWN","HOLD")))</x:f>
      </x:c>
      <x:c r="H8" s="191" t="str">
        <x:f>IF(C8="","",IF(G8="HOLD",0,ABS(D8-F8)/CAI_DAT!$B$7*60))</x:f>
      </x:c>
      <x:c r="I8" s="191" t="str">
        <x:f>IF(C8="","",B8+H8)</x:f>
      </x:c>
      <x:c r="J8" s="185" t="str">
        <x:f>IF(C8="","",CAI_DAT!$B$4+I8/86400)</x:f>
      </x:c>
      <x:c r="K8" s="142" t="str">
        <x:f>IF(C8="","",D8)</x:f>
      </x:c>
      <x:c r="L8" s="39" t="str">
        <x:f>IF(LENH_DIEU_DO!G9="","",LENH_DIEU_DO!G9)</x:f>
      </x:c>
    </x:row>
    <x:row r="9">
      <x:c r="A9" s="38" t="n">
        <x:f>ROW()-1</x:f>
        <x:v>8</x:v>
      </x:c>
      <x:c r="B9" s="167" t="str">
        <x:f>IF(LENH_DIEU_DO!C10="","",MOD(LENH_DIEU_DO!C10,1)*86400)</x:f>
      </x:c>
      <x:c r="C9" s="185" t="str">
        <x:f>IF(LENH_DIEU_DO!C10="","",LENH_DIEU_DO!C10)</x:f>
      </x:c>
      <x:c r="D9" s="191" t="str">
        <x:f>IF(LENH_DIEU_DO!D10="","",LENH_DIEU_DO!D10)</x:f>
      </x:c>
      <x:c r="E9" s="191" t="str">
        <x:f>IF(LENH_DIEU_DO!E10="","",LENH_DIEU_DO!E10)</x:f>
      </x:c>
      <x:c r="F9" s="191" t="str">
        <x:f>IF(C9="","",IF(B9&gt;=I8,D8,F8+(D8-F8)*(B9-B8)/MAX(I8-B8,0.000001)))</x:f>
      </x:c>
      <x:c r="G9" s="191" t="str">
        <x:f>IF(C9="","",IF(D9&gt;F9,"RAMP_UP",IF(D9&lt;F9,"RAMP_DOWN","HOLD")))</x:f>
      </x:c>
      <x:c r="H9" s="191" t="str">
        <x:f>IF(C9="","",IF(G9="HOLD",0,ABS(D9-F9)/CAI_DAT!$B$7*60))</x:f>
      </x:c>
      <x:c r="I9" s="191" t="str">
        <x:f>IF(C9="","",B9+H9)</x:f>
      </x:c>
      <x:c r="J9" s="185" t="str">
        <x:f>IF(C9="","",CAI_DAT!$B$4+I9/86400)</x:f>
      </x:c>
      <x:c r="K9" s="142" t="str">
        <x:f>IF(C9="","",D9)</x:f>
      </x:c>
      <x:c r="L9" s="39" t="str">
        <x:f>IF(LENH_DIEU_DO!G10="","",LENH_DIEU_DO!G10)</x:f>
      </x:c>
    </x:row>
    <x:row r="10">
      <x:c r="A10" s="38" t="n">
        <x:f>ROW()-1</x:f>
        <x:v>9</x:v>
      </x:c>
      <x:c r="B10" s="167" t="str">
        <x:f>IF(LENH_DIEU_DO!C11="","",MOD(LENH_DIEU_DO!C11,1)*86400)</x:f>
      </x:c>
      <x:c r="C10" s="185" t="str">
        <x:f>IF(LENH_DIEU_DO!C11="","",LENH_DIEU_DO!C11)</x:f>
      </x:c>
      <x:c r="D10" s="191" t="str">
        <x:f>IF(LENH_DIEU_DO!D11="","",LENH_DIEU_DO!D11)</x:f>
      </x:c>
      <x:c r="E10" s="191" t="str">
        <x:f>IF(LENH_DIEU_DO!E11="","",LENH_DIEU_DO!E11)</x:f>
      </x:c>
      <x:c r="F10" s="191" t="str">
        <x:f>IF(C10="","",IF(B10&gt;=I9,D9,F9+(D9-F9)*(B10-B9)/MAX(I9-B9,0.000001)))</x:f>
      </x:c>
      <x:c r="G10" s="191" t="str">
        <x:f>IF(C10="","",IF(D10&gt;F10,"RAMP_UP",IF(D10&lt;F10,"RAMP_DOWN","HOLD")))</x:f>
      </x:c>
      <x:c r="H10" s="191" t="str">
        <x:f>IF(C10="","",IF(G10="HOLD",0,ABS(D10-F10)/CAI_DAT!$B$7*60))</x:f>
      </x:c>
      <x:c r="I10" s="191" t="str">
        <x:f>IF(C10="","",B10+H10)</x:f>
      </x:c>
      <x:c r="J10" s="185" t="str">
        <x:f>IF(C10="","",CAI_DAT!$B$4+I10/86400)</x:f>
      </x:c>
      <x:c r="K10" s="142" t="str">
        <x:f>IF(C10="","",D10)</x:f>
      </x:c>
      <x:c r="L10" s="39" t="str">
        <x:f>IF(LENH_DIEU_DO!G11="","",LENH_DIEU_DO!G11)</x:f>
      </x:c>
    </x:row>
    <x:row r="11">
      <x:c r="A11" s="38" t="n">
        <x:f>ROW()-1</x:f>
        <x:v>10</x:v>
      </x:c>
      <x:c r="B11" s="167" t="str">
        <x:f>IF(LENH_DIEU_DO!C12="","",MOD(LENH_DIEU_DO!C12,1)*86400)</x:f>
      </x:c>
      <x:c r="C11" s="185" t="str">
        <x:f>IF(LENH_DIEU_DO!C12="","",LENH_DIEU_DO!C12)</x:f>
      </x:c>
      <x:c r="D11" s="191" t="str">
        <x:f>IF(LENH_DIEU_DO!D12="","",LENH_DIEU_DO!D12)</x:f>
      </x:c>
      <x:c r="E11" s="191" t="str">
        <x:f>IF(LENH_DIEU_DO!E12="","",LENH_DIEU_DO!E12)</x:f>
      </x:c>
      <x:c r="F11" s="191" t="str">
        <x:f>IF(C11="","",IF(B11&gt;=I10,D10,F10+(D10-F10)*(B11-B10)/MAX(I10-B10,0.000001)))</x:f>
      </x:c>
      <x:c r="G11" s="191" t="str">
        <x:f>IF(C11="","",IF(D11&gt;F11,"RAMP_UP",IF(D11&lt;F11,"RAMP_DOWN","HOLD")))</x:f>
      </x:c>
      <x:c r="H11" s="191" t="str">
        <x:f>IF(C11="","",IF(G11="HOLD",0,ABS(D11-F11)/CAI_DAT!$B$7*60))</x:f>
      </x:c>
      <x:c r="I11" s="191" t="str">
        <x:f>IF(C11="","",B11+H11)</x:f>
      </x:c>
      <x:c r="J11" s="185" t="str">
        <x:f>IF(C11="","",CAI_DAT!$B$4+I11/86400)</x:f>
      </x:c>
      <x:c r="K11" s="142" t="str">
        <x:f>IF(C11="","",D11)</x:f>
      </x:c>
      <x:c r="L11" s="39" t="str">
        <x:f>IF(LENH_DIEU_DO!G12="","",LENH_DIEU_DO!G12)</x:f>
      </x:c>
    </x:row>
    <x:row r="12">
      <x:c r="A12" s="38" t="n">
        <x:f>ROW()-1</x:f>
        <x:v>11</x:v>
      </x:c>
      <x:c r="B12" s="167" t="str">
        <x:f>IF(LENH_DIEU_DO!C13="","",MOD(LENH_DIEU_DO!C13,1)*86400)</x:f>
      </x:c>
      <x:c r="C12" s="185" t="str">
        <x:f>IF(LENH_DIEU_DO!C13="","",LENH_DIEU_DO!C13)</x:f>
      </x:c>
      <x:c r="D12" s="191" t="str">
        <x:f>IF(LENH_DIEU_DO!D13="","",LENH_DIEU_DO!D13)</x:f>
      </x:c>
      <x:c r="E12" s="191" t="str">
        <x:f>IF(LENH_DIEU_DO!E13="","",LENH_DIEU_DO!E13)</x:f>
      </x:c>
      <x:c r="F12" s="191" t="str">
        <x:f>IF(C12="","",IF(B12&gt;=I11,D11,F11+(D11-F11)*(B12-B11)/MAX(I11-B11,0.000001)))</x:f>
      </x:c>
      <x:c r="G12" s="191" t="str">
        <x:f>IF(C12="","",IF(D12&gt;F12,"RAMP_UP",IF(D12&lt;F12,"RAMP_DOWN","HOLD")))</x:f>
      </x:c>
      <x:c r="H12" s="191" t="str">
        <x:f>IF(C12="","",IF(G12="HOLD",0,ABS(D12-F12)/CAI_DAT!$B$7*60))</x:f>
      </x:c>
      <x:c r="I12" s="191" t="str">
        <x:f>IF(C12="","",B12+H12)</x:f>
      </x:c>
      <x:c r="J12" s="185" t="str">
        <x:f>IF(C12="","",CAI_DAT!$B$4+I12/86400)</x:f>
      </x:c>
      <x:c r="K12" s="142" t="str">
        <x:f>IF(C12="","",D12)</x:f>
      </x:c>
      <x:c r="L12" s="39" t="str">
        <x:f>IF(LENH_DIEU_DO!G13="","",LENH_DIEU_DO!G13)</x:f>
      </x:c>
    </x:row>
    <x:row r="13">
      <x:c r="A13" s="38" t="n">
        <x:f>ROW()-1</x:f>
        <x:v>12</x:v>
      </x:c>
      <x:c r="B13" s="167" t="str">
        <x:f>IF(LENH_DIEU_DO!C14="","",MOD(LENH_DIEU_DO!C14,1)*86400)</x:f>
      </x:c>
      <x:c r="C13" s="185" t="str">
        <x:f>IF(LENH_DIEU_DO!C14="","",LENH_DIEU_DO!C14)</x:f>
      </x:c>
      <x:c r="D13" s="191" t="str">
        <x:f>IF(LENH_DIEU_DO!D14="","",LENH_DIEU_DO!D14)</x:f>
      </x:c>
      <x:c r="E13" s="191" t="str">
        <x:f>IF(LENH_DIEU_DO!E14="","",LENH_DIEU_DO!E14)</x:f>
      </x:c>
      <x:c r="F13" s="191" t="str">
        <x:f>IF(C13="","",IF(B13&gt;=I12,D12,F12+(D12-F12)*(B13-B12)/MAX(I12-B12,0.000001)))</x:f>
      </x:c>
      <x:c r="G13" s="191" t="str">
        <x:f>IF(C13="","",IF(D13&gt;F13,"RAMP_UP",IF(D13&lt;F13,"RAMP_DOWN","HOLD")))</x:f>
      </x:c>
      <x:c r="H13" s="191" t="str">
        <x:f>IF(C13="","",IF(G13="HOLD",0,ABS(D13-F13)/CAI_DAT!$B$7*60))</x:f>
      </x:c>
      <x:c r="I13" s="191" t="str">
        <x:f>IF(C13="","",B13+H13)</x:f>
      </x:c>
      <x:c r="J13" s="185" t="str">
        <x:f>IF(C13="","",CAI_DAT!$B$4+I13/86400)</x:f>
      </x:c>
      <x:c r="K13" s="142" t="str">
        <x:f>IF(C13="","",D13)</x:f>
      </x:c>
      <x:c r="L13" s="39" t="str">
        <x:f>IF(LENH_DIEU_DO!G14="","",LENH_DIEU_DO!G14)</x:f>
      </x:c>
    </x:row>
    <x:row r="14">
      <x:c r="A14" s="38" t="n">
        <x:f>ROW()-1</x:f>
        <x:v>13</x:v>
      </x:c>
      <x:c r="B14" s="167" t="str">
        <x:f>IF(LENH_DIEU_DO!C15="","",MOD(LENH_DIEU_DO!C15,1)*86400)</x:f>
      </x:c>
      <x:c r="C14" s="185" t="str">
        <x:f>IF(LENH_DIEU_DO!C15="","",LENH_DIEU_DO!C15)</x:f>
      </x:c>
      <x:c r="D14" s="191" t="str">
        <x:f>IF(LENH_DIEU_DO!D15="","",LENH_DIEU_DO!D15)</x:f>
      </x:c>
      <x:c r="E14" s="191" t="str">
        <x:f>IF(LENH_DIEU_DO!E15="","",LENH_DIEU_DO!E15)</x:f>
      </x:c>
      <x:c r="F14" s="191" t="str">
        <x:f>IF(C14="","",IF(B14&gt;=I13,D13,F13+(D13-F13)*(B14-B13)/MAX(I13-B13,0.000001)))</x:f>
      </x:c>
      <x:c r="G14" s="191" t="str">
        <x:f>IF(C14="","",IF(D14&gt;F14,"RAMP_UP",IF(D14&lt;F14,"RAMP_DOWN","HOLD")))</x:f>
      </x:c>
      <x:c r="H14" s="191" t="str">
        <x:f>IF(C14="","",IF(G14="HOLD",0,ABS(D14-F14)/CAI_DAT!$B$7*60))</x:f>
      </x:c>
      <x:c r="I14" s="191" t="str">
        <x:f>IF(C14="","",B14+H14)</x:f>
      </x:c>
      <x:c r="J14" s="185" t="str">
        <x:f>IF(C14="","",CAI_DAT!$B$4+I14/86400)</x:f>
      </x:c>
      <x:c r="K14" s="142" t="str">
        <x:f>IF(C14="","",D14)</x:f>
      </x:c>
      <x:c r="L14" s="39" t="str">
        <x:f>IF(LENH_DIEU_DO!G15="","",LENH_DIEU_DO!G15)</x:f>
      </x:c>
    </x:row>
    <x:row r="15">
      <x:c r="A15" s="38" t="n">
        <x:f>ROW()-1</x:f>
        <x:v>14</x:v>
      </x:c>
      <x:c r="B15" s="167" t="str">
        <x:f>IF(LENH_DIEU_DO!C16="","",MOD(LENH_DIEU_DO!C16,1)*86400)</x:f>
      </x:c>
      <x:c r="C15" s="185" t="str">
        <x:f>IF(LENH_DIEU_DO!C16="","",LENH_DIEU_DO!C16)</x:f>
      </x:c>
      <x:c r="D15" s="191" t="str">
        <x:f>IF(LENH_DIEU_DO!D16="","",LENH_DIEU_DO!D16)</x:f>
      </x:c>
      <x:c r="E15" s="191" t="str">
        <x:f>IF(LENH_DIEU_DO!E16="","",LENH_DIEU_DO!E16)</x:f>
      </x:c>
      <x:c r="F15" s="191" t="str">
        <x:f>IF(C15="","",IF(B15&gt;=I14,D14,F14+(D14-F14)*(B15-B14)/MAX(I14-B14,0.000001)))</x:f>
      </x:c>
      <x:c r="G15" s="191" t="str">
        <x:f>IF(C15="","",IF(D15&gt;F15,"RAMP_UP",IF(D15&lt;F15,"RAMP_DOWN","HOLD")))</x:f>
      </x:c>
      <x:c r="H15" s="191" t="str">
        <x:f>IF(C15="","",IF(G15="HOLD",0,ABS(D15-F15)/CAI_DAT!$B$7*60))</x:f>
      </x:c>
      <x:c r="I15" s="191" t="str">
        <x:f>IF(C15="","",B15+H15)</x:f>
      </x:c>
      <x:c r="J15" s="185" t="str">
        <x:f>IF(C15="","",CAI_DAT!$B$4+I15/86400)</x:f>
      </x:c>
      <x:c r="K15" s="142" t="str">
        <x:f>IF(C15="","",D15)</x:f>
      </x:c>
      <x:c r="L15" s="39" t="str">
        <x:f>IF(LENH_DIEU_DO!G16="","",LENH_DIEU_DO!G16)</x:f>
      </x:c>
    </x:row>
    <x:row r="16">
      <x:c r="A16" s="38" t="n">
        <x:f>ROW()-1</x:f>
        <x:v>15</x:v>
      </x:c>
      <x:c r="B16" s="167" t="str">
        <x:f>IF(LENH_DIEU_DO!C17="","",MOD(LENH_DIEU_DO!C17,1)*86400)</x:f>
      </x:c>
      <x:c r="C16" s="185" t="str">
        <x:f>IF(LENH_DIEU_DO!C17="","",LENH_DIEU_DO!C17)</x:f>
      </x:c>
      <x:c r="D16" s="191" t="str">
        <x:f>IF(LENH_DIEU_DO!D17="","",LENH_DIEU_DO!D17)</x:f>
      </x:c>
      <x:c r="E16" s="191" t="str">
        <x:f>IF(LENH_DIEU_DO!E17="","",LENH_DIEU_DO!E17)</x:f>
      </x:c>
      <x:c r="F16" s="191" t="str">
        <x:f>IF(C16="","",IF(B16&gt;=I15,D15,F15+(D15-F15)*(B16-B15)/MAX(I15-B15,0.000001)))</x:f>
      </x:c>
      <x:c r="G16" s="191" t="str">
        <x:f>IF(C16="","",IF(D16&gt;F16,"RAMP_UP",IF(D16&lt;F16,"RAMP_DOWN","HOLD")))</x:f>
      </x:c>
      <x:c r="H16" s="191" t="str">
        <x:f>IF(C16="","",IF(G16="HOLD",0,ABS(D16-F16)/CAI_DAT!$B$7*60))</x:f>
      </x:c>
      <x:c r="I16" s="191" t="str">
        <x:f>IF(C16="","",B16+H16)</x:f>
      </x:c>
      <x:c r="J16" s="185" t="str">
        <x:f>IF(C16="","",CAI_DAT!$B$4+I16/86400)</x:f>
      </x:c>
      <x:c r="K16" s="142" t="str">
        <x:f>IF(C16="","",D16)</x:f>
      </x:c>
      <x:c r="L16" s="39" t="str">
        <x:f>IF(LENH_DIEU_DO!G17="","",LENH_DIEU_DO!G17)</x:f>
      </x:c>
    </x:row>
    <x:row r="17">
      <x:c r="A17" s="38" t="n">
        <x:f>ROW()-1</x:f>
        <x:v>16</x:v>
      </x:c>
      <x:c r="B17" s="167" t="str">
        <x:f>IF(LENH_DIEU_DO!C18="","",MOD(LENH_DIEU_DO!C18,1)*86400)</x:f>
      </x:c>
      <x:c r="C17" s="185" t="str">
        <x:f>IF(LENH_DIEU_DO!C18="","",LENH_DIEU_DO!C18)</x:f>
      </x:c>
      <x:c r="D17" s="191" t="str">
        <x:f>IF(LENH_DIEU_DO!D18="","",LENH_DIEU_DO!D18)</x:f>
      </x:c>
      <x:c r="E17" s="191" t="str">
        <x:f>IF(LENH_DIEU_DO!E18="","",LENH_DIEU_DO!E18)</x:f>
      </x:c>
      <x:c r="F17" s="191" t="str">
        <x:f>IF(C17="","",IF(B17&gt;=I16,D16,F16+(D16-F16)*(B17-B16)/MAX(I16-B16,0.000001)))</x:f>
      </x:c>
      <x:c r="G17" s="191" t="str">
        <x:f>IF(C17="","",IF(D17&gt;F17,"RAMP_UP",IF(D17&lt;F17,"RAMP_DOWN","HOLD")))</x:f>
      </x:c>
      <x:c r="H17" s="191" t="str">
        <x:f>IF(C17="","",IF(G17="HOLD",0,ABS(D17-F17)/CAI_DAT!$B$7*60))</x:f>
      </x:c>
      <x:c r="I17" s="191" t="str">
        <x:f>IF(C17="","",B17+H17)</x:f>
      </x:c>
      <x:c r="J17" s="185" t="str">
        <x:f>IF(C17="","",CAI_DAT!$B$4+I17/86400)</x:f>
      </x:c>
      <x:c r="K17" s="142" t="str">
        <x:f>IF(C17="","",D17)</x:f>
      </x:c>
      <x:c r="L17" s="39" t="str">
        <x:f>IF(LENH_DIEU_DO!G18="","",LENH_DIEU_DO!G18)</x:f>
      </x:c>
    </x:row>
    <x:row r="18">
      <x:c r="A18" s="38" t="n">
        <x:f>ROW()-1</x:f>
        <x:v>17</x:v>
      </x:c>
      <x:c r="B18" s="167" t="str">
        <x:f>IF(LENH_DIEU_DO!C19="","",MOD(LENH_DIEU_DO!C19,1)*86400)</x:f>
      </x:c>
      <x:c r="C18" s="185" t="str">
        <x:f>IF(LENH_DIEU_DO!C19="","",LENH_DIEU_DO!C19)</x:f>
      </x:c>
      <x:c r="D18" s="191" t="str">
        <x:f>IF(LENH_DIEU_DO!D19="","",LENH_DIEU_DO!D19)</x:f>
      </x:c>
      <x:c r="E18" s="191" t="str">
        <x:f>IF(LENH_DIEU_DO!E19="","",LENH_DIEU_DO!E19)</x:f>
      </x:c>
      <x:c r="F18" s="191" t="str">
        <x:f>IF(C18="","",IF(B18&gt;=I17,D17,F17+(D17-F17)*(B18-B17)/MAX(I17-B17,0.000001)))</x:f>
      </x:c>
      <x:c r="G18" s="191" t="str">
        <x:f>IF(C18="","",IF(D18&gt;F18,"RAMP_UP",IF(D18&lt;F18,"RAMP_DOWN","HOLD")))</x:f>
      </x:c>
      <x:c r="H18" s="191" t="str">
        <x:f>IF(C18="","",IF(G18="HOLD",0,ABS(D18-F18)/CAI_DAT!$B$7*60))</x:f>
      </x:c>
      <x:c r="I18" s="191" t="str">
        <x:f>IF(C18="","",B18+H18)</x:f>
      </x:c>
      <x:c r="J18" s="185" t="str">
        <x:f>IF(C18="","",CAI_DAT!$B$4+I18/86400)</x:f>
      </x:c>
      <x:c r="K18" s="142" t="str">
        <x:f>IF(C18="","",D18)</x:f>
      </x:c>
      <x:c r="L18" s="39" t="str">
        <x:f>IF(LENH_DIEU_DO!G19="","",LENH_DIEU_DO!G19)</x:f>
      </x:c>
    </x:row>
    <x:row r="19">
      <x:c r="A19" s="38" t="n">
        <x:f>ROW()-1</x:f>
        <x:v>18</x:v>
      </x:c>
      <x:c r="B19" s="167" t="str">
        <x:f>IF(LENH_DIEU_DO!C20="","",MOD(LENH_DIEU_DO!C20,1)*86400)</x:f>
      </x:c>
      <x:c r="C19" s="185" t="str">
        <x:f>IF(LENH_DIEU_DO!C20="","",LENH_DIEU_DO!C20)</x:f>
      </x:c>
      <x:c r="D19" s="191" t="str">
        <x:f>IF(LENH_DIEU_DO!D20="","",LENH_DIEU_DO!D20)</x:f>
      </x:c>
      <x:c r="E19" s="191" t="str">
        <x:f>IF(LENH_DIEU_DO!E20="","",LENH_DIEU_DO!E20)</x:f>
      </x:c>
      <x:c r="F19" s="191" t="str">
        <x:f>IF(C19="","",IF(B19&gt;=I18,D18,F18+(D18-F18)*(B19-B18)/MAX(I18-B18,0.000001)))</x:f>
      </x:c>
      <x:c r="G19" s="191" t="str">
        <x:f>IF(C19="","",IF(D19&gt;F19,"RAMP_UP",IF(D19&lt;F19,"RAMP_DOWN","HOLD")))</x:f>
      </x:c>
      <x:c r="H19" s="191" t="str">
        <x:f>IF(C19="","",IF(G19="HOLD",0,ABS(D19-F19)/CAI_DAT!$B$7*60))</x:f>
      </x:c>
      <x:c r="I19" s="191" t="str">
        <x:f>IF(C19="","",B19+H19)</x:f>
      </x:c>
      <x:c r="J19" s="185" t="str">
        <x:f>IF(C19="","",CAI_DAT!$B$4+I19/86400)</x:f>
      </x:c>
      <x:c r="K19" s="142" t="str">
        <x:f>IF(C19="","",D19)</x:f>
      </x:c>
      <x:c r="L19" s="39" t="str">
        <x:f>IF(LENH_DIEU_DO!G20="","",LENH_DIEU_DO!G20)</x:f>
      </x:c>
    </x:row>
    <x:row r="20">
      <x:c r="A20" s="38" t="n">
        <x:f>ROW()-1</x:f>
        <x:v>19</x:v>
      </x:c>
      <x:c r="B20" s="167" t="str">
        <x:f>IF(LENH_DIEU_DO!C21="","",MOD(LENH_DIEU_DO!C21,1)*86400)</x:f>
      </x:c>
      <x:c r="C20" s="185" t="str">
        <x:f>IF(LENH_DIEU_DO!C21="","",LENH_DIEU_DO!C21)</x:f>
      </x:c>
      <x:c r="D20" s="191" t="str">
        <x:f>IF(LENH_DIEU_DO!D21="","",LENH_DIEU_DO!D21)</x:f>
      </x:c>
      <x:c r="E20" s="191" t="str">
        <x:f>IF(LENH_DIEU_DO!E21="","",LENH_DIEU_DO!E21)</x:f>
      </x:c>
      <x:c r="F20" s="191" t="str">
        <x:f>IF(C20="","",IF(B20&gt;=I19,D19,F19+(D19-F19)*(B20-B19)/MAX(I19-B19,0.000001)))</x:f>
      </x:c>
      <x:c r="G20" s="191" t="str">
        <x:f>IF(C20="","",IF(D20&gt;F20,"RAMP_UP",IF(D20&lt;F20,"RAMP_DOWN","HOLD")))</x:f>
      </x:c>
      <x:c r="H20" s="191" t="str">
        <x:f>IF(C20="","",IF(G20="HOLD",0,ABS(D20-F20)/CAI_DAT!$B$7*60))</x:f>
      </x:c>
      <x:c r="I20" s="191" t="str">
        <x:f>IF(C20="","",B20+H20)</x:f>
      </x:c>
      <x:c r="J20" s="185" t="str">
        <x:f>IF(C20="","",CAI_DAT!$B$4+I20/86400)</x:f>
      </x:c>
      <x:c r="K20" s="142" t="str">
        <x:f>IF(C20="","",D20)</x:f>
      </x:c>
      <x:c r="L20" s="39" t="str">
        <x:f>IF(LENH_DIEU_DO!G21="","",LENH_DIEU_DO!G21)</x:f>
      </x:c>
    </x:row>
    <x:row r="21">
      <x:c r="A21" s="38" t="n">
        <x:f>ROW()-1</x:f>
        <x:v>20</x:v>
      </x:c>
      <x:c r="B21" s="167" t="str">
        <x:f>IF(LENH_DIEU_DO!C22="","",MOD(LENH_DIEU_DO!C22,1)*86400)</x:f>
      </x:c>
      <x:c r="C21" s="185" t="str">
        <x:f>IF(LENH_DIEU_DO!C22="","",LENH_DIEU_DO!C22)</x:f>
      </x:c>
      <x:c r="D21" s="191" t="str">
        <x:f>IF(LENH_DIEU_DO!D22="","",LENH_DIEU_DO!D22)</x:f>
      </x:c>
      <x:c r="E21" s="191" t="str">
        <x:f>IF(LENH_DIEU_DO!E22="","",LENH_DIEU_DO!E22)</x:f>
      </x:c>
      <x:c r="F21" s="191" t="str">
        <x:f>IF(C21="","",IF(B21&gt;=I20,D20,F20+(D20-F20)*(B21-B20)/MAX(I20-B20,0.000001)))</x:f>
      </x:c>
      <x:c r="G21" s="191" t="str">
        <x:f>IF(C21="","",IF(D21&gt;F21,"RAMP_UP",IF(D21&lt;F21,"RAMP_DOWN","HOLD")))</x:f>
      </x:c>
      <x:c r="H21" s="191" t="str">
        <x:f>IF(C21="","",IF(G21="HOLD",0,ABS(D21-F21)/CAI_DAT!$B$7*60))</x:f>
      </x:c>
      <x:c r="I21" s="191" t="str">
        <x:f>IF(C21="","",B21+H21)</x:f>
      </x:c>
      <x:c r="J21" s="185" t="str">
        <x:f>IF(C21="","",CAI_DAT!$B$4+I21/86400)</x:f>
      </x:c>
      <x:c r="K21" s="142" t="str">
        <x:f>IF(C21="","",D21)</x:f>
      </x:c>
      <x:c r="L21" s="39" t="str">
        <x:f>IF(LENH_DIEU_DO!G22="","",LENH_DIEU_DO!G22)</x:f>
      </x:c>
    </x:row>
    <x:row r="22">
      <x:c r="A22" s="38" t="n">
        <x:f>ROW()-1</x:f>
        <x:v>21</x:v>
      </x:c>
      <x:c r="B22" s="167" t="str">
        <x:f>IF(LENH_DIEU_DO!C23="","",MOD(LENH_DIEU_DO!C23,1)*86400)</x:f>
      </x:c>
      <x:c r="C22" s="185" t="str">
        <x:f>IF(LENH_DIEU_DO!C23="","",LENH_DIEU_DO!C23)</x:f>
      </x:c>
      <x:c r="D22" s="191" t="str">
        <x:f>IF(LENH_DIEU_DO!D23="","",LENH_DIEU_DO!D23)</x:f>
      </x:c>
      <x:c r="E22" s="191" t="str">
        <x:f>IF(LENH_DIEU_DO!E23="","",LENH_DIEU_DO!E23)</x:f>
      </x:c>
      <x:c r="F22" s="191" t="str">
        <x:f>IF(C22="","",IF(B22&gt;=I21,D21,F21+(D21-F21)*(B22-B21)/MAX(I21-B21,0.000001)))</x:f>
      </x:c>
      <x:c r="G22" s="191" t="str">
        <x:f>IF(C22="","",IF(D22&gt;F22,"RAMP_UP",IF(D22&lt;F22,"RAMP_DOWN","HOLD")))</x:f>
      </x:c>
      <x:c r="H22" s="191" t="str">
        <x:f>IF(C22="","",IF(G22="HOLD",0,ABS(D22-F22)/CAI_DAT!$B$7*60))</x:f>
      </x:c>
      <x:c r="I22" s="191" t="str">
        <x:f>IF(C22="","",B22+H22)</x:f>
      </x:c>
      <x:c r="J22" s="185" t="str">
        <x:f>IF(C22="","",CAI_DAT!$B$4+I22/86400)</x:f>
      </x:c>
      <x:c r="K22" s="142" t="str">
        <x:f>IF(C22="","",D22)</x:f>
      </x:c>
      <x:c r="L22" s="39" t="str">
        <x:f>IF(LENH_DIEU_DO!G23="","",LENH_DIEU_DO!G23)</x:f>
      </x:c>
    </x:row>
    <x:row r="23">
      <x:c r="A23" s="38" t="n">
        <x:f>ROW()-1</x:f>
        <x:v>22</x:v>
      </x:c>
      <x:c r="B23" s="167" t="str">
        <x:f>IF(LENH_DIEU_DO!C24="","",MOD(LENH_DIEU_DO!C24,1)*86400)</x:f>
      </x:c>
      <x:c r="C23" s="185" t="str">
        <x:f>IF(LENH_DIEU_DO!C24="","",LENH_DIEU_DO!C24)</x:f>
      </x:c>
      <x:c r="D23" s="191" t="str">
        <x:f>IF(LENH_DIEU_DO!D24="","",LENH_DIEU_DO!D24)</x:f>
      </x:c>
      <x:c r="E23" s="191" t="str">
        <x:f>IF(LENH_DIEU_DO!E24="","",LENH_DIEU_DO!E24)</x:f>
      </x:c>
      <x:c r="F23" s="191" t="str">
        <x:f>IF(C23="","",IF(B23&gt;=I22,D22,F22+(D22-F22)*(B23-B22)/MAX(I22-B22,0.000001)))</x:f>
      </x:c>
      <x:c r="G23" s="191" t="str">
        <x:f>IF(C23="","",IF(D23&gt;F23,"RAMP_UP",IF(D23&lt;F23,"RAMP_DOWN","HOLD")))</x:f>
      </x:c>
      <x:c r="H23" s="191" t="str">
        <x:f>IF(C23="","",IF(G23="HOLD",0,ABS(D23-F23)/CAI_DAT!$B$7*60))</x:f>
      </x:c>
      <x:c r="I23" s="191" t="str">
        <x:f>IF(C23="","",B23+H23)</x:f>
      </x:c>
      <x:c r="J23" s="185" t="str">
        <x:f>IF(C23="","",CAI_DAT!$B$4+I23/86400)</x:f>
      </x:c>
      <x:c r="K23" s="142" t="str">
        <x:f>IF(C23="","",D23)</x:f>
      </x:c>
      <x:c r="L23" s="39" t="str">
        <x:f>IF(LENH_DIEU_DO!G24="","",LENH_DIEU_DO!G24)</x:f>
      </x:c>
    </x:row>
    <x:row r="24">
      <x:c r="A24" s="38" t="n">
        <x:f>ROW()-1</x:f>
        <x:v>23</x:v>
      </x:c>
      <x:c r="B24" s="167" t="str">
        <x:f>IF(LENH_DIEU_DO!C25="","",MOD(LENH_DIEU_DO!C25,1)*86400)</x:f>
      </x:c>
      <x:c r="C24" s="185" t="str">
        <x:f>IF(LENH_DIEU_DO!C25="","",LENH_DIEU_DO!C25)</x:f>
      </x:c>
      <x:c r="D24" s="191" t="str">
        <x:f>IF(LENH_DIEU_DO!D25="","",LENH_DIEU_DO!D25)</x:f>
      </x:c>
      <x:c r="E24" s="191" t="str">
        <x:f>IF(LENH_DIEU_DO!E25="","",LENH_DIEU_DO!E25)</x:f>
      </x:c>
      <x:c r="F24" s="191" t="str">
        <x:f>IF(C24="","",IF(B24&gt;=I23,D23,F23+(D23-F23)*(B24-B23)/MAX(I23-B23,0.000001)))</x:f>
      </x:c>
      <x:c r="G24" s="191" t="str">
        <x:f>IF(C24="","",IF(D24&gt;F24,"RAMP_UP",IF(D24&lt;F24,"RAMP_DOWN","HOLD")))</x:f>
      </x:c>
      <x:c r="H24" s="191" t="str">
        <x:f>IF(C24="","",IF(G24="HOLD",0,ABS(D24-F24)/CAI_DAT!$B$7*60))</x:f>
      </x:c>
      <x:c r="I24" s="191" t="str">
        <x:f>IF(C24="","",B24+H24)</x:f>
      </x:c>
      <x:c r="J24" s="185" t="str">
        <x:f>IF(C24="","",CAI_DAT!$B$4+I24/86400)</x:f>
      </x:c>
      <x:c r="K24" s="142" t="str">
        <x:f>IF(C24="","",D24)</x:f>
      </x:c>
      <x:c r="L24" s="39" t="str">
        <x:f>IF(LENH_DIEU_DO!G25="","",LENH_DIEU_DO!G25)</x:f>
      </x:c>
    </x:row>
    <x:row r="25">
      <x:c r="A25" s="38" t="n">
        <x:f>ROW()-1</x:f>
        <x:v>24</x:v>
      </x:c>
      <x:c r="B25" s="167" t="str">
        <x:f>IF(LENH_DIEU_DO!C26="","",MOD(LENH_DIEU_DO!C26,1)*86400)</x:f>
      </x:c>
      <x:c r="C25" s="185" t="str">
        <x:f>IF(LENH_DIEU_DO!C26="","",LENH_DIEU_DO!C26)</x:f>
      </x:c>
      <x:c r="D25" s="191" t="str">
        <x:f>IF(LENH_DIEU_DO!D26="","",LENH_DIEU_DO!D26)</x:f>
      </x:c>
      <x:c r="E25" s="191" t="str">
        <x:f>IF(LENH_DIEU_DO!E26="","",LENH_DIEU_DO!E26)</x:f>
      </x:c>
      <x:c r="F25" s="191" t="str">
        <x:f>IF(C25="","",IF(B25&gt;=I24,D24,F24+(D24-F24)*(B25-B24)/MAX(I24-B24,0.000001)))</x:f>
      </x:c>
      <x:c r="G25" s="191" t="str">
        <x:f>IF(C25="","",IF(D25&gt;F25,"RAMP_UP",IF(D25&lt;F25,"RAMP_DOWN","HOLD")))</x:f>
      </x:c>
      <x:c r="H25" s="191" t="str">
        <x:f>IF(C25="","",IF(G25="HOLD",0,ABS(D25-F25)/CAI_DAT!$B$7*60))</x:f>
      </x:c>
      <x:c r="I25" s="191" t="str">
        <x:f>IF(C25="","",B25+H25)</x:f>
      </x:c>
      <x:c r="J25" s="185" t="str">
        <x:f>IF(C25="","",CAI_DAT!$B$4+I25/86400)</x:f>
      </x:c>
      <x:c r="K25" s="142" t="str">
        <x:f>IF(C25="","",D25)</x:f>
      </x:c>
      <x:c r="L25" s="39" t="str">
        <x:f>IF(LENH_DIEU_DO!G26="","",LENH_DIEU_DO!G26)</x:f>
      </x:c>
    </x:row>
    <x:row r="26">
      <x:c r="A26" s="38" t="n">
        <x:f>ROW()-1</x:f>
        <x:v>25</x:v>
      </x:c>
      <x:c r="B26" s="167" t="str">
        <x:f>IF(LENH_DIEU_DO!C27="","",MOD(LENH_DIEU_DO!C27,1)*86400)</x:f>
      </x:c>
      <x:c r="C26" s="185" t="str">
        <x:f>IF(LENH_DIEU_DO!C27="","",LENH_DIEU_DO!C27)</x:f>
      </x:c>
      <x:c r="D26" s="191" t="str">
        <x:f>IF(LENH_DIEU_DO!D27="","",LENH_DIEU_DO!D27)</x:f>
      </x:c>
      <x:c r="E26" s="191" t="str">
        <x:f>IF(LENH_DIEU_DO!E27="","",LENH_DIEU_DO!E27)</x:f>
      </x:c>
      <x:c r="F26" s="191" t="str">
        <x:f>IF(C26="","",IF(B26&gt;=I25,D25,F25+(D25-F25)*(B26-B25)/MAX(I25-B25,0.000001)))</x:f>
      </x:c>
      <x:c r="G26" s="191" t="str">
        <x:f>IF(C26="","",IF(D26&gt;F26,"RAMP_UP",IF(D26&lt;F26,"RAMP_DOWN","HOLD")))</x:f>
      </x:c>
      <x:c r="H26" s="191" t="str">
        <x:f>IF(C26="","",IF(G26="HOLD",0,ABS(D26-F26)/CAI_DAT!$B$7*60))</x:f>
      </x:c>
      <x:c r="I26" s="191" t="str">
        <x:f>IF(C26="","",B26+H26)</x:f>
      </x:c>
      <x:c r="J26" s="185" t="str">
        <x:f>IF(C26="","",CAI_DAT!$B$4+I26/86400)</x:f>
      </x:c>
      <x:c r="K26" s="142" t="str">
        <x:f>IF(C26="","",D26)</x:f>
      </x:c>
      <x:c r="L26" s="39" t="str">
        <x:f>IF(LENH_DIEU_DO!G27="","",LENH_DIEU_DO!G27)</x:f>
      </x:c>
    </x:row>
    <x:row r="27">
      <x:c r="A27" s="38" t="n">
        <x:f>ROW()-1</x:f>
        <x:v>26</x:v>
      </x:c>
      <x:c r="B27" s="167" t="str">
        <x:f>IF(LENH_DIEU_DO!C28="","",MOD(LENH_DIEU_DO!C28,1)*86400)</x:f>
      </x:c>
      <x:c r="C27" s="185" t="str">
        <x:f>IF(LENH_DIEU_DO!C28="","",LENH_DIEU_DO!C28)</x:f>
      </x:c>
      <x:c r="D27" s="191" t="str">
        <x:f>IF(LENH_DIEU_DO!D28="","",LENH_DIEU_DO!D28)</x:f>
      </x:c>
      <x:c r="E27" s="191" t="str">
        <x:f>IF(LENH_DIEU_DO!E28="","",LENH_DIEU_DO!E28)</x:f>
      </x:c>
      <x:c r="F27" s="191" t="str">
        <x:f>IF(C27="","",IF(B27&gt;=I26,D26,F26+(D26-F26)*(B27-B26)/MAX(I26-B26,0.000001)))</x:f>
      </x:c>
      <x:c r="G27" s="191" t="str">
        <x:f>IF(C27="","",IF(D27&gt;F27,"RAMP_UP",IF(D27&lt;F27,"RAMP_DOWN","HOLD")))</x:f>
      </x:c>
      <x:c r="H27" s="191" t="str">
        <x:f>IF(C27="","",IF(G27="HOLD",0,ABS(D27-F27)/CAI_DAT!$B$7*60))</x:f>
      </x:c>
      <x:c r="I27" s="191" t="str">
        <x:f>IF(C27="","",B27+H27)</x:f>
      </x:c>
      <x:c r="J27" s="185" t="str">
        <x:f>IF(C27="","",CAI_DAT!$B$4+I27/86400)</x:f>
      </x:c>
      <x:c r="K27" s="142" t="str">
        <x:f>IF(C27="","",D27)</x:f>
      </x:c>
      <x:c r="L27" s="39" t="str">
        <x:f>IF(LENH_DIEU_DO!G28="","",LENH_DIEU_DO!G28)</x:f>
      </x:c>
    </x:row>
    <x:row r="28">
      <x:c r="A28" s="38" t="n">
        <x:f>ROW()-1</x:f>
        <x:v>27</x:v>
      </x:c>
      <x:c r="B28" s="167" t="str">
        <x:f>IF(LENH_DIEU_DO!C29="","",MOD(LENH_DIEU_DO!C29,1)*86400)</x:f>
      </x:c>
      <x:c r="C28" s="185" t="str">
        <x:f>IF(LENH_DIEU_DO!C29="","",LENH_DIEU_DO!C29)</x:f>
      </x:c>
      <x:c r="D28" s="191" t="str">
        <x:f>IF(LENH_DIEU_DO!D29="","",LENH_DIEU_DO!D29)</x:f>
      </x:c>
      <x:c r="E28" s="191" t="str">
        <x:f>IF(LENH_DIEU_DO!E29="","",LENH_DIEU_DO!E29)</x:f>
      </x:c>
      <x:c r="F28" s="191" t="str">
        <x:f>IF(C28="","",IF(B28&gt;=I27,D27,F27+(D27-F27)*(B28-B27)/MAX(I27-B27,0.000001)))</x:f>
      </x:c>
      <x:c r="G28" s="191" t="str">
        <x:f>IF(C28="","",IF(D28&gt;F28,"RAMP_UP",IF(D28&lt;F28,"RAMP_DOWN","HOLD")))</x:f>
      </x:c>
      <x:c r="H28" s="191" t="str">
        <x:f>IF(C28="","",IF(G28="HOLD",0,ABS(D28-F28)/CAI_DAT!$B$7*60))</x:f>
      </x:c>
      <x:c r="I28" s="191" t="str">
        <x:f>IF(C28="","",B28+H28)</x:f>
      </x:c>
      <x:c r="J28" s="185" t="str">
        <x:f>IF(C28="","",CAI_DAT!$B$4+I28/86400)</x:f>
      </x:c>
      <x:c r="K28" s="142" t="str">
        <x:f>IF(C28="","",D28)</x:f>
      </x:c>
      <x:c r="L28" s="39" t="str">
        <x:f>IF(LENH_DIEU_DO!G29="","",LENH_DIEU_DO!G29)</x:f>
      </x:c>
    </x:row>
    <x:row r="29">
      <x:c r="A29" s="38" t="n">
        <x:f>ROW()-1</x:f>
        <x:v>28</x:v>
      </x:c>
      <x:c r="B29" s="167" t="str">
        <x:f>IF(LENH_DIEU_DO!C30="","",MOD(LENH_DIEU_DO!C30,1)*86400)</x:f>
      </x:c>
      <x:c r="C29" s="185" t="str">
        <x:f>IF(LENH_DIEU_DO!C30="","",LENH_DIEU_DO!C30)</x:f>
      </x:c>
      <x:c r="D29" s="191" t="str">
        <x:f>IF(LENH_DIEU_DO!D30="","",LENH_DIEU_DO!D30)</x:f>
      </x:c>
      <x:c r="E29" s="191" t="str">
        <x:f>IF(LENH_DIEU_DO!E30="","",LENH_DIEU_DO!E30)</x:f>
      </x:c>
      <x:c r="F29" s="191" t="str">
        <x:f>IF(C29="","",IF(B29&gt;=I28,D28,F28+(D28-F28)*(B29-B28)/MAX(I28-B28,0.000001)))</x:f>
      </x:c>
      <x:c r="G29" s="191" t="str">
        <x:f>IF(C29="","",IF(D29&gt;F29,"RAMP_UP",IF(D29&lt;F29,"RAMP_DOWN","HOLD")))</x:f>
      </x:c>
      <x:c r="H29" s="191" t="str">
        <x:f>IF(C29="","",IF(G29="HOLD",0,ABS(D29-F29)/CAI_DAT!$B$7*60))</x:f>
      </x:c>
      <x:c r="I29" s="191" t="str">
        <x:f>IF(C29="","",B29+H29)</x:f>
      </x:c>
      <x:c r="J29" s="185" t="str">
        <x:f>IF(C29="","",CAI_DAT!$B$4+I29/86400)</x:f>
      </x:c>
      <x:c r="K29" s="142" t="str">
        <x:f>IF(C29="","",D29)</x:f>
      </x:c>
      <x:c r="L29" s="39" t="str">
        <x:f>IF(LENH_DIEU_DO!G30="","",LENH_DIEU_DO!G30)</x:f>
      </x:c>
    </x:row>
    <x:row r="30">
      <x:c r="A30" s="38" t="n">
        <x:f>ROW()-1</x:f>
        <x:v>29</x:v>
      </x:c>
      <x:c r="B30" s="167" t="str">
        <x:f>IF(LENH_DIEU_DO!C31="","",MOD(LENH_DIEU_DO!C31,1)*86400)</x:f>
      </x:c>
      <x:c r="C30" s="185" t="str">
        <x:f>IF(LENH_DIEU_DO!C31="","",LENH_DIEU_DO!C31)</x:f>
      </x:c>
      <x:c r="D30" s="191" t="str">
        <x:f>IF(LENH_DIEU_DO!D31="","",LENH_DIEU_DO!D31)</x:f>
      </x:c>
      <x:c r="E30" s="191" t="str">
        <x:f>IF(LENH_DIEU_DO!E31="","",LENH_DIEU_DO!E31)</x:f>
      </x:c>
      <x:c r="F30" s="191" t="str">
        <x:f>IF(C30="","",IF(B30&gt;=I29,D29,F29+(D29-F29)*(B30-B29)/MAX(I29-B29,0.000001)))</x:f>
      </x:c>
      <x:c r="G30" s="191" t="str">
        <x:f>IF(C30="","",IF(D30&gt;F30,"RAMP_UP",IF(D30&lt;F30,"RAMP_DOWN","HOLD")))</x:f>
      </x:c>
      <x:c r="H30" s="191" t="str">
        <x:f>IF(C30="","",IF(G30="HOLD",0,ABS(D30-F30)/CAI_DAT!$B$7*60))</x:f>
      </x:c>
      <x:c r="I30" s="191" t="str">
        <x:f>IF(C30="","",B30+H30)</x:f>
      </x:c>
      <x:c r="J30" s="185" t="str">
        <x:f>IF(C30="","",CAI_DAT!$B$4+I30/86400)</x:f>
      </x:c>
      <x:c r="K30" s="142" t="str">
        <x:f>IF(C30="","",D30)</x:f>
      </x:c>
      <x:c r="L30" s="39" t="str">
        <x:f>IF(LENH_DIEU_DO!G31="","",LENH_DIEU_DO!G31)</x:f>
      </x:c>
    </x:row>
    <x:row r="31">
      <x:c r="A31" s="38" t="n">
        <x:f>ROW()-1</x:f>
        <x:v>30</x:v>
      </x:c>
      <x:c r="B31" s="167" t="str">
        <x:f>IF(LENH_DIEU_DO!C32="","",MOD(LENH_DIEU_DO!C32,1)*86400)</x:f>
      </x:c>
      <x:c r="C31" s="185" t="str">
        <x:f>IF(LENH_DIEU_DO!C32="","",LENH_DIEU_DO!C32)</x:f>
      </x:c>
      <x:c r="D31" s="191" t="str">
        <x:f>IF(LENH_DIEU_DO!D32="","",LENH_DIEU_DO!D32)</x:f>
      </x:c>
      <x:c r="E31" s="191" t="str">
        <x:f>IF(LENH_DIEU_DO!E32="","",LENH_DIEU_DO!E32)</x:f>
      </x:c>
      <x:c r="F31" s="191" t="str">
        <x:f>IF(C31="","",IF(B31&gt;=I30,D30,F30+(D30-F30)*(B31-B30)/MAX(I30-B30,0.000001)))</x:f>
      </x:c>
      <x:c r="G31" s="191" t="str">
        <x:f>IF(C31="","",IF(D31&gt;F31,"RAMP_UP",IF(D31&lt;F31,"RAMP_DOWN","HOLD")))</x:f>
      </x:c>
      <x:c r="H31" s="191" t="str">
        <x:f>IF(C31="","",IF(G31="HOLD",0,ABS(D31-F31)/CAI_DAT!$B$7*60))</x:f>
      </x:c>
      <x:c r="I31" s="191" t="str">
        <x:f>IF(C31="","",B31+H31)</x:f>
      </x:c>
      <x:c r="J31" s="185" t="str">
        <x:f>IF(C31="","",CAI_DAT!$B$4+I31/86400)</x:f>
      </x:c>
      <x:c r="K31" s="142" t="str">
        <x:f>IF(C31="","",D31)</x:f>
      </x:c>
      <x:c r="L31" s="39" t="str">
        <x:f>IF(LENH_DIEU_DO!G32="","",LENH_DIEU_DO!G32)</x:f>
      </x:c>
    </x:row>
    <x:row r="32">
      <x:c r="A32" s="40" t="n">
        <x:f>ROW()-1</x:f>
        <x:v>31</x:v>
      </x:c>
      <x:c r="B32" s="168" t="str">
        <x:f>IF(LENH_DIEU_DO!C33="","",MOD(LENH_DIEU_DO!C33,1)*86400)</x:f>
      </x:c>
      <x:c r="C32" s="186" t="str">
        <x:f>IF(LENH_DIEU_DO!C33="","",LENH_DIEU_DO!C33)</x:f>
      </x:c>
      <x:c r="D32" s="192" t="str">
        <x:f>IF(LENH_DIEU_DO!D33="","",LENH_DIEU_DO!D33)</x:f>
      </x:c>
      <x:c r="E32" s="192" t="str">
        <x:f>IF(LENH_DIEU_DO!E33="","",LENH_DIEU_DO!E33)</x:f>
      </x:c>
      <x:c r="F32" s="192" t="str">
        <x:f>IF(C32="","",IF(B32&gt;=I31,D31,F31+(D31-F31)*(B32-B31)/MAX(I31-B31,0.000001)))</x:f>
      </x:c>
      <x:c r="G32" s="192" t="str">
        <x:f>IF(C32="","",IF(D32&gt;F32,"RAMP_UP",IF(D32&lt;F32,"RAMP_DOWN","HOLD")))</x:f>
      </x:c>
      <x:c r="H32" s="192" t="str">
        <x:f>IF(C32="","",IF(G32="HOLD",0,ABS(D32-F32)/CAI_DAT!$B$7*60))</x:f>
      </x:c>
      <x:c r="I32" s="192" t="str">
        <x:f>IF(C32="","",B32+H32)</x:f>
      </x:c>
      <x:c r="J32" s="186" t="str">
        <x:f>IF(C32="","",CAI_DAT!$B$4+I32/86400)</x:f>
      </x:c>
      <x:c r="K32" s="144" t="str">
        <x:f>IF(C32="","",D32)</x:f>
      </x:c>
      <x:c r="L32" s="41" t="str">
        <x:f>IF(LENH_DIEU_DO!G33="","",LENH_DIEU_DO!G33)</x:f>
      </x:c>
    </x:row>
    <x:row r="33">
      <x:c r="A33" t="n">
        <x:f>ROW()-1</x:f>
        <x:v>32</x:v>
      </x:c>
      <x:c r="B33" t="str">
        <x:f>IF(LENH_DIEU_DO!C34="","",MOD(LENH_DIEU_DO!C34,1)*86400)</x:f>
      </x:c>
      <x:c r="C33" t="str">
        <x:f>IF(LENH_DIEU_DO!C34="","",LENH_DIEU_DO!C34)</x:f>
      </x:c>
      <x:c r="D33" t="str">
        <x:f>IF(LENH_DIEU_DO!D34="","",LENH_DIEU_DO!D34)</x:f>
      </x:c>
      <x:c r="E33" t="str">
        <x:f>IF(LENH_DIEU_DO!E34="","",LENH_DIEU_DO!E34)</x:f>
      </x:c>
      <x:c r="F33" t="str">
        <x:f>IF(C33="","",IF(B33&gt;=I32,D32,F32+(D32-F32)*(B33-B32)/MAX(I32-B32,0.000001)))</x:f>
      </x:c>
      <x:c r="G33" t="str">
        <x:f>IF(C33="","",IF(D33&gt;F33,"RAMP_UP",IF(D33&lt;F33,"RAMP_DOWN","HOLD")))</x:f>
      </x:c>
      <x:c r="H33" t="str">
        <x:f>IF(C33="","",IF(G33="HOLD",0,ABS(D33-F33)/CAI_DAT!$B$7*60))</x:f>
      </x:c>
      <x:c r="I33" t="str">
        <x:f>IF(C33="","",B33+H33)</x:f>
      </x:c>
      <x:c r="J33" t="str">
        <x:f>IF(C33="","",CAI_DAT!$B$4+I33/86400)</x:f>
      </x:c>
      <x:c r="K33" t="str">
        <x:f>IF(C33="","",D33)</x:f>
      </x:c>
      <x:c r="L33" t="str">
        <x:f>IF(LENH_DIEU_DO!G34="","",LENH_DIEU_DO!G34)</x:f>
      </x:c>
    </x:row>
    <x:row r="34">
      <x:c r="A34" t="n">
        <x:f>ROW()-1</x:f>
        <x:v>33</x:v>
      </x:c>
      <x:c r="B34" t="str">
        <x:f>IF(LENH_DIEU_DO!C35="","",MOD(LENH_DIEU_DO!C35,1)*86400)</x:f>
      </x:c>
      <x:c r="C34" t="str">
        <x:f>IF(LENH_DIEU_DO!C35="","",LENH_DIEU_DO!C35)</x:f>
      </x:c>
      <x:c r="D34" t="str">
        <x:f>IF(LENH_DIEU_DO!D35="","",LENH_DIEU_DO!D35)</x:f>
      </x:c>
      <x:c r="E34" t="str">
        <x:f>IF(LENH_DIEU_DO!E35="","",LENH_DIEU_DO!E35)</x:f>
      </x:c>
      <x:c r="F34" t="str">
        <x:f>IF(C34="","",IF(B34&gt;=I33,D33,F33+(D33-F33)*(B34-B33)/MAX(I33-B33,0.000001)))</x:f>
      </x:c>
      <x:c r="G34" t="str">
        <x:f>IF(C34="","",IF(D34&gt;F34,"RAMP_UP",IF(D34&lt;F34,"RAMP_DOWN","HOLD")))</x:f>
      </x:c>
      <x:c r="H34" t="str">
        <x:f>IF(C34="","",IF(G34="HOLD",0,ABS(D34-F34)/CAI_DAT!$B$7*60))</x:f>
      </x:c>
      <x:c r="I34" t="str">
        <x:f>IF(C34="","",B34+H34)</x:f>
      </x:c>
      <x:c r="J34" t="str">
        <x:f>IF(C34="","",CAI_DAT!$B$4+I34/86400)</x:f>
      </x:c>
      <x:c r="K34" t="str">
        <x:f>IF(C34="","",D34)</x:f>
      </x:c>
      <x:c r="L34" t="str">
        <x:f>IF(LENH_DIEU_DO!G35="","",LENH_DIEU_DO!G35)</x:f>
      </x:c>
    </x:row>
    <x:row r="35">
      <x:c r="A35" t="n">
        <x:f>ROW()-1</x:f>
        <x:v>34</x:v>
      </x:c>
      <x:c r="B35" t="str">
        <x:f>IF(LENH_DIEU_DO!C36="","",MOD(LENH_DIEU_DO!C36,1)*86400)</x:f>
      </x:c>
      <x:c r="C35" t="str">
        <x:f>IF(LENH_DIEU_DO!C36="","",LENH_DIEU_DO!C36)</x:f>
      </x:c>
      <x:c r="D35" t="str">
        <x:f>IF(LENH_DIEU_DO!D36="","",LENH_DIEU_DO!D36)</x:f>
      </x:c>
      <x:c r="E35" t="str">
        <x:f>IF(LENH_DIEU_DO!E36="","",LENH_DIEU_DO!E36)</x:f>
      </x:c>
      <x:c r="F35" t="str">
        <x:f>IF(C35="","",IF(B35&gt;=I34,D34,F34+(D34-F34)*(B35-B34)/MAX(I34-B34,0.000001)))</x:f>
      </x:c>
      <x:c r="G35" t="str">
        <x:f>IF(C35="","",IF(D35&gt;F35,"RAMP_UP",IF(D35&lt;F35,"RAMP_DOWN","HOLD")))</x:f>
      </x:c>
      <x:c r="H35" t="str">
        <x:f>IF(C35="","",IF(G35="HOLD",0,ABS(D35-F35)/CAI_DAT!$B$7*60))</x:f>
      </x:c>
      <x:c r="I35" t="str">
        <x:f>IF(C35="","",B35+H35)</x:f>
      </x:c>
      <x:c r="J35" t="str">
        <x:f>IF(C35="","",CAI_DAT!$B$4+I35/86400)</x:f>
      </x:c>
      <x:c r="K35" t="str">
        <x:f>IF(C35="","",D35)</x:f>
      </x:c>
      <x:c r="L35" t="str">
        <x:f>IF(LENH_DIEU_DO!G36="","",LENH_DIEU_DO!G36)</x:f>
      </x:c>
    </x:row>
    <x:row r="36">
      <x:c r="A36" t="n">
        <x:f>ROW()-1</x:f>
        <x:v>35</x:v>
      </x:c>
      <x:c r="B36" t="str">
        <x:f>IF(LENH_DIEU_DO!C37="","",MOD(LENH_DIEU_DO!C37,1)*86400)</x:f>
      </x:c>
      <x:c r="C36" t="str">
        <x:f>IF(LENH_DIEU_DO!C37="","",LENH_DIEU_DO!C37)</x:f>
      </x:c>
      <x:c r="D36" t="str">
        <x:f>IF(LENH_DIEU_DO!D37="","",LENH_DIEU_DO!D37)</x:f>
      </x:c>
      <x:c r="E36" t="str">
        <x:f>IF(LENH_DIEU_DO!E37="","",LENH_DIEU_DO!E37)</x:f>
      </x:c>
      <x:c r="F36" t="str">
        <x:f>IF(C36="","",IF(B36&gt;=I35,D35,F35+(D35-F35)*(B36-B35)/MAX(I35-B35,0.000001)))</x:f>
      </x:c>
      <x:c r="G36" t="str">
        <x:f>IF(C36="","",IF(D36&gt;F36,"RAMP_UP",IF(D36&lt;F36,"RAMP_DOWN","HOLD")))</x:f>
      </x:c>
      <x:c r="H36" t="str">
        <x:f>IF(C36="","",IF(G36="HOLD",0,ABS(D36-F36)/CAI_DAT!$B$7*60))</x:f>
      </x:c>
      <x:c r="I36" t="str">
        <x:f>IF(C36="","",B36+H36)</x:f>
      </x:c>
      <x:c r="J36" t="str">
        <x:f>IF(C36="","",CAI_DAT!$B$4+I36/86400)</x:f>
      </x:c>
      <x:c r="K36" t="str">
        <x:f>IF(C36="","",D36)</x:f>
      </x:c>
      <x:c r="L36" t="str">
        <x:f>IF(LENH_DIEU_DO!G37="","",LENH_DIEU_DO!G37)</x:f>
      </x:c>
    </x:row>
    <x:row r="37">
      <x:c r="A37" t="n">
        <x:f>ROW()-1</x:f>
        <x:v>36</x:v>
      </x:c>
      <x:c r="B37" t="str">
        <x:f>IF(LENH_DIEU_DO!C38="","",MOD(LENH_DIEU_DO!C38,1)*86400)</x:f>
      </x:c>
      <x:c r="C37" t="str">
        <x:f>IF(LENH_DIEU_DO!C38="","",LENH_DIEU_DO!C38)</x:f>
      </x:c>
      <x:c r="D37" t="str">
        <x:f>IF(LENH_DIEU_DO!D38="","",LENH_DIEU_DO!D38)</x:f>
      </x:c>
      <x:c r="E37" t="str">
        <x:f>IF(LENH_DIEU_DO!E38="","",LENH_DIEU_DO!E38)</x:f>
      </x:c>
      <x:c r="F37" t="str">
        <x:f>IF(C37="","",IF(B37&gt;=I36,D36,F36+(D36-F36)*(B37-B36)/MAX(I36-B36,0.000001)))</x:f>
      </x:c>
      <x:c r="G37" t="str">
        <x:f>IF(C37="","",IF(D37&gt;F37,"RAMP_UP",IF(D37&lt;F37,"RAMP_DOWN","HOLD")))</x:f>
      </x:c>
      <x:c r="H37" t="str">
        <x:f>IF(C37="","",IF(G37="HOLD",0,ABS(D37-F37)/CAI_DAT!$B$7*60))</x:f>
      </x:c>
      <x:c r="I37" t="str">
        <x:f>IF(C37="","",B37+H37)</x:f>
      </x:c>
      <x:c r="J37" t="str">
        <x:f>IF(C37="","",CAI_DAT!$B$4+I37/86400)</x:f>
      </x:c>
      <x:c r="K37" t="str">
        <x:f>IF(C37="","",D37)</x:f>
      </x:c>
      <x:c r="L37" t="str">
        <x:f>IF(LENH_DIEU_DO!G38="","",LENH_DIEU_DO!G38)</x:f>
      </x:c>
    </x:row>
    <x:row r="38">
      <x:c r="A38" t="n">
        <x:f>ROW()-1</x:f>
        <x:v>37</x:v>
      </x:c>
      <x:c r="B38" t="str">
        <x:f>IF(LENH_DIEU_DO!C39="","",MOD(LENH_DIEU_DO!C39,1)*86400)</x:f>
      </x:c>
      <x:c r="C38" t="str">
        <x:f>IF(LENH_DIEU_DO!C39="","",LENH_DIEU_DO!C39)</x:f>
      </x:c>
      <x:c r="D38" t="str">
        <x:f>IF(LENH_DIEU_DO!D39="","",LENH_DIEU_DO!D39)</x:f>
      </x:c>
      <x:c r="E38" t="str">
        <x:f>IF(LENH_DIEU_DO!E39="","",LENH_DIEU_DO!E39)</x:f>
      </x:c>
      <x:c r="F38" t="str">
        <x:f>IF(C38="","",IF(B38&gt;=I37,D37,F37+(D37-F37)*(B38-B37)/MAX(I37-B37,0.000001)))</x:f>
      </x:c>
      <x:c r="G38" t="str">
        <x:f>IF(C38="","",IF(D38&gt;F38,"RAMP_UP",IF(D38&lt;F38,"RAMP_DOWN","HOLD")))</x:f>
      </x:c>
      <x:c r="H38" t="str">
        <x:f>IF(C38="","",IF(G38="HOLD",0,ABS(D38-F38)/CAI_DAT!$B$7*60))</x:f>
      </x:c>
      <x:c r="I38" t="str">
        <x:f>IF(C38="","",B38+H38)</x:f>
      </x:c>
      <x:c r="J38" t="str">
        <x:f>IF(C38="","",CAI_DAT!$B$4+I38/86400)</x:f>
      </x:c>
      <x:c r="K38" t="str">
        <x:f>IF(C38="","",D38)</x:f>
      </x:c>
      <x:c r="L38" t="str">
        <x:f>IF(LENH_DIEU_DO!G39="","",LENH_DIEU_DO!G39)</x:f>
      </x:c>
    </x:row>
    <x:row r="39">
      <x:c r="A39" t="n">
        <x:f>ROW()-1</x:f>
        <x:v>38</x:v>
      </x:c>
      <x:c r="B39" t="str">
        <x:f>IF(LENH_DIEU_DO!C40="","",MOD(LENH_DIEU_DO!C40,1)*86400)</x:f>
      </x:c>
      <x:c r="C39" t="str">
        <x:f>IF(LENH_DIEU_DO!C40="","",LENH_DIEU_DO!C40)</x:f>
      </x:c>
      <x:c r="D39" t="str">
        <x:f>IF(LENH_DIEU_DO!D40="","",LENH_DIEU_DO!D40)</x:f>
      </x:c>
      <x:c r="E39" t="str">
        <x:f>IF(LENH_DIEU_DO!E40="","",LENH_DIEU_DO!E40)</x:f>
      </x:c>
      <x:c r="F39" t="str">
        <x:f>IF(C39="","",IF(B39&gt;=I38,D38,F38+(D38-F38)*(B39-B38)/MAX(I38-B38,0.000001)))</x:f>
      </x:c>
      <x:c r="G39" t="str">
        <x:f>IF(C39="","",IF(D39&gt;F39,"RAMP_UP",IF(D39&lt;F39,"RAMP_DOWN","HOLD")))</x:f>
      </x:c>
      <x:c r="H39" t="str">
        <x:f>IF(C39="","",IF(G39="HOLD",0,ABS(D39-F39)/CAI_DAT!$B$7*60))</x:f>
      </x:c>
      <x:c r="I39" t="str">
        <x:f>IF(C39="","",B39+H39)</x:f>
      </x:c>
      <x:c r="J39" t="str">
        <x:f>IF(C39="","",CAI_DAT!$B$4+I39/86400)</x:f>
      </x:c>
      <x:c r="K39" t="str">
        <x:f>IF(C39="","",D39)</x:f>
      </x:c>
      <x:c r="L39" t="str">
        <x:f>IF(LENH_DIEU_DO!G40="","",LENH_DIEU_DO!G40)</x:f>
      </x:c>
    </x:row>
    <x:row r="40">
      <x:c r="A40" t="n">
        <x:f>ROW()-1</x:f>
        <x:v>39</x:v>
      </x:c>
      <x:c r="B40" t="str">
        <x:f>IF(LENH_DIEU_DO!C41="","",MOD(LENH_DIEU_DO!C41,1)*86400)</x:f>
      </x:c>
      <x:c r="C40" t="str">
        <x:f>IF(LENH_DIEU_DO!C41="","",LENH_DIEU_DO!C41)</x:f>
      </x:c>
      <x:c r="D40" t="str">
        <x:f>IF(LENH_DIEU_DO!D41="","",LENH_DIEU_DO!D41)</x:f>
      </x:c>
      <x:c r="E40" t="str">
        <x:f>IF(LENH_DIEU_DO!E41="","",LENH_DIEU_DO!E41)</x:f>
      </x:c>
      <x:c r="F40" t="str">
        <x:f>IF(C40="","",IF(B40&gt;=I39,D39,F39+(D39-F39)*(B40-B39)/MAX(I39-B39,0.000001)))</x:f>
      </x:c>
      <x:c r="G40" t="str">
        <x:f>IF(C40="","",IF(D40&gt;F40,"RAMP_UP",IF(D40&lt;F40,"RAMP_DOWN","HOLD")))</x:f>
      </x:c>
      <x:c r="H40" t="str">
        <x:f>IF(C40="","",IF(G40="HOLD",0,ABS(D40-F40)/CAI_DAT!$B$7*60))</x:f>
      </x:c>
      <x:c r="I40" t="str">
        <x:f>IF(C40="","",B40+H40)</x:f>
      </x:c>
      <x:c r="J40" t="str">
        <x:f>IF(C40="","",CAI_DAT!$B$4+I40/86400)</x:f>
      </x:c>
      <x:c r="K40" t="str">
        <x:f>IF(C40="","",D40)</x:f>
      </x:c>
      <x:c r="L40" t="str">
        <x:f>IF(LENH_DIEU_DO!G41="","",LENH_DIEU_DO!G41)</x:f>
      </x:c>
    </x:row>
    <x:row r="41">
      <x:c r="A41" t="n">
        <x:f>ROW()-1</x:f>
        <x:v>40</x:v>
      </x:c>
      <x:c r="B41" t="str">
        <x:f>IF(LENH_DIEU_DO!C42="","",MOD(LENH_DIEU_DO!C42,1)*86400)</x:f>
      </x:c>
      <x:c r="C41" t="str">
        <x:f>IF(LENH_DIEU_DO!C42="","",LENH_DIEU_DO!C42)</x:f>
      </x:c>
      <x:c r="D41" t="str">
        <x:f>IF(LENH_DIEU_DO!D42="","",LENH_DIEU_DO!D42)</x:f>
      </x:c>
      <x:c r="E41" t="str">
        <x:f>IF(LENH_DIEU_DO!E42="","",LENH_DIEU_DO!E42)</x:f>
      </x:c>
      <x:c r="F41" t="str">
        <x:f>IF(C41="","",IF(B41&gt;=I40,D40,F40+(D40-F40)*(B41-B40)/MAX(I40-B40,0.000001)))</x:f>
      </x:c>
      <x:c r="G41" t="str">
        <x:f>IF(C41="","",IF(D41&gt;F41,"RAMP_UP",IF(D41&lt;F41,"RAMP_DOWN","HOLD")))</x:f>
      </x:c>
      <x:c r="H41" t="str">
        <x:f>IF(C41="","",IF(G41="HOLD",0,ABS(D41-F41)/CAI_DAT!$B$7*60))</x:f>
      </x:c>
      <x:c r="I41" t="str">
        <x:f>IF(C41="","",B41+H41)</x:f>
      </x:c>
      <x:c r="J41" t="str">
        <x:f>IF(C41="","",CAI_DAT!$B$4+I41/86400)</x:f>
      </x:c>
      <x:c r="K41" t="str">
        <x:f>IF(C41="","",D41)</x:f>
      </x:c>
      <x:c r="L41" t="str">
        <x:f>IF(LENH_DIEU_DO!G42="","",LENH_DIEU_DO!G42)</x:f>
      </x:c>
    </x:row>
    <x:row r="42">
      <x:c r="A42" t="n">
        <x:f>ROW()-1</x:f>
        <x:v>41</x:v>
      </x:c>
      <x:c r="B42" t="str">
        <x:f>IF(LENH_DIEU_DO!C43="","",MOD(LENH_DIEU_DO!C43,1)*86400)</x:f>
      </x:c>
      <x:c r="C42" t="str">
        <x:f>IF(LENH_DIEU_DO!C43="","",LENH_DIEU_DO!C43)</x:f>
      </x:c>
      <x:c r="D42" t="str">
        <x:f>IF(LENH_DIEU_DO!D43="","",LENH_DIEU_DO!D43)</x:f>
      </x:c>
      <x:c r="E42" t="str">
        <x:f>IF(LENH_DIEU_DO!E43="","",LENH_DIEU_DO!E43)</x:f>
      </x:c>
      <x:c r="F42" t="str">
        <x:f>IF(C42="","",IF(B42&gt;=I41,D41,F41+(D41-F41)*(B42-B41)/MAX(I41-B41,0.000001)))</x:f>
      </x:c>
      <x:c r="G42" t="str">
        <x:f>IF(C42="","",IF(D42&gt;F42,"RAMP_UP",IF(D42&lt;F42,"RAMP_DOWN","HOLD")))</x:f>
      </x:c>
      <x:c r="H42" t="str">
        <x:f>IF(C42="","",IF(G42="HOLD",0,ABS(D42-F42)/CAI_DAT!$B$7*60))</x:f>
      </x:c>
      <x:c r="I42" t="str">
        <x:f>IF(C42="","",B42+H42)</x:f>
      </x:c>
      <x:c r="J42" t="str">
        <x:f>IF(C42="","",CAI_DAT!$B$4+I42/86400)</x:f>
      </x:c>
      <x:c r="K42" t="str">
        <x:f>IF(C42="","",D42)</x:f>
      </x:c>
      <x:c r="L42" t="str">
        <x:f>IF(LENH_DIEU_DO!G43="","",LENH_DIEU_DO!G43)</x:f>
      </x:c>
    </x:row>
    <x:row r="43">
      <x:c r="A43" t="n">
        <x:f>ROW()-1</x:f>
        <x:v>42</x:v>
      </x:c>
      <x:c r="B43" t="str">
        <x:f>IF(LENH_DIEU_DO!C44="","",MOD(LENH_DIEU_DO!C44,1)*86400)</x:f>
      </x:c>
      <x:c r="C43" t="str">
        <x:f>IF(LENH_DIEU_DO!C44="","",LENH_DIEU_DO!C44)</x:f>
      </x:c>
      <x:c r="D43" t="str">
        <x:f>IF(LENH_DIEU_DO!D44="","",LENH_DIEU_DO!D44)</x:f>
      </x:c>
      <x:c r="E43" t="str">
        <x:f>IF(LENH_DIEU_DO!E44="","",LENH_DIEU_DO!E44)</x:f>
      </x:c>
      <x:c r="F43" t="str">
        <x:f>IF(C43="","",IF(B43&gt;=I42,D42,F42+(D42-F42)*(B43-B42)/MAX(I42-B42,0.000001)))</x:f>
      </x:c>
      <x:c r="G43" t="str">
        <x:f>IF(C43="","",IF(D43&gt;F43,"RAMP_UP",IF(D43&lt;F43,"RAMP_DOWN","HOLD")))</x:f>
      </x:c>
      <x:c r="H43" t="str">
        <x:f>IF(C43="","",IF(G43="HOLD",0,ABS(D43-F43)/CAI_DAT!$B$7*60))</x:f>
      </x:c>
      <x:c r="I43" t="str">
        <x:f>IF(C43="","",B43+H43)</x:f>
      </x:c>
      <x:c r="J43" t="str">
        <x:f>IF(C43="","",CAI_DAT!$B$4+I43/86400)</x:f>
      </x:c>
      <x:c r="K43" t="str">
        <x:f>IF(C43="","",D43)</x:f>
      </x:c>
      <x:c r="L43" t="str">
        <x:f>IF(LENH_DIEU_DO!G44="","",LENH_DIEU_DO!G44)</x:f>
      </x:c>
    </x:row>
    <x:row r="44">
      <x:c r="A44" t="n">
        <x:f>ROW()-1</x:f>
        <x:v>43</x:v>
      </x:c>
      <x:c r="B44" t="str">
        <x:f>IF(LENH_DIEU_DO!C45="","",MOD(LENH_DIEU_DO!C45,1)*86400)</x:f>
      </x:c>
      <x:c r="C44" t="str">
        <x:f>IF(LENH_DIEU_DO!C45="","",LENH_DIEU_DO!C45)</x:f>
      </x:c>
      <x:c r="D44" t="str">
        <x:f>IF(LENH_DIEU_DO!D45="","",LENH_DIEU_DO!D45)</x:f>
      </x:c>
      <x:c r="E44" t="str">
        <x:f>IF(LENH_DIEU_DO!E45="","",LENH_DIEU_DO!E45)</x:f>
      </x:c>
      <x:c r="F44" t="str">
        <x:f>IF(C44="","",IF(B44&gt;=I43,D43,F43+(D43-F43)*(B44-B43)/MAX(I43-B43,0.000001)))</x:f>
      </x:c>
      <x:c r="G44" t="str">
        <x:f>IF(C44="","",IF(D44&gt;F44,"RAMP_UP",IF(D44&lt;F44,"RAMP_DOWN","HOLD")))</x:f>
      </x:c>
      <x:c r="H44" t="str">
        <x:f>IF(C44="","",IF(G44="HOLD",0,ABS(D44-F44)/CAI_DAT!$B$7*60))</x:f>
      </x:c>
      <x:c r="I44" t="str">
        <x:f>IF(C44="","",B44+H44)</x:f>
      </x:c>
      <x:c r="J44" t="str">
        <x:f>IF(C44="","",CAI_DAT!$B$4+I44/86400)</x:f>
      </x:c>
      <x:c r="K44" t="str">
        <x:f>IF(C44="","",D44)</x:f>
      </x:c>
      <x:c r="L44" t="str">
        <x:f>IF(LENH_DIEU_DO!G45="","",LENH_DIEU_DO!G45)</x:f>
      </x:c>
    </x:row>
    <x:row r="45">
      <x:c r="A45" t="n">
        <x:f>ROW()-1</x:f>
        <x:v>44</x:v>
      </x:c>
      <x:c r="B45" t="str">
        <x:f>IF(LENH_DIEU_DO!C46="","",MOD(LENH_DIEU_DO!C46,1)*86400)</x:f>
      </x:c>
      <x:c r="C45" t="str">
        <x:f>IF(LENH_DIEU_DO!C46="","",LENH_DIEU_DO!C46)</x:f>
      </x:c>
      <x:c r="D45" t="str">
        <x:f>IF(LENH_DIEU_DO!D46="","",LENH_DIEU_DO!D46)</x:f>
      </x:c>
      <x:c r="E45" t="str">
        <x:f>IF(LENH_DIEU_DO!E46="","",LENH_DIEU_DO!E46)</x:f>
      </x:c>
      <x:c r="F45" t="str">
        <x:f>IF(C45="","",IF(B45&gt;=I44,D44,F44+(D44-F44)*(B45-B44)/MAX(I44-B44,0.000001)))</x:f>
      </x:c>
      <x:c r="G45" t="str">
        <x:f>IF(C45="","",IF(D45&gt;F45,"RAMP_UP",IF(D45&lt;F45,"RAMP_DOWN","HOLD")))</x:f>
      </x:c>
      <x:c r="H45" t="str">
        <x:f>IF(C45="","",IF(G45="HOLD",0,ABS(D45-F45)/CAI_DAT!$B$7*60))</x:f>
      </x:c>
      <x:c r="I45" t="str">
        <x:f>IF(C45="","",B45+H45)</x:f>
      </x:c>
      <x:c r="J45" t="str">
        <x:f>IF(C45="","",CAI_DAT!$B$4+I45/86400)</x:f>
      </x:c>
      <x:c r="K45" t="str">
        <x:f>IF(C45="","",D45)</x:f>
      </x:c>
      <x:c r="L45" t="str">
        <x:f>IF(LENH_DIEU_DO!G46="","",LENH_DIEU_DO!G46)</x:f>
      </x:c>
    </x:row>
    <x:row r="46">
      <x:c r="A46" t="n">
        <x:f>ROW()-1</x:f>
        <x:v>45</x:v>
      </x:c>
      <x:c r="B46" t="str">
        <x:f>IF(LENH_DIEU_DO!C47="","",MOD(LENH_DIEU_DO!C47,1)*86400)</x:f>
      </x:c>
      <x:c r="C46" t="str">
        <x:f>IF(LENH_DIEU_DO!C47="","",LENH_DIEU_DO!C47)</x:f>
      </x:c>
      <x:c r="D46" t="str">
        <x:f>IF(LENH_DIEU_DO!D47="","",LENH_DIEU_DO!D47)</x:f>
      </x:c>
      <x:c r="E46" t="str">
        <x:f>IF(LENH_DIEU_DO!E47="","",LENH_DIEU_DO!E47)</x:f>
      </x:c>
      <x:c r="F46" t="str">
        <x:f>IF(C46="","",IF(B46&gt;=I45,D45,F45+(D45-F45)*(B46-B45)/MAX(I45-B45,0.000001)))</x:f>
      </x:c>
      <x:c r="G46" t="str">
        <x:f>IF(C46="","",IF(D46&gt;F46,"RAMP_UP",IF(D46&lt;F46,"RAMP_DOWN","HOLD")))</x:f>
      </x:c>
      <x:c r="H46" t="str">
        <x:f>IF(C46="","",IF(G46="HOLD",0,ABS(D46-F46)/CAI_DAT!$B$7*60))</x:f>
      </x:c>
      <x:c r="I46" t="str">
        <x:f>IF(C46="","",B46+H46)</x:f>
      </x:c>
      <x:c r="J46" t="str">
        <x:f>IF(C46="","",CAI_DAT!$B$4+I46/86400)</x:f>
      </x:c>
      <x:c r="K46" t="str">
        <x:f>IF(C46="","",D46)</x:f>
      </x:c>
      <x:c r="L46" t="str">
        <x:f>IF(LENH_DIEU_DO!G47="","",LENH_DIEU_DO!G47)</x:f>
      </x:c>
    </x:row>
    <x:row r="47">
      <x:c r="A47" t="n">
        <x:f>ROW()-1</x:f>
        <x:v>46</x:v>
      </x:c>
      <x:c r="B47" t="str">
        <x:f>IF(LENH_DIEU_DO!C48="","",MOD(LENH_DIEU_DO!C48,1)*86400)</x:f>
      </x:c>
      <x:c r="C47" t="str">
        <x:f>IF(LENH_DIEU_DO!C48="","",LENH_DIEU_DO!C48)</x:f>
      </x:c>
      <x:c r="D47" t="str">
        <x:f>IF(LENH_DIEU_DO!D48="","",LENH_DIEU_DO!D48)</x:f>
      </x:c>
      <x:c r="E47" t="str">
        <x:f>IF(LENH_DIEU_DO!E48="","",LENH_DIEU_DO!E48)</x:f>
      </x:c>
      <x:c r="F47" t="str">
        <x:f>IF(C47="","",IF(B47&gt;=I46,D46,F46+(D46-F46)*(B47-B46)/MAX(I46-B46,0.000001)))</x:f>
      </x:c>
      <x:c r="G47" t="str">
        <x:f>IF(C47="","",IF(D47&gt;F47,"RAMP_UP",IF(D47&lt;F47,"RAMP_DOWN","HOLD")))</x:f>
      </x:c>
      <x:c r="H47" t="str">
        <x:f>IF(C47="","",IF(G47="HOLD",0,ABS(D47-F47)/CAI_DAT!$B$7*60))</x:f>
      </x:c>
      <x:c r="I47" t="str">
        <x:f>IF(C47="","",B47+H47)</x:f>
      </x:c>
      <x:c r="J47" t="str">
        <x:f>IF(C47="","",CAI_DAT!$B$4+I47/86400)</x:f>
      </x:c>
      <x:c r="K47" t="str">
        <x:f>IF(C47="","",D47)</x:f>
      </x:c>
      <x:c r="L47" t="str">
        <x:f>IF(LENH_DIEU_DO!G48="","",LENH_DIEU_DO!G48)</x:f>
      </x:c>
    </x:row>
    <x:row r="48">
      <x:c r="A48" t="n">
        <x:f>ROW()-1</x:f>
        <x:v>47</x:v>
      </x:c>
      <x:c r="B48" t="str">
        <x:f>IF(LENH_DIEU_DO!C49="","",MOD(LENH_DIEU_DO!C49,1)*86400)</x:f>
      </x:c>
      <x:c r="C48" t="str">
        <x:f>IF(LENH_DIEU_DO!C49="","",LENH_DIEU_DO!C49)</x:f>
      </x:c>
      <x:c r="D48" t="str">
        <x:f>IF(LENH_DIEU_DO!D49="","",LENH_DIEU_DO!D49)</x:f>
      </x:c>
      <x:c r="E48" t="str">
        <x:f>IF(LENH_DIEU_DO!E49="","",LENH_DIEU_DO!E49)</x:f>
      </x:c>
      <x:c r="F48" t="str">
        <x:f>IF(C48="","",IF(B48&gt;=I47,D47,F47+(D47-F47)*(B48-B47)/MAX(I47-B47,0.000001)))</x:f>
      </x:c>
      <x:c r="G48" t="str">
        <x:f>IF(C48="","",IF(D48&gt;F48,"RAMP_UP",IF(D48&lt;F48,"RAMP_DOWN","HOLD")))</x:f>
      </x:c>
      <x:c r="H48" t="str">
        <x:f>IF(C48="","",IF(G48="HOLD",0,ABS(D48-F48)/CAI_DAT!$B$7*60))</x:f>
      </x:c>
      <x:c r="I48" t="str">
        <x:f>IF(C48="","",B48+H48)</x:f>
      </x:c>
      <x:c r="J48" t="str">
        <x:f>IF(C48="","",CAI_DAT!$B$4+I48/86400)</x:f>
      </x:c>
      <x:c r="K48" t="str">
        <x:f>IF(C48="","",D48)</x:f>
      </x:c>
      <x:c r="L48" t="str">
        <x:f>IF(LENH_DIEU_DO!G49="","",LENH_DIEU_DO!G49)</x:f>
      </x:c>
    </x:row>
    <x:row r="49">
      <x:c r="A49" t="n">
        <x:f>ROW()-1</x:f>
        <x:v>48</x:v>
      </x:c>
      <x:c r="B49" t="str">
        <x:f>IF(LENH_DIEU_DO!C50="","",MOD(LENH_DIEU_DO!C50,1)*86400)</x:f>
      </x:c>
      <x:c r="C49" t="str">
        <x:f>IF(LENH_DIEU_DO!C50="","",LENH_DIEU_DO!C50)</x:f>
      </x:c>
      <x:c r="D49" t="str">
        <x:f>IF(LENH_DIEU_DO!D50="","",LENH_DIEU_DO!D50)</x:f>
      </x:c>
      <x:c r="E49" t="str">
        <x:f>IF(LENH_DIEU_DO!E50="","",LENH_DIEU_DO!E50)</x:f>
      </x:c>
      <x:c r="F49" t="str">
        <x:f>IF(C49="","",IF(B49&gt;=I48,D48,F48+(D48-F48)*(B49-B48)/MAX(I48-B48,0.000001)))</x:f>
      </x:c>
      <x:c r="G49" t="str">
        <x:f>IF(C49="","",IF(D49&gt;F49,"RAMP_UP",IF(D49&lt;F49,"RAMP_DOWN","HOLD")))</x:f>
      </x:c>
      <x:c r="H49" t="str">
        <x:f>IF(C49="","",IF(G49="HOLD",0,ABS(D49-F49)/CAI_DAT!$B$7*60))</x:f>
      </x:c>
      <x:c r="I49" t="str">
        <x:f>IF(C49="","",B49+H49)</x:f>
      </x:c>
      <x:c r="J49" t="str">
        <x:f>IF(C49="","",CAI_DAT!$B$4+I49/86400)</x:f>
      </x:c>
      <x:c r="K49" t="str">
        <x:f>IF(C49="","",D49)</x:f>
      </x:c>
      <x:c r="L49" t="str">
        <x:f>IF(LENH_DIEU_DO!G50="","",LENH_DIEU_DO!G50)</x:f>
      </x:c>
    </x:row>
    <x:row r="50">
      <x:c r="A50" t="n">
        <x:f>ROW()-1</x:f>
        <x:v>49</x:v>
      </x:c>
      <x:c r="B50" t="str">
        <x:f>IF(LENH_DIEU_DO!C51="","",MOD(LENH_DIEU_DO!C51,1)*86400)</x:f>
      </x:c>
      <x:c r="C50" t="str">
        <x:f>IF(LENH_DIEU_DO!C51="","",LENH_DIEU_DO!C51)</x:f>
      </x:c>
      <x:c r="D50" t="str">
        <x:f>IF(LENH_DIEU_DO!D51="","",LENH_DIEU_DO!D51)</x:f>
      </x:c>
      <x:c r="E50" t="str">
        <x:f>IF(LENH_DIEU_DO!E51="","",LENH_DIEU_DO!E51)</x:f>
      </x:c>
      <x:c r="F50" t="str">
        <x:f>IF(C50="","",IF(B50&gt;=I49,D49,F49+(D49-F49)*(B50-B49)/MAX(I49-B49,0.000001)))</x:f>
      </x:c>
      <x:c r="G50" t="str">
        <x:f>IF(C50="","",IF(D50&gt;F50,"RAMP_UP",IF(D50&lt;F50,"RAMP_DOWN","HOLD")))</x:f>
      </x:c>
      <x:c r="H50" t="str">
        <x:f>IF(C50="","",IF(G50="HOLD",0,ABS(D50-F50)/CAI_DAT!$B$7*60))</x:f>
      </x:c>
      <x:c r="I50" t="str">
        <x:f>IF(C50="","",B50+H50)</x:f>
      </x:c>
      <x:c r="J50" t="str">
        <x:f>IF(C50="","",CAI_DAT!$B$4+I50/86400)</x:f>
      </x:c>
      <x:c r="K50" t="str">
        <x:f>IF(C50="","",D50)</x:f>
      </x:c>
      <x:c r="L50" t="str">
        <x:f>IF(LENH_DIEU_DO!G51="","",LENH_DIEU_DO!G51)</x:f>
      </x:c>
    </x:row>
    <x:row r="51">
      <x:c r="A51" t="n">
        <x:f>ROW()-1</x:f>
        <x:v>50</x:v>
      </x:c>
      <x:c r="B51" t="str">
        <x:f>IF(LENH_DIEU_DO!C52="","",MOD(LENH_DIEU_DO!C52,1)*86400)</x:f>
      </x:c>
      <x:c r="C51" t="str">
        <x:f>IF(LENH_DIEU_DO!C52="","",LENH_DIEU_DO!C52)</x:f>
      </x:c>
      <x:c r="D51" t="str">
        <x:f>IF(LENH_DIEU_DO!D52="","",LENH_DIEU_DO!D52)</x:f>
      </x:c>
      <x:c r="E51" t="str">
        <x:f>IF(LENH_DIEU_DO!E52="","",LENH_DIEU_DO!E52)</x:f>
      </x:c>
      <x:c r="F51" t="str">
        <x:f>IF(C51="","",IF(B51&gt;=I50,D50,F50+(D50-F50)*(B51-B50)/MAX(I50-B50,0.000001)))</x:f>
      </x:c>
      <x:c r="G51" t="str">
        <x:f>IF(C51="","",IF(D51&gt;F51,"RAMP_UP",IF(D51&lt;F51,"RAMP_DOWN","HOLD")))</x:f>
      </x:c>
      <x:c r="H51" t="str">
        <x:f>IF(C51="","",IF(G51="HOLD",0,ABS(D51-F51)/CAI_DAT!$B$7*60))</x:f>
      </x:c>
      <x:c r="I51" t="str">
        <x:f>IF(C51="","",B51+H51)</x:f>
      </x:c>
      <x:c r="J51" t="str">
        <x:f>IF(C51="","",CAI_DAT!$B$4+I51/86400)</x:f>
      </x:c>
      <x:c r="K51" t="str">
        <x:f>IF(C51="","",D51)</x:f>
      </x:c>
      <x:c r="L51" t="str">
        <x:f>IF(LENH_DIEU_DO!G52="","",LENH_DIEU_DO!G52)</x:f>
      </x:c>
    </x:row>
    <x:row r="52">
      <x:c r="A52" t="n">
        <x:f>ROW()-1</x:f>
        <x:v>51</x:v>
      </x:c>
      <x:c r="B52" t="str">
        <x:f>IF(LENH_DIEU_DO!C53="","",MOD(LENH_DIEU_DO!C53,1)*86400)</x:f>
      </x:c>
      <x:c r="C52" t="str">
        <x:f>IF(LENH_DIEU_DO!C53="","",LENH_DIEU_DO!C53)</x:f>
      </x:c>
      <x:c r="D52" t="str">
        <x:f>IF(LENH_DIEU_DO!D53="","",LENH_DIEU_DO!D53)</x:f>
      </x:c>
      <x:c r="E52" t="str">
        <x:f>IF(LENH_DIEU_DO!E53="","",LENH_DIEU_DO!E53)</x:f>
      </x:c>
      <x:c r="F52" t="str">
        <x:f>IF(C52="","",IF(B52&gt;=I51,D51,F51+(D51-F51)*(B52-B51)/MAX(I51-B51,0.000001)))</x:f>
      </x:c>
      <x:c r="G52" t="str">
        <x:f>IF(C52="","",IF(D52&gt;F52,"RAMP_UP",IF(D52&lt;F52,"RAMP_DOWN","HOLD")))</x:f>
      </x:c>
      <x:c r="H52" t="str">
        <x:f>IF(C52="","",IF(G52="HOLD",0,ABS(D52-F52)/CAI_DAT!$B$7*60))</x:f>
      </x:c>
      <x:c r="I52" t="str">
        <x:f>IF(C52="","",B52+H52)</x:f>
      </x:c>
      <x:c r="J52" t="str">
        <x:f>IF(C52="","",CAI_DAT!$B$4+I52/86400)</x:f>
      </x:c>
      <x:c r="K52" t="str">
        <x:f>IF(C52="","",D52)</x:f>
      </x:c>
      <x:c r="L52" t="str">
        <x:f>IF(LENH_DIEU_DO!G53="","",LENH_DIEU_DO!G53)</x:f>
      </x:c>
    </x:row>
    <x:row r="53">
      <x:c r="A53" t="n">
        <x:f>ROW()-1</x:f>
        <x:v>52</x:v>
      </x:c>
      <x:c r="B53" t="str">
        <x:f>IF(LENH_DIEU_DO!C54="","",MOD(LENH_DIEU_DO!C54,1)*86400)</x:f>
      </x:c>
      <x:c r="C53" t="str">
        <x:f>IF(LENH_DIEU_DO!C54="","",LENH_DIEU_DO!C54)</x:f>
      </x:c>
      <x:c r="D53" t="str">
        <x:f>IF(LENH_DIEU_DO!D54="","",LENH_DIEU_DO!D54)</x:f>
      </x:c>
      <x:c r="E53" t="str">
        <x:f>IF(LENH_DIEU_DO!E54="","",LENH_DIEU_DO!E54)</x:f>
      </x:c>
      <x:c r="F53" t="str">
        <x:f>IF(C53="","",IF(B53&gt;=I52,D52,F52+(D52-F52)*(B53-B52)/MAX(I52-B52,0.000001)))</x:f>
      </x:c>
      <x:c r="G53" t="str">
        <x:f>IF(C53="","",IF(D53&gt;F53,"RAMP_UP",IF(D53&lt;F53,"RAMP_DOWN","HOLD")))</x:f>
      </x:c>
      <x:c r="H53" t="str">
        <x:f>IF(C53="","",IF(G53="HOLD",0,ABS(D53-F53)/CAI_DAT!$B$7*60))</x:f>
      </x:c>
      <x:c r="I53" t="str">
        <x:f>IF(C53="","",B53+H53)</x:f>
      </x:c>
      <x:c r="J53" t="str">
        <x:f>IF(C53="","",CAI_DAT!$B$4+I53/86400)</x:f>
      </x:c>
      <x:c r="K53" t="str">
        <x:f>IF(C53="","",D53)</x:f>
      </x:c>
      <x:c r="L53" t="str">
        <x:f>IF(LENH_DIEU_DO!G54="","",LENH_DIEU_DO!G54)</x:f>
      </x:c>
    </x:row>
    <x:row r="54">
      <x:c r="A54" t="n">
        <x:f>ROW()-1</x:f>
        <x:v>53</x:v>
      </x:c>
      <x:c r="B54" t="str">
        <x:f>IF(LENH_DIEU_DO!C55="","",MOD(LENH_DIEU_DO!C55,1)*86400)</x:f>
      </x:c>
      <x:c r="C54" t="str">
        <x:f>IF(LENH_DIEU_DO!C55="","",LENH_DIEU_DO!C55)</x:f>
      </x:c>
      <x:c r="D54" t="str">
        <x:f>IF(LENH_DIEU_DO!D55="","",LENH_DIEU_DO!D55)</x:f>
      </x:c>
      <x:c r="E54" t="str">
        <x:f>IF(LENH_DIEU_DO!E55="","",LENH_DIEU_DO!E55)</x:f>
      </x:c>
      <x:c r="F54" t="str">
        <x:f>IF(C54="","",IF(B54&gt;=I53,D53,F53+(D53-F53)*(B54-B53)/MAX(I53-B53,0.000001)))</x:f>
      </x:c>
      <x:c r="G54" t="str">
        <x:f>IF(C54="","",IF(D54&gt;F54,"RAMP_UP",IF(D54&lt;F54,"RAMP_DOWN","HOLD")))</x:f>
      </x:c>
      <x:c r="H54" t="str">
        <x:f>IF(C54="","",IF(G54="HOLD",0,ABS(D54-F54)/CAI_DAT!$B$7*60))</x:f>
      </x:c>
      <x:c r="I54" t="str">
        <x:f>IF(C54="","",B54+H54)</x:f>
      </x:c>
      <x:c r="J54" t="str">
        <x:f>IF(C54="","",CAI_DAT!$B$4+I54/86400)</x:f>
      </x:c>
      <x:c r="K54" t="str">
        <x:f>IF(C54="","",D54)</x:f>
      </x:c>
      <x:c r="L54" t="str">
        <x:f>IF(LENH_DIEU_DO!G55="","",LENH_DIEU_DO!G55)</x:f>
      </x:c>
    </x:row>
    <x:row r="55">
      <x:c r="A55" t="n">
        <x:f>ROW()-1</x:f>
        <x:v>54</x:v>
      </x:c>
      <x:c r="B55" t="str">
        <x:f>IF(LENH_DIEU_DO!C56="","",MOD(LENH_DIEU_DO!C56,1)*86400)</x:f>
      </x:c>
      <x:c r="C55" t="str">
        <x:f>IF(LENH_DIEU_DO!C56="","",LENH_DIEU_DO!C56)</x:f>
      </x:c>
      <x:c r="D55" t="str">
        <x:f>IF(LENH_DIEU_DO!D56="","",LENH_DIEU_DO!D56)</x:f>
      </x:c>
      <x:c r="E55" t="str">
        <x:f>IF(LENH_DIEU_DO!E56="","",LENH_DIEU_DO!E56)</x:f>
      </x:c>
      <x:c r="F55" t="str">
        <x:f>IF(C55="","",IF(B55&gt;=I54,D54,F54+(D54-F54)*(B55-B54)/MAX(I54-B54,0.000001)))</x:f>
      </x:c>
      <x:c r="G55" t="str">
        <x:f>IF(C55="","",IF(D55&gt;F55,"RAMP_UP",IF(D55&lt;F55,"RAMP_DOWN","HOLD")))</x:f>
      </x:c>
      <x:c r="H55" t="str">
        <x:f>IF(C55="","",IF(G55="HOLD",0,ABS(D55-F55)/CAI_DAT!$B$7*60))</x:f>
      </x:c>
      <x:c r="I55" t="str">
        <x:f>IF(C55="","",B55+H55)</x:f>
      </x:c>
      <x:c r="J55" t="str">
        <x:f>IF(C55="","",CAI_DAT!$B$4+I55/86400)</x:f>
      </x:c>
      <x:c r="K55" t="str">
        <x:f>IF(C55="","",D55)</x:f>
      </x:c>
      <x:c r="L55" t="str">
        <x:f>IF(LENH_DIEU_DO!G56="","",LENH_DIEU_DO!G56)</x:f>
      </x:c>
    </x:row>
    <x:row r="56">
      <x:c r="A56" t="n">
        <x:f>ROW()-1</x:f>
        <x:v>55</x:v>
      </x:c>
      <x:c r="B56" t="str">
        <x:f>IF(LENH_DIEU_DO!C57="","",MOD(LENH_DIEU_DO!C57,1)*86400)</x:f>
      </x:c>
      <x:c r="C56" t="str">
        <x:f>IF(LENH_DIEU_DO!C57="","",LENH_DIEU_DO!C57)</x:f>
      </x:c>
      <x:c r="D56" t="str">
        <x:f>IF(LENH_DIEU_DO!D57="","",LENH_DIEU_DO!D57)</x:f>
      </x:c>
      <x:c r="E56" t="str">
        <x:f>IF(LENH_DIEU_DO!E57="","",LENH_DIEU_DO!E57)</x:f>
      </x:c>
      <x:c r="F56" t="str">
        <x:f>IF(C56="","",IF(B56&gt;=I55,D55,F55+(D55-F55)*(B56-B55)/MAX(I55-B55,0.000001)))</x:f>
      </x:c>
      <x:c r="G56" t="str">
        <x:f>IF(C56="","",IF(D56&gt;F56,"RAMP_UP",IF(D56&lt;F56,"RAMP_DOWN","HOLD")))</x:f>
      </x:c>
      <x:c r="H56" t="str">
        <x:f>IF(C56="","",IF(G56="HOLD",0,ABS(D56-F56)/CAI_DAT!$B$7*60))</x:f>
      </x:c>
      <x:c r="I56" t="str">
        <x:f>IF(C56="","",B56+H56)</x:f>
      </x:c>
      <x:c r="J56" t="str">
        <x:f>IF(C56="","",CAI_DAT!$B$4+I56/86400)</x:f>
      </x:c>
      <x:c r="K56" t="str">
        <x:f>IF(C56="","",D56)</x:f>
      </x:c>
      <x:c r="L56" t="str">
        <x:f>IF(LENH_DIEU_DO!G57="","",LENH_DIEU_DO!G57)</x:f>
      </x:c>
    </x:row>
    <x:row r="57">
      <x:c r="A57" t="n">
        <x:f>ROW()-1</x:f>
        <x:v>56</x:v>
      </x:c>
      <x:c r="B57" t="str">
        <x:f>IF(LENH_DIEU_DO!C58="","",MOD(LENH_DIEU_DO!C58,1)*86400)</x:f>
      </x:c>
      <x:c r="C57" t="str">
        <x:f>IF(LENH_DIEU_DO!C58="","",LENH_DIEU_DO!C58)</x:f>
      </x:c>
      <x:c r="D57" t="str">
        <x:f>IF(LENH_DIEU_DO!D58="","",LENH_DIEU_DO!D58)</x:f>
      </x:c>
      <x:c r="E57" t="str">
        <x:f>IF(LENH_DIEU_DO!E58="","",LENH_DIEU_DO!E58)</x:f>
      </x:c>
      <x:c r="F57" t="str">
        <x:f>IF(C57="","",IF(B57&gt;=I56,D56,F56+(D56-F56)*(B57-B56)/MAX(I56-B56,0.000001)))</x:f>
      </x:c>
      <x:c r="G57" t="str">
        <x:f>IF(C57="","",IF(D57&gt;F57,"RAMP_UP",IF(D57&lt;F57,"RAMP_DOWN","HOLD")))</x:f>
      </x:c>
      <x:c r="H57" t="str">
        <x:f>IF(C57="","",IF(G57="HOLD",0,ABS(D57-F57)/CAI_DAT!$B$7*60))</x:f>
      </x:c>
      <x:c r="I57" t="str">
        <x:f>IF(C57="","",B57+H57)</x:f>
      </x:c>
      <x:c r="J57" t="str">
        <x:f>IF(C57="","",CAI_DAT!$B$4+I57/86400)</x:f>
      </x:c>
      <x:c r="K57" t="str">
        <x:f>IF(C57="","",D57)</x:f>
      </x:c>
      <x:c r="L57" t="str">
        <x:f>IF(LENH_DIEU_DO!G58="","",LENH_DIEU_DO!G58)</x:f>
      </x:c>
    </x:row>
    <x:row r="58">
      <x:c r="A58" t="n">
        <x:f>ROW()-1</x:f>
        <x:v>57</x:v>
      </x:c>
      <x:c r="B58" t="str">
        <x:f>IF(LENH_DIEU_DO!C59="","",MOD(LENH_DIEU_DO!C59,1)*86400)</x:f>
      </x:c>
      <x:c r="C58" t="str">
        <x:f>IF(LENH_DIEU_DO!C59="","",LENH_DIEU_DO!C59)</x:f>
      </x:c>
      <x:c r="D58" t="str">
        <x:f>IF(LENH_DIEU_DO!D59="","",LENH_DIEU_DO!D59)</x:f>
      </x:c>
      <x:c r="E58" t="str">
        <x:f>IF(LENH_DIEU_DO!E59="","",LENH_DIEU_DO!E59)</x:f>
      </x:c>
      <x:c r="F58" t="str">
        <x:f>IF(C58="","",IF(B58&gt;=I57,D57,F57+(D57-F57)*(B58-B57)/MAX(I57-B57,0.000001)))</x:f>
      </x:c>
      <x:c r="G58" t="str">
        <x:f>IF(C58="","",IF(D58&gt;F58,"RAMP_UP",IF(D58&lt;F58,"RAMP_DOWN","HOLD")))</x:f>
      </x:c>
      <x:c r="H58" t="str">
        <x:f>IF(C58="","",IF(G58="HOLD",0,ABS(D58-F58)/CAI_DAT!$B$7*60))</x:f>
      </x:c>
      <x:c r="I58" t="str">
        <x:f>IF(C58="","",B58+H58)</x:f>
      </x:c>
      <x:c r="J58" t="str">
        <x:f>IF(C58="","",CAI_DAT!$B$4+I58/86400)</x:f>
      </x:c>
      <x:c r="K58" t="str">
        <x:f>IF(C58="","",D58)</x:f>
      </x:c>
      <x:c r="L58" t="str">
        <x:f>IF(LENH_DIEU_DO!G59="","",LENH_DIEU_DO!G59)</x:f>
      </x:c>
    </x:row>
    <x:row r="59">
      <x:c r="A59" t="n">
        <x:f>ROW()-1</x:f>
        <x:v>58</x:v>
      </x:c>
      <x:c r="B59" t="str">
        <x:f>IF(LENH_DIEU_DO!C60="","",MOD(LENH_DIEU_DO!C60,1)*86400)</x:f>
      </x:c>
      <x:c r="C59" t="str">
        <x:f>IF(LENH_DIEU_DO!C60="","",LENH_DIEU_DO!C60)</x:f>
      </x:c>
      <x:c r="D59" t="str">
        <x:f>IF(LENH_DIEU_DO!D60="","",LENH_DIEU_DO!D60)</x:f>
      </x:c>
      <x:c r="E59" t="str">
        <x:f>IF(LENH_DIEU_DO!E60="","",LENH_DIEU_DO!E60)</x:f>
      </x:c>
      <x:c r="F59" t="str">
        <x:f>IF(C59="","",IF(B59&gt;=I58,D58,F58+(D58-F58)*(B59-B58)/MAX(I58-B58,0.000001)))</x:f>
      </x:c>
      <x:c r="G59" t="str">
        <x:f>IF(C59="","",IF(D59&gt;F59,"RAMP_UP",IF(D59&lt;F59,"RAMP_DOWN","HOLD")))</x:f>
      </x:c>
      <x:c r="H59" t="str">
        <x:f>IF(C59="","",IF(G59="HOLD",0,ABS(D59-F59)/CAI_DAT!$B$7*60))</x:f>
      </x:c>
      <x:c r="I59" t="str">
        <x:f>IF(C59="","",B59+H59)</x:f>
      </x:c>
      <x:c r="J59" t="str">
        <x:f>IF(C59="","",CAI_DAT!$B$4+I59/86400)</x:f>
      </x:c>
      <x:c r="K59" t="str">
        <x:f>IF(C59="","",D59)</x:f>
      </x:c>
      <x:c r="L59" t="str">
        <x:f>IF(LENH_DIEU_DO!G60="","",LENH_DIEU_DO!G60)</x:f>
      </x:c>
    </x:row>
    <x:row r="60">
      <x:c r="A60" t="n">
        <x:f>ROW()-1</x:f>
        <x:v>59</x:v>
      </x:c>
      <x:c r="B60" t="str">
        <x:f>IF(LENH_DIEU_DO!C61="","",MOD(LENH_DIEU_DO!C61,1)*86400)</x:f>
      </x:c>
      <x:c r="C60" t="str">
        <x:f>IF(LENH_DIEU_DO!C61="","",LENH_DIEU_DO!C61)</x:f>
      </x:c>
      <x:c r="D60" t="str">
        <x:f>IF(LENH_DIEU_DO!D61="","",LENH_DIEU_DO!D61)</x:f>
      </x:c>
      <x:c r="E60" t="str">
        <x:f>IF(LENH_DIEU_DO!E61="","",LENH_DIEU_DO!E61)</x:f>
      </x:c>
      <x:c r="F60" t="str">
        <x:f>IF(C60="","",IF(B60&gt;=I59,D59,F59+(D59-F59)*(B60-B59)/MAX(I59-B59,0.000001)))</x:f>
      </x:c>
      <x:c r="G60" t="str">
        <x:f>IF(C60="","",IF(D60&gt;F60,"RAMP_UP",IF(D60&lt;F60,"RAMP_DOWN","HOLD")))</x:f>
      </x:c>
      <x:c r="H60" t="str">
        <x:f>IF(C60="","",IF(G60="HOLD",0,ABS(D60-F60)/CAI_DAT!$B$7*60))</x:f>
      </x:c>
      <x:c r="I60" t="str">
        <x:f>IF(C60="","",B60+H60)</x:f>
      </x:c>
      <x:c r="J60" t="str">
        <x:f>IF(C60="","",CAI_DAT!$B$4+I60/86400)</x:f>
      </x:c>
      <x:c r="K60" t="str">
        <x:f>IF(C60="","",D60)</x:f>
      </x:c>
      <x:c r="L60" t="str">
        <x:f>IF(LENH_DIEU_DO!G61="","",LENH_DIEU_DO!G61)</x:f>
      </x:c>
    </x:row>
    <x:row r="61">
      <x:c r="A61" t="n">
        <x:f>ROW()-1</x:f>
        <x:v>60</x:v>
      </x:c>
      <x:c r="B61" t="str">
        <x:f>IF(LENH_DIEU_DO!C62="","",MOD(LENH_DIEU_DO!C62,1)*86400)</x:f>
      </x:c>
      <x:c r="C61" t="str">
        <x:f>IF(LENH_DIEU_DO!C62="","",LENH_DIEU_DO!C62)</x:f>
      </x:c>
      <x:c r="D61" t="str">
        <x:f>IF(LENH_DIEU_DO!D62="","",LENH_DIEU_DO!D62)</x:f>
      </x:c>
      <x:c r="E61" t="str">
        <x:f>IF(LENH_DIEU_DO!E62="","",LENH_DIEU_DO!E62)</x:f>
      </x:c>
      <x:c r="F61" t="str">
        <x:f>IF(C61="","",IF(B61&gt;=I60,D60,F60+(D60-F60)*(B61-B60)/MAX(I60-B60,0.000001)))</x:f>
      </x:c>
      <x:c r="G61" t="str">
        <x:f>IF(C61="","",IF(D61&gt;F61,"RAMP_UP",IF(D61&lt;F61,"RAMP_DOWN","HOLD")))</x:f>
      </x:c>
      <x:c r="H61" t="str">
        <x:f>IF(C61="","",IF(G61="HOLD",0,ABS(D61-F61)/CAI_DAT!$B$7*60))</x:f>
      </x:c>
      <x:c r="I61" t="str">
        <x:f>IF(C61="","",B61+H61)</x:f>
      </x:c>
      <x:c r="J61" t="str">
        <x:f>IF(C61="","",CAI_DAT!$B$4+I61/86400)</x:f>
      </x:c>
      <x:c r="K61" t="str">
        <x:f>IF(C61="","",D61)</x:f>
      </x:c>
      <x:c r="L61" t="str">
        <x:f>IF(LENH_DIEU_DO!G62="","",LENH_DIEU_DO!G62)</x:f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6" hidden="0" customWidth="1"/>
  </x:cols>
  <x:sheetData>
    <x:row r="1">
      <x:c r="A1" s="18" t="str">
        <x:v>Đoạn</x:v>
      </x:c>
      <x:c r="B1" s="129" t="str">
        <x:v>Loại</x:v>
      </x:c>
      <x:c r="C1" s="129" t="str">
        <x:v>Bắt đầu (giây)</x:v>
      </x:c>
      <x:c r="D1" s="129" t="str">
        <x:v>Kết thúc (giây)</x:v>
      </x:c>
      <x:c r="E1" s="129" t="str">
        <x:v>P đầu</x:v>
      </x:c>
      <x:c r="F1" s="129" t="str">
        <x:v>P cuối</x:v>
      </x:c>
      <x:c r="G1" s="129" t="str">
        <x:v>Thời lượng</x:v>
      </x:c>
      <x:c r="H1" s="19" t="str">
        <x:v>Diễn giải</x:v>
      </x:c>
    </x:row>
    <x:row r="2">
      <x:c r="A2" s="36" t="n">
        <x:f>1</x:f>
        <x:v>1</x:v>
      </x:c>
      <x:c r="B2" s="140" t="str">
        <x:f>"HOLD"</x:f>
        <x:v>HOLD</x:v>
      </x:c>
      <x:c r="C2" s="190" t="n">
        <x:f>0</x:f>
        <x:v>0</x:v>
      </x:c>
      <x:c r="D2" s="190" t="n">
        <x:f>IF(XU_LY_LENH!C2="",86400,XU_LY_LENH!B2)</x:f>
        <x:v>86400</x:v>
      </x:c>
      <x:c r="E2" s="190" t="n">
        <x:f>CAI_DAT!$B$6</x:f>
        <x:v>0</x:v>
      </x:c>
      <x:c r="F2" s="190" t="n">
        <x:f>CAI_DAT!$B$6</x:f>
        <x:v>0</x:v>
      </x:c>
      <x:c r="G2" s="190" t="n">
        <x:f>D2-C2</x:f>
        <x:v>86400</x:v>
      </x:c>
      <x:c r="H2" s="37" t="str">
        <x:f>"Đầu ngày"</x:f>
        <x:v>Đầu ngày</x:v>
      </x:c>
    </x:row>
    <x:row r="3">
      <x:c r="A3" s="38" t="n">
        <x:f>ROW()-1</x:f>
        <x:v>2</x:v>
      </x:c>
      <x:c r="B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" s="191" t="str">
        <x:f>IF(MOD(ROW(),2)=1,IF(B3="","",INDEX(XU_LY_LENH!$B$2:$B$61,INT((ROW()-1)/2))),IF(B3="","",INDEX(XU_LY_LENH!$I$2:$I$61,INT((ROW()-1)/2))))</x:f>
      </x:c>
      <x:c r="D3" s="191" t="str">
        <x:f>IF(MOD(ROW(),2)=1,IF(B3="","",IF(INDEX(XU_LY_LENH!$G$2:$G$61,INT((ROW()-1)/2))="HOLD",C3,MIN(INDEX(XU_LY_LENH!$I$2:$I$61,INT((ROW()-1)/2)),IF(IFERROR(INDEX(XU_LY_LENH!$C$2:$C$61,INT((ROW()-1)/2)+1),"")="",86400,IFERROR(INDEX(XU_LY_LENH!$B$2:$B$61,INT((ROW()-1)/2)+1),"")),86400))),IF(B3="","",MIN(IF(IFERROR(INDEX(XU_LY_LENH!$C$2:$C$61,INT((ROW()-1)/2)+1),"")="",86400,IFERROR(INDEX(XU_LY_LENH!$B$2:$B$61,INT((ROW()-1)/2)+1),"")),86400)))</x:f>
      </x:c>
      <x:c r="E3" s="191" t="str">
        <x:f>IF(MOD(ROW(),2)=1,IF(B3="","",INDEX(XU_LY_LENH!$F$2:$F$61,INT((ROW()-1)/2))),IF(B3="","",INDEX(XU_LY_LENH!$D$2:$D$61,INT((ROW()-1)/2))))</x:f>
      </x:c>
      <x:c r="F3" s="191" t="str">
        <x:f>IF(MOD(ROW(),2)=1,IF(B3="","",IF(INDEX(XU_LY_LENH!$G$2:$G$61,INT((ROW()-1)/2))="HOLD",E3,IF(D3&gt;=INDEX(XU_LY_LENH!$I$2:$I$61,INT((ROW()-1)/2)),INDEX(XU_LY_LENH!$D$2:$D$61,INT((ROW()-1)/2)),INDEX(XU_LY_LENH!$F$2:$F$61,INT((ROW()-1)/2))+(INDEX(XU_LY_LENH!$D$2:$D$61,INT((ROW()-1)/2))-INDEX(XU_LY_LENH!$F$2:$F$61,INT((ROW()-1)/2)))*(D3-INDEX(XU_LY_LENH!$B$2:$B$61,INT((ROW()-1)/2)))/MAX(INDEX(XU_LY_LENH!$I$2:$I$61,INT((ROW()-1)/2))-INDEX(XU_LY_LENH!$B$2:$B$61,INT((ROW()-1)/2)),0.000001)))),IF(B3="","",INDEX(XU_LY_LENH!$D$2:$D$61,INT((ROW()-1)/2))))</x:f>
      </x:c>
      <x:c r="G3" s="191" t="str">
        <x:f>IF(B3="","",D3-C3)</x:f>
      </x:c>
      <x:c r="H3" s="39" t="str">
        <x:f>IF(B3="","",IF(MOD(ROW(),2)=1,"Ramp lệnh "&amp;INT((ROW()-1)/2),"Giữ sau lệnh "&amp;INT((ROW()-1)/2)))</x:f>
      </x:c>
    </x:row>
    <x:row r="4">
      <x:c r="A4" s="38" t="n">
        <x:f>ROW()-1</x:f>
        <x:v>3</x:v>
      </x:c>
      <x:c r="B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" s="191" t="str">
        <x:f>IF(MOD(ROW(),2)=1,IF(B4="","",INDEX(XU_LY_LENH!$B$2:$B$61,INT((ROW()-1)/2))),IF(B4="","",INDEX(XU_LY_LENH!$I$2:$I$61,INT((ROW()-1)/2))))</x:f>
      </x:c>
      <x:c r="D4" s="191" t="str">
        <x:f>IF(MOD(ROW(),2)=1,IF(B4="","",IF(INDEX(XU_LY_LENH!$G$2:$G$61,INT((ROW()-1)/2))="HOLD",C4,MIN(INDEX(XU_LY_LENH!$I$2:$I$61,INT((ROW()-1)/2)),IF(IFERROR(INDEX(XU_LY_LENH!$C$2:$C$61,INT((ROW()-1)/2)+1),"")="",86400,IFERROR(INDEX(XU_LY_LENH!$B$2:$B$61,INT((ROW()-1)/2)+1),"")),86400))),IF(B4="","",MIN(IF(IFERROR(INDEX(XU_LY_LENH!$C$2:$C$61,INT((ROW()-1)/2)+1),"")="",86400,IFERROR(INDEX(XU_LY_LENH!$B$2:$B$61,INT((ROW()-1)/2)+1),"")),86400)))</x:f>
      </x:c>
      <x:c r="E4" s="191" t="str">
        <x:f>IF(MOD(ROW(),2)=1,IF(B4="","",INDEX(XU_LY_LENH!$F$2:$F$61,INT((ROW()-1)/2))),IF(B4="","",INDEX(XU_LY_LENH!$D$2:$D$61,INT((ROW()-1)/2))))</x:f>
      </x:c>
      <x:c r="F4" s="191" t="str">
        <x:f>IF(MOD(ROW(),2)=1,IF(B4="","",IF(INDEX(XU_LY_LENH!$G$2:$G$61,INT((ROW()-1)/2))="HOLD",E4,IF(D4&gt;=INDEX(XU_LY_LENH!$I$2:$I$61,INT((ROW()-1)/2)),INDEX(XU_LY_LENH!$D$2:$D$61,INT((ROW()-1)/2)),INDEX(XU_LY_LENH!$F$2:$F$61,INT((ROW()-1)/2))+(INDEX(XU_LY_LENH!$D$2:$D$61,INT((ROW()-1)/2))-INDEX(XU_LY_LENH!$F$2:$F$61,INT((ROW()-1)/2)))*(D4-INDEX(XU_LY_LENH!$B$2:$B$61,INT((ROW()-1)/2)))/MAX(INDEX(XU_LY_LENH!$I$2:$I$61,INT((ROW()-1)/2))-INDEX(XU_LY_LENH!$B$2:$B$61,INT((ROW()-1)/2)),0.000001)))),IF(B4="","",INDEX(XU_LY_LENH!$D$2:$D$61,INT((ROW()-1)/2))))</x:f>
      </x:c>
      <x:c r="G4" s="191" t="str">
        <x:f>IF(B4="","",D4-C4)</x:f>
      </x:c>
      <x:c r="H4" s="39" t="str">
        <x:f>IF(B4="","",IF(MOD(ROW(),2)=1,"Ramp lệnh "&amp;INT((ROW()-1)/2),"Giữ sau lệnh "&amp;INT((ROW()-1)/2)))</x:f>
      </x:c>
    </x:row>
    <x:row r="5">
      <x:c r="A5" s="38" t="n">
        <x:f>ROW()-1</x:f>
        <x:v>4</x:v>
      </x:c>
      <x:c r="B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" s="191" t="str">
        <x:f>IF(MOD(ROW(),2)=1,IF(B5="","",INDEX(XU_LY_LENH!$B$2:$B$61,INT((ROW()-1)/2))),IF(B5="","",INDEX(XU_LY_LENH!$I$2:$I$61,INT((ROW()-1)/2))))</x:f>
      </x:c>
      <x:c r="D5" s="191" t="str">
        <x:f>IF(MOD(ROW(),2)=1,IF(B5="","",IF(INDEX(XU_LY_LENH!$G$2:$G$61,INT((ROW()-1)/2))="HOLD",C5,MIN(INDEX(XU_LY_LENH!$I$2:$I$61,INT((ROW()-1)/2)),IF(IFERROR(INDEX(XU_LY_LENH!$C$2:$C$61,INT((ROW()-1)/2)+1),"")="",86400,IFERROR(INDEX(XU_LY_LENH!$B$2:$B$61,INT((ROW()-1)/2)+1),"")),86400))),IF(B5="","",MIN(IF(IFERROR(INDEX(XU_LY_LENH!$C$2:$C$61,INT((ROW()-1)/2)+1),"")="",86400,IFERROR(INDEX(XU_LY_LENH!$B$2:$B$61,INT((ROW()-1)/2)+1),"")),86400)))</x:f>
      </x:c>
      <x:c r="E5" s="191" t="str">
        <x:f>IF(MOD(ROW(),2)=1,IF(B5="","",INDEX(XU_LY_LENH!$F$2:$F$61,INT((ROW()-1)/2))),IF(B5="","",INDEX(XU_LY_LENH!$D$2:$D$61,INT((ROW()-1)/2))))</x:f>
      </x:c>
      <x:c r="F5" s="191" t="str">
        <x:f>IF(MOD(ROW(),2)=1,IF(B5="","",IF(INDEX(XU_LY_LENH!$G$2:$G$61,INT((ROW()-1)/2))="HOLD",E5,IF(D5&gt;=INDEX(XU_LY_LENH!$I$2:$I$61,INT((ROW()-1)/2)),INDEX(XU_LY_LENH!$D$2:$D$61,INT((ROW()-1)/2)),INDEX(XU_LY_LENH!$F$2:$F$61,INT((ROW()-1)/2))+(INDEX(XU_LY_LENH!$D$2:$D$61,INT((ROW()-1)/2))-INDEX(XU_LY_LENH!$F$2:$F$61,INT((ROW()-1)/2)))*(D5-INDEX(XU_LY_LENH!$B$2:$B$61,INT((ROW()-1)/2)))/MAX(INDEX(XU_LY_LENH!$I$2:$I$61,INT((ROW()-1)/2))-INDEX(XU_LY_LENH!$B$2:$B$61,INT((ROW()-1)/2)),0.000001)))),IF(B5="","",INDEX(XU_LY_LENH!$D$2:$D$61,INT((ROW()-1)/2))))</x:f>
      </x:c>
      <x:c r="G5" s="191" t="str">
        <x:f>IF(B5="","",D5-C5)</x:f>
      </x:c>
      <x:c r="H5" s="39" t="str">
        <x:f>IF(B5="","",IF(MOD(ROW(),2)=1,"Ramp lệnh "&amp;INT((ROW()-1)/2),"Giữ sau lệnh "&amp;INT((ROW()-1)/2)))</x:f>
      </x:c>
    </x:row>
    <x:row r="6">
      <x:c r="A6" s="38" t="n">
        <x:f>ROW()-1</x:f>
        <x:v>5</x:v>
      </x:c>
      <x:c r="B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" s="191" t="str">
        <x:f>IF(MOD(ROW(),2)=1,IF(B6="","",INDEX(XU_LY_LENH!$B$2:$B$61,INT((ROW()-1)/2))),IF(B6="","",INDEX(XU_LY_LENH!$I$2:$I$61,INT((ROW()-1)/2))))</x:f>
      </x:c>
      <x:c r="D6" s="191" t="str">
        <x:f>IF(MOD(ROW(),2)=1,IF(B6="","",IF(INDEX(XU_LY_LENH!$G$2:$G$61,INT((ROW()-1)/2))="HOLD",C6,MIN(INDEX(XU_LY_LENH!$I$2:$I$61,INT((ROW()-1)/2)),IF(IFERROR(INDEX(XU_LY_LENH!$C$2:$C$61,INT((ROW()-1)/2)+1),"")="",86400,IFERROR(INDEX(XU_LY_LENH!$B$2:$B$61,INT((ROW()-1)/2)+1),"")),86400))),IF(B6="","",MIN(IF(IFERROR(INDEX(XU_LY_LENH!$C$2:$C$61,INT((ROW()-1)/2)+1),"")="",86400,IFERROR(INDEX(XU_LY_LENH!$B$2:$B$61,INT((ROW()-1)/2)+1),"")),86400)))</x:f>
      </x:c>
      <x:c r="E6" s="191" t="str">
        <x:f>IF(MOD(ROW(),2)=1,IF(B6="","",INDEX(XU_LY_LENH!$F$2:$F$61,INT((ROW()-1)/2))),IF(B6="","",INDEX(XU_LY_LENH!$D$2:$D$61,INT((ROW()-1)/2))))</x:f>
      </x:c>
      <x:c r="F6" s="191" t="str">
        <x:f>IF(MOD(ROW(),2)=1,IF(B6="","",IF(INDEX(XU_LY_LENH!$G$2:$G$61,INT((ROW()-1)/2))="HOLD",E6,IF(D6&gt;=INDEX(XU_LY_LENH!$I$2:$I$61,INT((ROW()-1)/2)),INDEX(XU_LY_LENH!$D$2:$D$61,INT((ROW()-1)/2)),INDEX(XU_LY_LENH!$F$2:$F$61,INT((ROW()-1)/2))+(INDEX(XU_LY_LENH!$D$2:$D$61,INT((ROW()-1)/2))-INDEX(XU_LY_LENH!$F$2:$F$61,INT((ROW()-1)/2)))*(D6-INDEX(XU_LY_LENH!$B$2:$B$61,INT((ROW()-1)/2)))/MAX(INDEX(XU_LY_LENH!$I$2:$I$61,INT((ROW()-1)/2))-INDEX(XU_LY_LENH!$B$2:$B$61,INT((ROW()-1)/2)),0.000001)))),IF(B6="","",INDEX(XU_LY_LENH!$D$2:$D$61,INT((ROW()-1)/2))))</x:f>
      </x:c>
      <x:c r="G6" s="191" t="str">
        <x:f>IF(B6="","",D6-C6)</x:f>
      </x:c>
      <x:c r="H6" s="39" t="str">
        <x:f>IF(B6="","",IF(MOD(ROW(),2)=1,"Ramp lệnh "&amp;INT((ROW()-1)/2),"Giữ sau lệnh "&amp;INT((ROW()-1)/2)))</x:f>
      </x:c>
    </x:row>
    <x:row r="7">
      <x:c r="A7" s="38" t="n">
        <x:f>ROW()-1</x:f>
        <x:v>6</x:v>
      </x:c>
      <x:c r="B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" s="191" t="str">
        <x:f>IF(MOD(ROW(),2)=1,IF(B7="","",INDEX(XU_LY_LENH!$B$2:$B$61,INT((ROW()-1)/2))),IF(B7="","",INDEX(XU_LY_LENH!$I$2:$I$61,INT((ROW()-1)/2))))</x:f>
      </x:c>
      <x:c r="D7" s="191" t="str">
        <x:f>IF(MOD(ROW(),2)=1,IF(B7="","",IF(INDEX(XU_LY_LENH!$G$2:$G$61,INT((ROW()-1)/2))="HOLD",C7,MIN(INDEX(XU_LY_LENH!$I$2:$I$61,INT((ROW()-1)/2)),IF(IFERROR(INDEX(XU_LY_LENH!$C$2:$C$61,INT((ROW()-1)/2)+1),"")="",86400,IFERROR(INDEX(XU_LY_LENH!$B$2:$B$61,INT((ROW()-1)/2)+1),"")),86400))),IF(B7="","",MIN(IF(IFERROR(INDEX(XU_LY_LENH!$C$2:$C$61,INT((ROW()-1)/2)+1),"")="",86400,IFERROR(INDEX(XU_LY_LENH!$B$2:$B$61,INT((ROW()-1)/2)+1),"")),86400)))</x:f>
      </x:c>
      <x:c r="E7" s="191" t="str">
        <x:f>IF(MOD(ROW(),2)=1,IF(B7="","",INDEX(XU_LY_LENH!$F$2:$F$61,INT((ROW()-1)/2))),IF(B7="","",INDEX(XU_LY_LENH!$D$2:$D$61,INT((ROW()-1)/2))))</x:f>
      </x:c>
      <x:c r="F7" s="191" t="str">
        <x:f>IF(MOD(ROW(),2)=1,IF(B7="","",IF(INDEX(XU_LY_LENH!$G$2:$G$61,INT((ROW()-1)/2))="HOLD",E7,IF(D7&gt;=INDEX(XU_LY_LENH!$I$2:$I$61,INT((ROW()-1)/2)),INDEX(XU_LY_LENH!$D$2:$D$61,INT((ROW()-1)/2)),INDEX(XU_LY_LENH!$F$2:$F$61,INT((ROW()-1)/2))+(INDEX(XU_LY_LENH!$D$2:$D$61,INT((ROW()-1)/2))-INDEX(XU_LY_LENH!$F$2:$F$61,INT((ROW()-1)/2)))*(D7-INDEX(XU_LY_LENH!$B$2:$B$61,INT((ROW()-1)/2)))/MAX(INDEX(XU_LY_LENH!$I$2:$I$61,INT((ROW()-1)/2))-INDEX(XU_LY_LENH!$B$2:$B$61,INT((ROW()-1)/2)),0.000001)))),IF(B7="","",INDEX(XU_LY_LENH!$D$2:$D$61,INT((ROW()-1)/2))))</x:f>
      </x:c>
      <x:c r="G7" s="191" t="str">
        <x:f>IF(B7="","",D7-C7)</x:f>
      </x:c>
      <x:c r="H7" s="39" t="str">
        <x:f>IF(B7="","",IF(MOD(ROW(),2)=1,"Ramp lệnh "&amp;INT((ROW()-1)/2),"Giữ sau lệnh "&amp;INT((ROW()-1)/2)))</x:f>
      </x:c>
    </x:row>
    <x:row r="8">
      <x:c r="A8" s="38" t="n">
        <x:f>ROW()-1</x:f>
        <x:v>7</x:v>
      </x:c>
      <x:c r="B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" s="191" t="str">
        <x:f>IF(MOD(ROW(),2)=1,IF(B8="","",INDEX(XU_LY_LENH!$B$2:$B$61,INT((ROW()-1)/2))),IF(B8="","",INDEX(XU_LY_LENH!$I$2:$I$61,INT((ROW()-1)/2))))</x:f>
      </x:c>
      <x:c r="D8" s="191" t="str">
        <x:f>IF(MOD(ROW(),2)=1,IF(B8="","",IF(INDEX(XU_LY_LENH!$G$2:$G$61,INT((ROW()-1)/2))="HOLD",C8,MIN(INDEX(XU_LY_LENH!$I$2:$I$61,INT((ROW()-1)/2)),IF(IFERROR(INDEX(XU_LY_LENH!$C$2:$C$61,INT((ROW()-1)/2)+1),"")="",86400,IFERROR(INDEX(XU_LY_LENH!$B$2:$B$61,INT((ROW()-1)/2)+1),"")),86400))),IF(B8="","",MIN(IF(IFERROR(INDEX(XU_LY_LENH!$C$2:$C$61,INT((ROW()-1)/2)+1),"")="",86400,IFERROR(INDEX(XU_LY_LENH!$B$2:$B$61,INT((ROW()-1)/2)+1),"")),86400)))</x:f>
      </x:c>
      <x:c r="E8" s="191" t="str">
        <x:f>IF(MOD(ROW(),2)=1,IF(B8="","",INDEX(XU_LY_LENH!$F$2:$F$61,INT((ROW()-1)/2))),IF(B8="","",INDEX(XU_LY_LENH!$D$2:$D$61,INT((ROW()-1)/2))))</x:f>
      </x:c>
      <x:c r="F8" s="191" t="str">
        <x:f>IF(MOD(ROW(),2)=1,IF(B8="","",IF(INDEX(XU_LY_LENH!$G$2:$G$61,INT((ROW()-1)/2))="HOLD",E8,IF(D8&gt;=INDEX(XU_LY_LENH!$I$2:$I$61,INT((ROW()-1)/2)),INDEX(XU_LY_LENH!$D$2:$D$61,INT((ROW()-1)/2)),INDEX(XU_LY_LENH!$F$2:$F$61,INT((ROW()-1)/2))+(INDEX(XU_LY_LENH!$D$2:$D$61,INT((ROW()-1)/2))-INDEX(XU_LY_LENH!$F$2:$F$61,INT((ROW()-1)/2)))*(D8-INDEX(XU_LY_LENH!$B$2:$B$61,INT((ROW()-1)/2)))/MAX(INDEX(XU_LY_LENH!$I$2:$I$61,INT((ROW()-1)/2))-INDEX(XU_LY_LENH!$B$2:$B$61,INT((ROW()-1)/2)),0.000001)))),IF(B8="","",INDEX(XU_LY_LENH!$D$2:$D$61,INT((ROW()-1)/2))))</x:f>
      </x:c>
      <x:c r="G8" s="191" t="str">
        <x:f>IF(B8="","",D8-C8)</x:f>
      </x:c>
      <x:c r="H8" s="39" t="str">
        <x:f>IF(B8="","",IF(MOD(ROW(),2)=1,"Ramp lệnh "&amp;INT((ROW()-1)/2),"Giữ sau lệnh "&amp;INT((ROW()-1)/2)))</x:f>
      </x:c>
    </x:row>
    <x:row r="9">
      <x:c r="A9" s="38" t="n">
        <x:f>ROW()-1</x:f>
        <x:v>8</x:v>
      </x:c>
      <x:c r="B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" s="191" t="str">
        <x:f>IF(MOD(ROW(),2)=1,IF(B9="","",INDEX(XU_LY_LENH!$B$2:$B$61,INT((ROW()-1)/2))),IF(B9="","",INDEX(XU_LY_LENH!$I$2:$I$61,INT((ROW()-1)/2))))</x:f>
      </x:c>
      <x:c r="D9" s="191" t="str">
        <x:f>IF(MOD(ROW(),2)=1,IF(B9="","",IF(INDEX(XU_LY_LENH!$G$2:$G$61,INT((ROW()-1)/2))="HOLD",C9,MIN(INDEX(XU_LY_LENH!$I$2:$I$61,INT((ROW()-1)/2)),IF(IFERROR(INDEX(XU_LY_LENH!$C$2:$C$61,INT((ROW()-1)/2)+1),"")="",86400,IFERROR(INDEX(XU_LY_LENH!$B$2:$B$61,INT((ROW()-1)/2)+1),"")),86400))),IF(B9="","",MIN(IF(IFERROR(INDEX(XU_LY_LENH!$C$2:$C$61,INT((ROW()-1)/2)+1),"")="",86400,IFERROR(INDEX(XU_LY_LENH!$B$2:$B$61,INT((ROW()-1)/2)+1),"")),86400)))</x:f>
      </x:c>
      <x:c r="E9" s="191" t="str">
        <x:f>IF(MOD(ROW(),2)=1,IF(B9="","",INDEX(XU_LY_LENH!$F$2:$F$61,INT((ROW()-1)/2))),IF(B9="","",INDEX(XU_LY_LENH!$D$2:$D$61,INT((ROW()-1)/2))))</x:f>
      </x:c>
      <x:c r="F9" s="191" t="str">
        <x:f>IF(MOD(ROW(),2)=1,IF(B9="","",IF(INDEX(XU_LY_LENH!$G$2:$G$61,INT((ROW()-1)/2))="HOLD",E9,IF(D9&gt;=INDEX(XU_LY_LENH!$I$2:$I$61,INT((ROW()-1)/2)),INDEX(XU_LY_LENH!$D$2:$D$61,INT((ROW()-1)/2)),INDEX(XU_LY_LENH!$F$2:$F$61,INT((ROW()-1)/2))+(INDEX(XU_LY_LENH!$D$2:$D$61,INT((ROW()-1)/2))-INDEX(XU_LY_LENH!$F$2:$F$61,INT((ROW()-1)/2)))*(D9-INDEX(XU_LY_LENH!$B$2:$B$61,INT((ROW()-1)/2)))/MAX(INDEX(XU_LY_LENH!$I$2:$I$61,INT((ROW()-1)/2))-INDEX(XU_LY_LENH!$B$2:$B$61,INT((ROW()-1)/2)),0.000001)))),IF(B9="","",INDEX(XU_LY_LENH!$D$2:$D$61,INT((ROW()-1)/2))))</x:f>
      </x:c>
      <x:c r="G9" s="191" t="str">
        <x:f>IF(B9="","",D9-C9)</x:f>
      </x:c>
      <x:c r="H9" s="39" t="str">
        <x:f>IF(B9="","",IF(MOD(ROW(),2)=1,"Ramp lệnh "&amp;INT((ROW()-1)/2),"Giữ sau lệnh "&amp;INT((ROW()-1)/2)))</x:f>
      </x:c>
    </x:row>
    <x:row r="10">
      <x:c r="A10" s="38" t="n">
        <x:f>ROW()-1</x:f>
        <x:v>9</x:v>
      </x:c>
      <x:c r="B1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" s="191" t="str">
        <x:f>IF(MOD(ROW(),2)=1,IF(B10="","",INDEX(XU_LY_LENH!$B$2:$B$61,INT((ROW()-1)/2))),IF(B10="","",INDEX(XU_LY_LENH!$I$2:$I$61,INT((ROW()-1)/2))))</x:f>
      </x:c>
      <x:c r="D10" s="191" t="str">
        <x:f>IF(MOD(ROW(),2)=1,IF(B10="","",IF(INDEX(XU_LY_LENH!$G$2:$G$61,INT((ROW()-1)/2))="HOLD",C10,MIN(INDEX(XU_LY_LENH!$I$2:$I$61,INT((ROW()-1)/2)),IF(IFERROR(INDEX(XU_LY_LENH!$C$2:$C$61,INT((ROW()-1)/2)+1),"")="",86400,IFERROR(INDEX(XU_LY_LENH!$B$2:$B$61,INT((ROW()-1)/2)+1),"")),86400))),IF(B10="","",MIN(IF(IFERROR(INDEX(XU_LY_LENH!$C$2:$C$61,INT((ROW()-1)/2)+1),"")="",86400,IFERROR(INDEX(XU_LY_LENH!$B$2:$B$61,INT((ROW()-1)/2)+1),"")),86400)))</x:f>
      </x:c>
      <x:c r="E10" s="191" t="str">
        <x:f>IF(MOD(ROW(),2)=1,IF(B10="","",INDEX(XU_LY_LENH!$F$2:$F$61,INT((ROW()-1)/2))),IF(B10="","",INDEX(XU_LY_LENH!$D$2:$D$61,INT((ROW()-1)/2))))</x:f>
      </x:c>
      <x:c r="F10" s="191" t="str">
        <x:f>IF(MOD(ROW(),2)=1,IF(B10="","",IF(INDEX(XU_LY_LENH!$G$2:$G$61,INT((ROW()-1)/2))="HOLD",E10,IF(D10&gt;=INDEX(XU_LY_LENH!$I$2:$I$61,INT((ROW()-1)/2)),INDEX(XU_LY_LENH!$D$2:$D$61,INT((ROW()-1)/2)),INDEX(XU_LY_LENH!$F$2:$F$61,INT((ROW()-1)/2))+(INDEX(XU_LY_LENH!$D$2:$D$61,INT((ROW()-1)/2))-INDEX(XU_LY_LENH!$F$2:$F$61,INT((ROW()-1)/2)))*(D10-INDEX(XU_LY_LENH!$B$2:$B$61,INT((ROW()-1)/2)))/MAX(INDEX(XU_LY_LENH!$I$2:$I$61,INT((ROW()-1)/2))-INDEX(XU_LY_LENH!$B$2:$B$61,INT((ROW()-1)/2)),0.000001)))),IF(B10="","",INDEX(XU_LY_LENH!$D$2:$D$61,INT((ROW()-1)/2))))</x:f>
      </x:c>
      <x:c r="G10" s="191" t="str">
        <x:f>IF(B10="","",D10-C10)</x:f>
      </x:c>
      <x:c r="H10" s="39" t="str">
        <x:f>IF(B10="","",IF(MOD(ROW(),2)=1,"Ramp lệnh "&amp;INT((ROW()-1)/2),"Giữ sau lệnh "&amp;INT((ROW()-1)/2)))</x:f>
      </x:c>
    </x:row>
    <x:row r="11">
      <x:c r="A11" s="38" t="n">
        <x:f>ROW()-1</x:f>
        <x:v>10</x:v>
      </x:c>
      <x:c r="B1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" s="191" t="str">
        <x:f>IF(MOD(ROW(),2)=1,IF(B11="","",INDEX(XU_LY_LENH!$B$2:$B$61,INT((ROW()-1)/2))),IF(B11="","",INDEX(XU_LY_LENH!$I$2:$I$61,INT((ROW()-1)/2))))</x:f>
      </x:c>
      <x:c r="D11" s="191" t="str">
        <x:f>IF(MOD(ROW(),2)=1,IF(B11="","",IF(INDEX(XU_LY_LENH!$G$2:$G$61,INT((ROW()-1)/2))="HOLD",C11,MIN(INDEX(XU_LY_LENH!$I$2:$I$61,INT((ROW()-1)/2)),IF(IFERROR(INDEX(XU_LY_LENH!$C$2:$C$61,INT((ROW()-1)/2)+1),"")="",86400,IFERROR(INDEX(XU_LY_LENH!$B$2:$B$61,INT((ROW()-1)/2)+1),"")),86400))),IF(B11="","",MIN(IF(IFERROR(INDEX(XU_LY_LENH!$C$2:$C$61,INT((ROW()-1)/2)+1),"")="",86400,IFERROR(INDEX(XU_LY_LENH!$B$2:$B$61,INT((ROW()-1)/2)+1),"")),86400)))</x:f>
      </x:c>
      <x:c r="E11" s="191" t="str">
        <x:f>IF(MOD(ROW(),2)=1,IF(B11="","",INDEX(XU_LY_LENH!$F$2:$F$61,INT((ROW()-1)/2))),IF(B11="","",INDEX(XU_LY_LENH!$D$2:$D$61,INT((ROW()-1)/2))))</x:f>
      </x:c>
      <x:c r="F11" s="191" t="str">
        <x:f>IF(MOD(ROW(),2)=1,IF(B11="","",IF(INDEX(XU_LY_LENH!$G$2:$G$61,INT((ROW()-1)/2))="HOLD",E11,IF(D11&gt;=INDEX(XU_LY_LENH!$I$2:$I$61,INT((ROW()-1)/2)),INDEX(XU_LY_LENH!$D$2:$D$61,INT((ROW()-1)/2)),INDEX(XU_LY_LENH!$F$2:$F$61,INT((ROW()-1)/2))+(INDEX(XU_LY_LENH!$D$2:$D$61,INT((ROW()-1)/2))-INDEX(XU_LY_LENH!$F$2:$F$61,INT((ROW()-1)/2)))*(D11-INDEX(XU_LY_LENH!$B$2:$B$61,INT((ROW()-1)/2)))/MAX(INDEX(XU_LY_LENH!$I$2:$I$61,INT((ROW()-1)/2))-INDEX(XU_LY_LENH!$B$2:$B$61,INT((ROW()-1)/2)),0.000001)))),IF(B11="","",INDEX(XU_LY_LENH!$D$2:$D$61,INT((ROW()-1)/2))))</x:f>
      </x:c>
      <x:c r="G11" s="191" t="str">
        <x:f>IF(B11="","",D11-C11)</x:f>
      </x:c>
      <x:c r="H11" s="39" t="str">
        <x:f>IF(B11="","",IF(MOD(ROW(),2)=1,"Ramp lệnh "&amp;INT((ROW()-1)/2),"Giữ sau lệnh "&amp;INT((ROW()-1)/2)))</x:f>
      </x:c>
    </x:row>
    <x:row r="12">
      <x:c r="A12" s="38" t="n">
        <x:f>ROW()-1</x:f>
        <x:v>11</x:v>
      </x:c>
      <x:c r="B12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2" s="191" t="str">
        <x:f>IF(MOD(ROW(),2)=1,IF(B12="","",INDEX(XU_LY_LENH!$B$2:$B$61,INT((ROW()-1)/2))),IF(B12="","",INDEX(XU_LY_LENH!$I$2:$I$61,INT((ROW()-1)/2))))</x:f>
      </x:c>
      <x:c r="D12" s="191" t="str">
        <x:f>IF(MOD(ROW(),2)=1,IF(B12="","",IF(INDEX(XU_LY_LENH!$G$2:$G$61,INT((ROW()-1)/2))="HOLD",C12,MIN(INDEX(XU_LY_LENH!$I$2:$I$61,INT((ROW()-1)/2)),IF(IFERROR(INDEX(XU_LY_LENH!$C$2:$C$61,INT((ROW()-1)/2)+1),"")="",86400,IFERROR(INDEX(XU_LY_LENH!$B$2:$B$61,INT((ROW()-1)/2)+1),"")),86400))),IF(B12="","",MIN(IF(IFERROR(INDEX(XU_LY_LENH!$C$2:$C$61,INT((ROW()-1)/2)+1),"")="",86400,IFERROR(INDEX(XU_LY_LENH!$B$2:$B$61,INT((ROW()-1)/2)+1),"")),86400)))</x:f>
      </x:c>
      <x:c r="E12" s="191" t="str">
        <x:f>IF(MOD(ROW(),2)=1,IF(B12="","",INDEX(XU_LY_LENH!$F$2:$F$61,INT((ROW()-1)/2))),IF(B12="","",INDEX(XU_LY_LENH!$D$2:$D$61,INT((ROW()-1)/2))))</x:f>
      </x:c>
      <x:c r="F12" s="191" t="str">
        <x:f>IF(MOD(ROW(),2)=1,IF(B12="","",IF(INDEX(XU_LY_LENH!$G$2:$G$61,INT((ROW()-1)/2))="HOLD",E12,IF(D12&gt;=INDEX(XU_LY_LENH!$I$2:$I$61,INT((ROW()-1)/2)),INDEX(XU_LY_LENH!$D$2:$D$61,INT((ROW()-1)/2)),INDEX(XU_LY_LENH!$F$2:$F$61,INT((ROW()-1)/2))+(INDEX(XU_LY_LENH!$D$2:$D$61,INT((ROW()-1)/2))-INDEX(XU_LY_LENH!$F$2:$F$61,INT((ROW()-1)/2)))*(D12-INDEX(XU_LY_LENH!$B$2:$B$61,INT((ROW()-1)/2)))/MAX(INDEX(XU_LY_LENH!$I$2:$I$61,INT((ROW()-1)/2))-INDEX(XU_LY_LENH!$B$2:$B$61,INT((ROW()-1)/2)),0.000001)))),IF(B12="","",INDEX(XU_LY_LENH!$D$2:$D$61,INT((ROW()-1)/2))))</x:f>
      </x:c>
      <x:c r="G12" s="191" t="str">
        <x:f>IF(B12="","",D12-C12)</x:f>
      </x:c>
      <x:c r="H12" s="39" t="str">
        <x:f>IF(B12="","",IF(MOD(ROW(),2)=1,"Ramp lệnh "&amp;INT((ROW()-1)/2),"Giữ sau lệnh "&amp;INT((ROW()-1)/2)))</x:f>
      </x:c>
    </x:row>
    <x:row r="13">
      <x:c r="A13" s="38" t="n">
        <x:f>ROW()-1</x:f>
        <x:v>12</x:v>
      </x:c>
      <x:c r="B1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3" s="191" t="str">
        <x:f>IF(MOD(ROW(),2)=1,IF(B13="","",INDEX(XU_LY_LENH!$B$2:$B$61,INT((ROW()-1)/2))),IF(B13="","",INDEX(XU_LY_LENH!$I$2:$I$61,INT((ROW()-1)/2))))</x:f>
      </x:c>
      <x:c r="D13" s="191" t="str">
        <x:f>IF(MOD(ROW(),2)=1,IF(B13="","",IF(INDEX(XU_LY_LENH!$G$2:$G$61,INT((ROW()-1)/2))="HOLD",C13,MIN(INDEX(XU_LY_LENH!$I$2:$I$61,INT((ROW()-1)/2)),IF(IFERROR(INDEX(XU_LY_LENH!$C$2:$C$61,INT((ROW()-1)/2)+1),"")="",86400,IFERROR(INDEX(XU_LY_LENH!$B$2:$B$61,INT((ROW()-1)/2)+1),"")),86400))),IF(B13="","",MIN(IF(IFERROR(INDEX(XU_LY_LENH!$C$2:$C$61,INT((ROW()-1)/2)+1),"")="",86400,IFERROR(INDEX(XU_LY_LENH!$B$2:$B$61,INT((ROW()-1)/2)+1),"")),86400)))</x:f>
      </x:c>
      <x:c r="E13" s="191" t="str">
        <x:f>IF(MOD(ROW(),2)=1,IF(B13="","",INDEX(XU_LY_LENH!$F$2:$F$61,INT((ROW()-1)/2))),IF(B13="","",INDEX(XU_LY_LENH!$D$2:$D$61,INT((ROW()-1)/2))))</x:f>
      </x:c>
      <x:c r="F13" s="191" t="str">
        <x:f>IF(MOD(ROW(),2)=1,IF(B13="","",IF(INDEX(XU_LY_LENH!$G$2:$G$61,INT((ROW()-1)/2))="HOLD",E13,IF(D13&gt;=INDEX(XU_LY_LENH!$I$2:$I$61,INT((ROW()-1)/2)),INDEX(XU_LY_LENH!$D$2:$D$61,INT((ROW()-1)/2)),INDEX(XU_LY_LENH!$F$2:$F$61,INT((ROW()-1)/2))+(INDEX(XU_LY_LENH!$D$2:$D$61,INT((ROW()-1)/2))-INDEX(XU_LY_LENH!$F$2:$F$61,INT((ROW()-1)/2)))*(D13-INDEX(XU_LY_LENH!$B$2:$B$61,INT((ROW()-1)/2)))/MAX(INDEX(XU_LY_LENH!$I$2:$I$61,INT((ROW()-1)/2))-INDEX(XU_LY_LENH!$B$2:$B$61,INT((ROW()-1)/2)),0.000001)))),IF(B13="","",INDEX(XU_LY_LENH!$D$2:$D$61,INT((ROW()-1)/2))))</x:f>
      </x:c>
      <x:c r="G13" s="191" t="str">
        <x:f>IF(B13="","",D13-C13)</x:f>
      </x:c>
      <x:c r="H13" s="39" t="str">
        <x:f>IF(B13="","",IF(MOD(ROW(),2)=1,"Ramp lệnh "&amp;INT((ROW()-1)/2),"Giữ sau lệnh "&amp;INT((ROW()-1)/2)))</x:f>
      </x:c>
    </x:row>
    <x:row r="14">
      <x:c r="A14" s="38" t="n">
        <x:f>ROW()-1</x:f>
        <x:v>13</x:v>
      </x:c>
      <x:c r="B1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4" s="191" t="str">
        <x:f>IF(MOD(ROW(),2)=1,IF(B14="","",INDEX(XU_LY_LENH!$B$2:$B$61,INT((ROW()-1)/2))),IF(B14="","",INDEX(XU_LY_LENH!$I$2:$I$61,INT((ROW()-1)/2))))</x:f>
      </x:c>
      <x:c r="D14" s="191" t="str">
        <x:f>IF(MOD(ROW(),2)=1,IF(B14="","",IF(INDEX(XU_LY_LENH!$G$2:$G$61,INT((ROW()-1)/2))="HOLD",C14,MIN(INDEX(XU_LY_LENH!$I$2:$I$61,INT((ROW()-1)/2)),IF(IFERROR(INDEX(XU_LY_LENH!$C$2:$C$61,INT((ROW()-1)/2)+1),"")="",86400,IFERROR(INDEX(XU_LY_LENH!$B$2:$B$61,INT((ROW()-1)/2)+1),"")),86400))),IF(B14="","",MIN(IF(IFERROR(INDEX(XU_LY_LENH!$C$2:$C$61,INT((ROW()-1)/2)+1),"")="",86400,IFERROR(INDEX(XU_LY_LENH!$B$2:$B$61,INT((ROW()-1)/2)+1),"")),86400)))</x:f>
      </x:c>
      <x:c r="E14" s="191" t="str">
        <x:f>IF(MOD(ROW(),2)=1,IF(B14="","",INDEX(XU_LY_LENH!$F$2:$F$61,INT((ROW()-1)/2))),IF(B14="","",INDEX(XU_LY_LENH!$D$2:$D$61,INT((ROW()-1)/2))))</x:f>
      </x:c>
      <x:c r="F14" s="191" t="str">
        <x:f>IF(MOD(ROW(),2)=1,IF(B14="","",IF(INDEX(XU_LY_LENH!$G$2:$G$61,INT((ROW()-1)/2))="HOLD",E14,IF(D14&gt;=INDEX(XU_LY_LENH!$I$2:$I$61,INT((ROW()-1)/2)),INDEX(XU_LY_LENH!$D$2:$D$61,INT((ROW()-1)/2)),INDEX(XU_LY_LENH!$F$2:$F$61,INT((ROW()-1)/2))+(INDEX(XU_LY_LENH!$D$2:$D$61,INT((ROW()-1)/2))-INDEX(XU_LY_LENH!$F$2:$F$61,INT((ROW()-1)/2)))*(D14-INDEX(XU_LY_LENH!$B$2:$B$61,INT((ROW()-1)/2)))/MAX(INDEX(XU_LY_LENH!$I$2:$I$61,INT((ROW()-1)/2))-INDEX(XU_LY_LENH!$B$2:$B$61,INT((ROW()-1)/2)),0.000001)))),IF(B14="","",INDEX(XU_LY_LENH!$D$2:$D$61,INT((ROW()-1)/2))))</x:f>
      </x:c>
      <x:c r="G14" s="191" t="str">
        <x:f>IF(B14="","",D14-C14)</x:f>
      </x:c>
      <x:c r="H14" s="39" t="str">
        <x:f>IF(B14="","",IF(MOD(ROW(),2)=1,"Ramp lệnh "&amp;INT((ROW()-1)/2),"Giữ sau lệnh "&amp;INT((ROW()-1)/2)))</x:f>
      </x:c>
    </x:row>
    <x:row r="15">
      <x:c r="A15" s="38" t="n">
        <x:f>ROW()-1</x:f>
        <x:v>14</x:v>
      </x:c>
      <x:c r="B1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5" s="191" t="str">
        <x:f>IF(MOD(ROW(),2)=1,IF(B15="","",INDEX(XU_LY_LENH!$B$2:$B$61,INT((ROW()-1)/2))),IF(B15="","",INDEX(XU_LY_LENH!$I$2:$I$61,INT((ROW()-1)/2))))</x:f>
      </x:c>
      <x:c r="D15" s="191" t="str">
        <x:f>IF(MOD(ROW(),2)=1,IF(B15="","",IF(INDEX(XU_LY_LENH!$G$2:$G$61,INT((ROW()-1)/2))="HOLD",C15,MIN(INDEX(XU_LY_LENH!$I$2:$I$61,INT((ROW()-1)/2)),IF(IFERROR(INDEX(XU_LY_LENH!$C$2:$C$61,INT((ROW()-1)/2)+1),"")="",86400,IFERROR(INDEX(XU_LY_LENH!$B$2:$B$61,INT((ROW()-1)/2)+1),"")),86400))),IF(B15="","",MIN(IF(IFERROR(INDEX(XU_LY_LENH!$C$2:$C$61,INT((ROW()-1)/2)+1),"")="",86400,IFERROR(INDEX(XU_LY_LENH!$B$2:$B$61,INT((ROW()-1)/2)+1),"")),86400)))</x:f>
      </x:c>
      <x:c r="E15" s="191" t="str">
        <x:f>IF(MOD(ROW(),2)=1,IF(B15="","",INDEX(XU_LY_LENH!$F$2:$F$61,INT((ROW()-1)/2))),IF(B15="","",INDEX(XU_LY_LENH!$D$2:$D$61,INT((ROW()-1)/2))))</x:f>
      </x:c>
      <x:c r="F15" s="191" t="str">
        <x:f>IF(MOD(ROW(),2)=1,IF(B15="","",IF(INDEX(XU_LY_LENH!$G$2:$G$61,INT((ROW()-1)/2))="HOLD",E15,IF(D15&gt;=INDEX(XU_LY_LENH!$I$2:$I$61,INT((ROW()-1)/2)),INDEX(XU_LY_LENH!$D$2:$D$61,INT((ROW()-1)/2)),INDEX(XU_LY_LENH!$F$2:$F$61,INT((ROW()-1)/2))+(INDEX(XU_LY_LENH!$D$2:$D$61,INT((ROW()-1)/2))-INDEX(XU_LY_LENH!$F$2:$F$61,INT((ROW()-1)/2)))*(D15-INDEX(XU_LY_LENH!$B$2:$B$61,INT((ROW()-1)/2)))/MAX(INDEX(XU_LY_LENH!$I$2:$I$61,INT((ROW()-1)/2))-INDEX(XU_LY_LENH!$B$2:$B$61,INT((ROW()-1)/2)),0.000001)))),IF(B15="","",INDEX(XU_LY_LENH!$D$2:$D$61,INT((ROW()-1)/2))))</x:f>
      </x:c>
      <x:c r="G15" s="191" t="str">
        <x:f>IF(B15="","",D15-C15)</x:f>
      </x:c>
      <x:c r="H15" s="39" t="str">
        <x:f>IF(B15="","",IF(MOD(ROW(),2)=1,"Ramp lệnh "&amp;INT((ROW()-1)/2),"Giữ sau lệnh "&amp;INT((ROW()-1)/2)))</x:f>
      </x:c>
    </x:row>
    <x:row r="16">
      <x:c r="A16" s="38" t="n">
        <x:f>ROW()-1</x:f>
        <x:v>15</x:v>
      </x:c>
      <x:c r="B1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6" s="191" t="str">
        <x:f>IF(MOD(ROW(),2)=1,IF(B16="","",INDEX(XU_LY_LENH!$B$2:$B$61,INT((ROW()-1)/2))),IF(B16="","",INDEX(XU_LY_LENH!$I$2:$I$61,INT((ROW()-1)/2))))</x:f>
      </x:c>
      <x:c r="D16" s="191" t="str">
        <x:f>IF(MOD(ROW(),2)=1,IF(B16="","",IF(INDEX(XU_LY_LENH!$G$2:$G$61,INT((ROW()-1)/2))="HOLD",C16,MIN(INDEX(XU_LY_LENH!$I$2:$I$61,INT((ROW()-1)/2)),IF(IFERROR(INDEX(XU_LY_LENH!$C$2:$C$61,INT((ROW()-1)/2)+1),"")="",86400,IFERROR(INDEX(XU_LY_LENH!$B$2:$B$61,INT((ROW()-1)/2)+1),"")),86400))),IF(B16="","",MIN(IF(IFERROR(INDEX(XU_LY_LENH!$C$2:$C$61,INT((ROW()-1)/2)+1),"")="",86400,IFERROR(INDEX(XU_LY_LENH!$B$2:$B$61,INT((ROW()-1)/2)+1),"")),86400)))</x:f>
      </x:c>
      <x:c r="E16" s="191" t="str">
        <x:f>IF(MOD(ROW(),2)=1,IF(B16="","",INDEX(XU_LY_LENH!$F$2:$F$61,INT((ROW()-1)/2))),IF(B16="","",INDEX(XU_LY_LENH!$D$2:$D$61,INT((ROW()-1)/2))))</x:f>
      </x:c>
      <x:c r="F16" s="191" t="str">
        <x:f>IF(MOD(ROW(),2)=1,IF(B16="","",IF(INDEX(XU_LY_LENH!$G$2:$G$61,INT((ROW()-1)/2))="HOLD",E16,IF(D16&gt;=INDEX(XU_LY_LENH!$I$2:$I$61,INT((ROW()-1)/2)),INDEX(XU_LY_LENH!$D$2:$D$61,INT((ROW()-1)/2)),INDEX(XU_LY_LENH!$F$2:$F$61,INT((ROW()-1)/2))+(INDEX(XU_LY_LENH!$D$2:$D$61,INT((ROW()-1)/2))-INDEX(XU_LY_LENH!$F$2:$F$61,INT((ROW()-1)/2)))*(D16-INDEX(XU_LY_LENH!$B$2:$B$61,INT((ROW()-1)/2)))/MAX(INDEX(XU_LY_LENH!$I$2:$I$61,INT((ROW()-1)/2))-INDEX(XU_LY_LENH!$B$2:$B$61,INT((ROW()-1)/2)),0.000001)))),IF(B16="","",INDEX(XU_LY_LENH!$D$2:$D$61,INT((ROW()-1)/2))))</x:f>
      </x:c>
      <x:c r="G16" s="191" t="str">
        <x:f>IF(B16="","",D16-C16)</x:f>
      </x:c>
      <x:c r="H16" s="39" t="str">
        <x:f>IF(B16="","",IF(MOD(ROW(),2)=1,"Ramp lệnh "&amp;INT((ROW()-1)/2),"Giữ sau lệnh "&amp;INT((ROW()-1)/2)))</x:f>
      </x:c>
    </x:row>
    <x:row r="17">
      <x:c r="A17" s="38" t="n">
        <x:f>ROW()-1</x:f>
        <x:v>16</x:v>
      </x:c>
      <x:c r="B1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7" s="191" t="str">
        <x:f>IF(MOD(ROW(),2)=1,IF(B17="","",INDEX(XU_LY_LENH!$B$2:$B$61,INT((ROW()-1)/2))),IF(B17="","",INDEX(XU_LY_LENH!$I$2:$I$61,INT((ROW()-1)/2))))</x:f>
      </x:c>
      <x:c r="D17" s="191" t="str">
        <x:f>IF(MOD(ROW(),2)=1,IF(B17="","",IF(INDEX(XU_LY_LENH!$G$2:$G$61,INT((ROW()-1)/2))="HOLD",C17,MIN(INDEX(XU_LY_LENH!$I$2:$I$61,INT((ROW()-1)/2)),IF(IFERROR(INDEX(XU_LY_LENH!$C$2:$C$61,INT((ROW()-1)/2)+1),"")="",86400,IFERROR(INDEX(XU_LY_LENH!$B$2:$B$61,INT((ROW()-1)/2)+1),"")),86400))),IF(B17="","",MIN(IF(IFERROR(INDEX(XU_LY_LENH!$C$2:$C$61,INT((ROW()-1)/2)+1),"")="",86400,IFERROR(INDEX(XU_LY_LENH!$B$2:$B$61,INT((ROW()-1)/2)+1),"")),86400)))</x:f>
      </x:c>
      <x:c r="E17" s="191" t="str">
        <x:f>IF(MOD(ROW(),2)=1,IF(B17="","",INDEX(XU_LY_LENH!$F$2:$F$61,INT((ROW()-1)/2))),IF(B17="","",INDEX(XU_LY_LENH!$D$2:$D$61,INT((ROW()-1)/2))))</x:f>
      </x:c>
      <x:c r="F17" s="191" t="str">
        <x:f>IF(MOD(ROW(),2)=1,IF(B17="","",IF(INDEX(XU_LY_LENH!$G$2:$G$61,INT((ROW()-1)/2))="HOLD",E17,IF(D17&gt;=INDEX(XU_LY_LENH!$I$2:$I$61,INT((ROW()-1)/2)),INDEX(XU_LY_LENH!$D$2:$D$61,INT((ROW()-1)/2)),INDEX(XU_LY_LENH!$F$2:$F$61,INT((ROW()-1)/2))+(INDEX(XU_LY_LENH!$D$2:$D$61,INT((ROW()-1)/2))-INDEX(XU_LY_LENH!$F$2:$F$61,INT((ROW()-1)/2)))*(D17-INDEX(XU_LY_LENH!$B$2:$B$61,INT((ROW()-1)/2)))/MAX(INDEX(XU_LY_LENH!$I$2:$I$61,INT((ROW()-1)/2))-INDEX(XU_LY_LENH!$B$2:$B$61,INT((ROW()-1)/2)),0.000001)))),IF(B17="","",INDEX(XU_LY_LENH!$D$2:$D$61,INT((ROW()-1)/2))))</x:f>
      </x:c>
      <x:c r="G17" s="191" t="str">
        <x:f>IF(B17="","",D17-C17)</x:f>
      </x:c>
      <x:c r="H17" s="39" t="str">
        <x:f>IF(B17="","",IF(MOD(ROW(),2)=1,"Ramp lệnh "&amp;INT((ROW()-1)/2),"Giữ sau lệnh "&amp;INT((ROW()-1)/2)))</x:f>
      </x:c>
    </x:row>
    <x:row r="18">
      <x:c r="A18" s="38" t="n">
        <x:f>ROW()-1</x:f>
        <x:v>17</x:v>
      </x:c>
      <x:c r="B1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8" s="191" t="str">
        <x:f>IF(MOD(ROW(),2)=1,IF(B18="","",INDEX(XU_LY_LENH!$B$2:$B$61,INT((ROW()-1)/2))),IF(B18="","",INDEX(XU_LY_LENH!$I$2:$I$61,INT((ROW()-1)/2))))</x:f>
      </x:c>
      <x:c r="D18" s="191" t="str">
        <x:f>IF(MOD(ROW(),2)=1,IF(B18="","",IF(INDEX(XU_LY_LENH!$G$2:$G$61,INT((ROW()-1)/2))="HOLD",C18,MIN(INDEX(XU_LY_LENH!$I$2:$I$61,INT((ROW()-1)/2)),IF(IFERROR(INDEX(XU_LY_LENH!$C$2:$C$61,INT((ROW()-1)/2)+1),"")="",86400,IFERROR(INDEX(XU_LY_LENH!$B$2:$B$61,INT((ROW()-1)/2)+1),"")),86400))),IF(B18="","",MIN(IF(IFERROR(INDEX(XU_LY_LENH!$C$2:$C$61,INT((ROW()-1)/2)+1),"")="",86400,IFERROR(INDEX(XU_LY_LENH!$B$2:$B$61,INT((ROW()-1)/2)+1),"")),86400)))</x:f>
      </x:c>
      <x:c r="E18" s="191" t="str">
        <x:f>IF(MOD(ROW(),2)=1,IF(B18="","",INDEX(XU_LY_LENH!$F$2:$F$61,INT((ROW()-1)/2))),IF(B18="","",INDEX(XU_LY_LENH!$D$2:$D$61,INT((ROW()-1)/2))))</x:f>
      </x:c>
      <x:c r="F18" s="191" t="str">
        <x:f>IF(MOD(ROW(),2)=1,IF(B18="","",IF(INDEX(XU_LY_LENH!$G$2:$G$61,INT((ROW()-1)/2))="HOLD",E18,IF(D18&gt;=INDEX(XU_LY_LENH!$I$2:$I$61,INT((ROW()-1)/2)),INDEX(XU_LY_LENH!$D$2:$D$61,INT((ROW()-1)/2)),INDEX(XU_LY_LENH!$F$2:$F$61,INT((ROW()-1)/2))+(INDEX(XU_LY_LENH!$D$2:$D$61,INT((ROW()-1)/2))-INDEX(XU_LY_LENH!$F$2:$F$61,INT((ROW()-1)/2)))*(D18-INDEX(XU_LY_LENH!$B$2:$B$61,INT((ROW()-1)/2)))/MAX(INDEX(XU_LY_LENH!$I$2:$I$61,INT((ROW()-1)/2))-INDEX(XU_LY_LENH!$B$2:$B$61,INT((ROW()-1)/2)),0.000001)))),IF(B18="","",INDEX(XU_LY_LENH!$D$2:$D$61,INT((ROW()-1)/2))))</x:f>
      </x:c>
      <x:c r="G18" s="191" t="str">
        <x:f>IF(B18="","",D18-C18)</x:f>
      </x:c>
      <x:c r="H18" s="39" t="str">
        <x:f>IF(B18="","",IF(MOD(ROW(),2)=1,"Ramp lệnh "&amp;INT((ROW()-1)/2),"Giữ sau lệnh "&amp;INT((ROW()-1)/2)))</x:f>
      </x:c>
    </x:row>
    <x:row r="19">
      <x:c r="A19" s="38" t="n">
        <x:f>ROW()-1</x:f>
        <x:v>18</x:v>
      </x:c>
      <x:c r="B1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9" s="191" t="str">
        <x:f>IF(MOD(ROW(),2)=1,IF(B19="","",INDEX(XU_LY_LENH!$B$2:$B$61,INT((ROW()-1)/2))),IF(B19="","",INDEX(XU_LY_LENH!$I$2:$I$61,INT((ROW()-1)/2))))</x:f>
      </x:c>
      <x:c r="D19" s="191" t="str">
        <x:f>IF(MOD(ROW(),2)=1,IF(B19="","",IF(INDEX(XU_LY_LENH!$G$2:$G$61,INT((ROW()-1)/2))="HOLD",C19,MIN(INDEX(XU_LY_LENH!$I$2:$I$61,INT((ROW()-1)/2)),IF(IFERROR(INDEX(XU_LY_LENH!$C$2:$C$61,INT((ROW()-1)/2)+1),"")="",86400,IFERROR(INDEX(XU_LY_LENH!$B$2:$B$61,INT((ROW()-1)/2)+1),"")),86400))),IF(B19="","",MIN(IF(IFERROR(INDEX(XU_LY_LENH!$C$2:$C$61,INT((ROW()-1)/2)+1),"")="",86400,IFERROR(INDEX(XU_LY_LENH!$B$2:$B$61,INT((ROW()-1)/2)+1),"")),86400)))</x:f>
      </x:c>
      <x:c r="E19" s="191" t="str">
        <x:f>IF(MOD(ROW(),2)=1,IF(B19="","",INDEX(XU_LY_LENH!$F$2:$F$61,INT((ROW()-1)/2))),IF(B19="","",INDEX(XU_LY_LENH!$D$2:$D$61,INT((ROW()-1)/2))))</x:f>
      </x:c>
      <x:c r="F19" s="191" t="str">
        <x:f>IF(MOD(ROW(),2)=1,IF(B19="","",IF(INDEX(XU_LY_LENH!$G$2:$G$61,INT((ROW()-1)/2))="HOLD",E19,IF(D19&gt;=INDEX(XU_LY_LENH!$I$2:$I$61,INT((ROW()-1)/2)),INDEX(XU_LY_LENH!$D$2:$D$61,INT((ROW()-1)/2)),INDEX(XU_LY_LENH!$F$2:$F$61,INT((ROW()-1)/2))+(INDEX(XU_LY_LENH!$D$2:$D$61,INT((ROW()-1)/2))-INDEX(XU_LY_LENH!$F$2:$F$61,INT((ROW()-1)/2)))*(D19-INDEX(XU_LY_LENH!$B$2:$B$61,INT((ROW()-1)/2)))/MAX(INDEX(XU_LY_LENH!$I$2:$I$61,INT((ROW()-1)/2))-INDEX(XU_LY_LENH!$B$2:$B$61,INT((ROW()-1)/2)),0.000001)))),IF(B19="","",INDEX(XU_LY_LENH!$D$2:$D$61,INT((ROW()-1)/2))))</x:f>
      </x:c>
      <x:c r="G19" s="191" t="str">
        <x:f>IF(B19="","",D19-C19)</x:f>
      </x:c>
      <x:c r="H19" s="39" t="str">
        <x:f>IF(B19="","",IF(MOD(ROW(),2)=1,"Ramp lệnh "&amp;INT((ROW()-1)/2),"Giữ sau lệnh "&amp;INT((ROW()-1)/2)))</x:f>
      </x:c>
    </x:row>
    <x:row r="20">
      <x:c r="A20" s="38" t="n">
        <x:f>ROW()-1</x:f>
        <x:v>19</x:v>
      </x:c>
      <x:c r="B2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0" s="191" t="str">
        <x:f>IF(MOD(ROW(),2)=1,IF(B20="","",INDEX(XU_LY_LENH!$B$2:$B$61,INT((ROW()-1)/2))),IF(B20="","",INDEX(XU_LY_LENH!$I$2:$I$61,INT((ROW()-1)/2))))</x:f>
      </x:c>
      <x:c r="D20" s="191" t="str">
        <x:f>IF(MOD(ROW(),2)=1,IF(B20="","",IF(INDEX(XU_LY_LENH!$G$2:$G$61,INT((ROW()-1)/2))="HOLD",C20,MIN(INDEX(XU_LY_LENH!$I$2:$I$61,INT((ROW()-1)/2)),IF(IFERROR(INDEX(XU_LY_LENH!$C$2:$C$61,INT((ROW()-1)/2)+1),"")="",86400,IFERROR(INDEX(XU_LY_LENH!$B$2:$B$61,INT((ROW()-1)/2)+1),"")),86400))),IF(B20="","",MIN(IF(IFERROR(INDEX(XU_LY_LENH!$C$2:$C$61,INT((ROW()-1)/2)+1),"")="",86400,IFERROR(INDEX(XU_LY_LENH!$B$2:$B$61,INT((ROW()-1)/2)+1),"")),86400)))</x:f>
      </x:c>
      <x:c r="E20" s="191" t="str">
        <x:f>IF(MOD(ROW(),2)=1,IF(B20="","",INDEX(XU_LY_LENH!$F$2:$F$61,INT((ROW()-1)/2))),IF(B20="","",INDEX(XU_LY_LENH!$D$2:$D$61,INT((ROW()-1)/2))))</x:f>
      </x:c>
      <x:c r="F20" s="191" t="str">
        <x:f>IF(MOD(ROW(),2)=1,IF(B20="","",IF(INDEX(XU_LY_LENH!$G$2:$G$61,INT((ROW()-1)/2))="HOLD",E20,IF(D20&gt;=INDEX(XU_LY_LENH!$I$2:$I$61,INT((ROW()-1)/2)),INDEX(XU_LY_LENH!$D$2:$D$61,INT((ROW()-1)/2)),INDEX(XU_LY_LENH!$F$2:$F$61,INT((ROW()-1)/2))+(INDEX(XU_LY_LENH!$D$2:$D$61,INT((ROW()-1)/2))-INDEX(XU_LY_LENH!$F$2:$F$61,INT((ROW()-1)/2)))*(D20-INDEX(XU_LY_LENH!$B$2:$B$61,INT((ROW()-1)/2)))/MAX(INDEX(XU_LY_LENH!$I$2:$I$61,INT((ROW()-1)/2))-INDEX(XU_LY_LENH!$B$2:$B$61,INT((ROW()-1)/2)),0.000001)))),IF(B20="","",INDEX(XU_LY_LENH!$D$2:$D$61,INT((ROW()-1)/2))))</x:f>
      </x:c>
      <x:c r="G20" s="191" t="str">
        <x:f>IF(B20="","",D20-C20)</x:f>
      </x:c>
      <x:c r="H20" s="39" t="str">
        <x:f>IF(B20="","",IF(MOD(ROW(),2)=1,"Ramp lệnh "&amp;INT((ROW()-1)/2),"Giữ sau lệnh "&amp;INT((ROW()-1)/2)))</x:f>
      </x:c>
    </x:row>
    <x:row r="21">
      <x:c r="A21" s="38" t="n">
        <x:f>ROW()-1</x:f>
        <x:v>20</x:v>
      </x:c>
      <x:c r="B2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1" s="191" t="str">
        <x:f>IF(MOD(ROW(),2)=1,IF(B21="","",INDEX(XU_LY_LENH!$B$2:$B$61,INT((ROW()-1)/2))),IF(B21="","",INDEX(XU_LY_LENH!$I$2:$I$61,INT((ROW()-1)/2))))</x:f>
      </x:c>
      <x:c r="D21" s="191" t="str">
        <x:f>IF(MOD(ROW(),2)=1,IF(B21="","",IF(INDEX(XU_LY_LENH!$G$2:$G$61,INT((ROW()-1)/2))="HOLD",C21,MIN(INDEX(XU_LY_LENH!$I$2:$I$61,INT((ROW()-1)/2)),IF(IFERROR(INDEX(XU_LY_LENH!$C$2:$C$61,INT((ROW()-1)/2)+1),"")="",86400,IFERROR(INDEX(XU_LY_LENH!$B$2:$B$61,INT((ROW()-1)/2)+1),"")),86400))),IF(B21="","",MIN(IF(IFERROR(INDEX(XU_LY_LENH!$C$2:$C$61,INT((ROW()-1)/2)+1),"")="",86400,IFERROR(INDEX(XU_LY_LENH!$B$2:$B$61,INT((ROW()-1)/2)+1),"")),86400)))</x:f>
      </x:c>
      <x:c r="E21" s="191" t="str">
        <x:f>IF(MOD(ROW(),2)=1,IF(B21="","",INDEX(XU_LY_LENH!$F$2:$F$61,INT((ROW()-1)/2))),IF(B21="","",INDEX(XU_LY_LENH!$D$2:$D$61,INT((ROW()-1)/2))))</x:f>
      </x:c>
      <x:c r="F21" s="191" t="str">
        <x:f>IF(MOD(ROW(),2)=1,IF(B21="","",IF(INDEX(XU_LY_LENH!$G$2:$G$61,INT((ROW()-1)/2))="HOLD",E21,IF(D21&gt;=INDEX(XU_LY_LENH!$I$2:$I$61,INT((ROW()-1)/2)),INDEX(XU_LY_LENH!$D$2:$D$61,INT((ROW()-1)/2)),INDEX(XU_LY_LENH!$F$2:$F$61,INT((ROW()-1)/2))+(INDEX(XU_LY_LENH!$D$2:$D$61,INT((ROW()-1)/2))-INDEX(XU_LY_LENH!$F$2:$F$61,INT((ROW()-1)/2)))*(D21-INDEX(XU_LY_LENH!$B$2:$B$61,INT((ROW()-1)/2)))/MAX(INDEX(XU_LY_LENH!$I$2:$I$61,INT((ROW()-1)/2))-INDEX(XU_LY_LENH!$B$2:$B$61,INT((ROW()-1)/2)),0.000001)))),IF(B21="","",INDEX(XU_LY_LENH!$D$2:$D$61,INT((ROW()-1)/2))))</x:f>
      </x:c>
      <x:c r="G21" s="191" t="str">
        <x:f>IF(B21="","",D21-C21)</x:f>
      </x:c>
      <x:c r="H21" s="39" t="str">
        <x:f>IF(B21="","",IF(MOD(ROW(),2)=1,"Ramp lệnh "&amp;INT((ROW()-1)/2),"Giữ sau lệnh "&amp;INT((ROW()-1)/2)))</x:f>
      </x:c>
    </x:row>
    <x:row r="22">
      <x:c r="A22" s="38" t="n">
        <x:f>ROW()-1</x:f>
        <x:v>21</x:v>
      </x:c>
      <x:c r="B22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2" s="191" t="str">
        <x:f>IF(MOD(ROW(),2)=1,IF(B22="","",INDEX(XU_LY_LENH!$B$2:$B$61,INT((ROW()-1)/2))),IF(B22="","",INDEX(XU_LY_LENH!$I$2:$I$61,INT((ROW()-1)/2))))</x:f>
      </x:c>
      <x:c r="D22" s="191" t="str">
        <x:f>IF(MOD(ROW(),2)=1,IF(B22="","",IF(INDEX(XU_LY_LENH!$G$2:$G$61,INT((ROW()-1)/2))="HOLD",C22,MIN(INDEX(XU_LY_LENH!$I$2:$I$61,INT((ROW()-1)/2)),IF(IFERROR(INDEX(XU_LY_LENH!$C$2:$C$61,INT((ROW()-1)/2)+1),"")="",86400,IFERROR(INDEX(XU_LY_LENH!$B$2:$B$61,INT((ROW()-1)/2)+1),"")),86400))),IF(B22="","",MIN(IF(IFERROR(INDEX(XU_LY_LENH!$C$2:$C$61,INT((ROW()-1)/2)+1),"")="",86400,IFERROR(INDEX(XU_LY_LENH!$B$2:$B$61,INT((ROW()-1)/2)+1),"")),86400)))</x:f>
      </x:c>
      <x:c r="E22" s="191" t="str">
        <x:f>IF(MOD(ROW(),2)=1,IF(B22="","",INDEX(XU_LY_LENH!$F$2:$F$61,INT((ROW()-1)/2))),IF(B22="","",INDEX(XU_LY_LENH!$D$2:$D$61,INT((ROW()-1)/2))))</x:f>
      </x:c>
      <x:c r="F22" s="191" t="str">
        <x:f>IF(MOD(ROW(),2)=1,IF(B22="","",IF(INDEX(XU_LY_LENH!$G$2:$G$61,INT((ROW()-1)/2))="HOLD",E22,IF(D22&gt;=INDEX(XU_LY_LENH!$I$2:$I$61,INT((ROW()-1)/2)),INDEX(XU_LY_LENH!$D$2:$D$61,INT((ROW()-1)/2)),INDEX(XU_LY_LENH!$F$2:$F$61,INT((ROW()-1)/2))+(INDEX(XU_LY_LENH!$D$2:$D$61,INT((ROW()-1)/2))-INDEX(XU_LY_LENH!$F$2:$F$61,INT((ROW()-1)/2)))*(D22-INDEX(XU_LY_LENH!$B$2:$B$61,INT((ROW()-1)/2)))/MAX(INDEX(XU_LY_LENH!$I$2:$I$61,INT((ROW()-1)/2))-INDEX(XU_LY_LENH!$B$2:$B$61,INT((ROW()-1)/2)),0.000001)))),IF(B22="","",INDEX(XU_LY_LENH!$D$2:$D$61,INT((ROW()-1)/2))))</x:f>
      </x:c>
      <x:c r="G22" s="191" t="str">
        <x:f>IF(B22="","",D22-C22)</x:f>
      </x:c>
      <x:c r="H22" s="39" t="str">
        <x:f>IF(B22="","",IF(MOD(ROW(),2)=1,"Ramp lệnh "&amp;INT((ROW()-1)/2),"Giữ sau lệnh "&amp;INT((ROW()-1)/2)))</x:f>
      </x:c>
    </x:row>
    <x:row r="23">
      <x:c r="A23" s="38" t="n">
        <x:f>ROW()-1</x:f>
        <x:v>22</x:v>
      </x:c>
      <x:c r="B2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3" s="191" t="str">
        <x:f>IF(MOD(ROW(),2)=1,IF(B23="","",INDEX(XU_LY_LENH!$B$2:$B$61,INT((ROW()-1)/2))),IF(B23="","",INDEX(XU_LY_LENH!$I$2:$I$61,INT((ROW()-1)/2))))</x:f>
      </x:c>
      <x:c r="D23" s="191" t="str">
        <x:f>IF(MOD(ROW(),2)=1,IF(B23="","",IF(INDEX(XU_LY_LENH!$G$2:$G$61,INT((ROW()-1)/2))="HOLD",C23,MIN(INDEX(XU_LY_LENH!$I$2:$I$61,INT((ROW()-1)/2)),IF(IFERROR(INDEX(XU_LY_LENH!$C$2:$C$61,INT((ROW()-1)/2)+1),"")="",86400,IFERROR(INDEX(XU_LY_LENH!$B$2:$B$61,INT((ROW()-1)/2)+1),"")),86400))),IF(B23="","",MIN(IF(IFERROR(INDEX(XU_LY_LENH!$C$2:$C$61,INT((ROW()-1)/2)+1),"")="",86400,IFERROR(INDEX(XU_LY_LENH!$B$2:$B$61,INT((ROW()-1)/2)+1),"")),86400)))</x:f>
      </x:c>
      <x:c r="E23" s="191" t="str">
        <x:f>IF(MOD(ROW(),2)=1,IF(B23="","",INDEX(XU_LY_LENH!$F$2:$F$61,INT((ROW()-1)/2))),IF(B23="","",INDEX(XU_LY_LENH!$D$2:$D$61,INT((ROW()-1)/2))))</x:f>
      </x:c>
      <x:c r="F23" s="191" t="str">
        <x:f>IF(MOD(ROW(),2)=1,IF(B23="","",IF(INDEX(XU_LY_LENH!$G$2:$G$61,INT((ROW()-1)/2))="HOLD",E23,IF(D23&gt;=INDEX(XU_LY_LENH!$I$2:$I$61,INT((ROW()-1)/2)),INDEX(XU_LY_LENH!$D$2:$D$61,INT((ROW()-1)/2)),INDEX(XU_LY_LENH!$F$2:$F$61,INT((ROW()-1)/2))+(INDEX(XU_LY_LENH!$D$2:$D$61,INT((ROW()-1)/2))-INDEX(XU_LY_LENH!$F$2:$F$61,INT((ROW()-1)/2)))*(D23-INDEX(XU_LY_LENH!$B$2:$B$61,INT((ROW()-1)/2)))/MAX(INDEX(XU_LY_LENH!$I$2:$I$61,INT((ROW()-1)/2))-INDEX(XU_LY_LENH!$B$2:$B$61,INT((ROW()-1)/2)),0.000001)))),IF(B23="","",INDEX(XU_LY_LENH!$D$2:$D$61,INT((ROW()-1)/2))))</x:f>
      </x:c>
      <x:c r="G23" s="191" t="str">
        <x:f>IF(B23="","",D23-C23)</x:f>
      </x:c>
      <x:c r="H23" s="39" t="str">
        <x:f>IF(B23="","",IF(MOD(ROW(),2)=1,"Ramp lệnh "&amp;INT((ROW()-1)/2),"Giữ sau lệnh "&amp;INT((ROW()-1)/2)))</x:f>
      </x:c>
    </x:row>
    <x:row r="24">
      <x:c r="A24" s="38" t="n">
        <x:f>ROW()-1</x:f>
        <x:v>23</x:v>
      </x:c>
      <x:c r="B2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4" s="191" t="str">
        <x:f>IF(MOD(ROW(),2)=1,IF(B24="","",INDEX(XU_LY_LENH!$B$2:$B$61,INT((ROW()-1)/2))),IF(B24="","",INDEX(XU_LY_LENH!$I$2:$I$61,INT((ROW()-1)/2))))</x:f>
      </x:c>
      <x:c r="D24" s="191" t="str">
        <x:f>IF(MOD(ROW(),2)=1,IF(B24="","",IF(INDEX(XU_LY_LENH!$G$2:$G$61,INT((ROW()-1)/2))="HOLD",C24,MIN(INDEX(XU_LY_LENH!$I$2:$I$61,INT((ROW()-1)/2)),IF(IFERROR(INDEX(XU_LY_LENH!$C$2:$C$61,INT((ROW()-1)/2)+1),"")="",86400,IFERROR(INDEX(XU_LY_LENH!$B$2:$B$61,INT((ROW()-1)/2)+1),"")),86400))),IF(B24="","",MIN(IF(IFERROR(INDEX(XU_LY_LENH!$C$2:$C$61,INT((ROW()-1)/2)+1),"")="",86400,IFERROR(INDEX(XU_LY_LENH!$B$2:$B$61,INT((ROW()-1)/2)+1),"")),86400)))</x:f>
      </x:c>
      <x:c r="E24" s="191" t="str">
        <x:f>IF(MOD(ROW(),2)=1,IF(B24="","",INDEX(XU_LY_LENH!$F$2:$F$61,INT((ROW()-1)/2))),IF(B24="","",INDEX(XU_LY_LENH!$D$2:$D$61,INT((ROW()-1)/2))))</x:f>
      </x:c>
      <x:c r="F24" s="191" t="str">
        <x:f>IF(MOD(ROW(),2)=1,IF(B24="","",IF(INDEX(XU_LY_LENH!$G$2:$G$61,INT((ROW()-1)/2))="HOLD",E24,IF(D24&gt;=INDEX(XU_LY_LENH!$I$2:$I$61,INT((ROW()-1)/2)),INDEX(XU_LY_LENH!$D$2:$D$61,INT((ROW()-1)/2)),INDEX(XU_LY_LENH!$F$2:$F$61,INT((ROW()-1)/2))+(INDEX(XU_LY_LENH!$D$2:$D$61,INT((ROW()-1)/2))-INDEX(XU_LY_LENH!$F$2:$F$61,INT((ROW()-1)/2)))*(D24-INDEX(XU_LY_LENH!$B$2:$B$61,INT((ROW()-1)/2)))/MAX(INDEX(XU_LY_LENH!$I$2:$I$61,INT((ROW()-1)/2))-INDEX(XU_LY_LENH!$B$2:$B$61,INT((ROW()-1)/2)),0.000001)))),IF(B24="","",INDEX(XU_LY_LENH!$D$2:$D$61,INT((ROW()-1)/2))))</x:f>
      </x:c>
      <x:c r="G24" s="191" t="str">
        <x:f>IF(B24="","",D24-C24)</x:f>
      </x:c>
      <x:c r="H24" s="39" t="str">
        <x:f>IF(B24="","",IF(MOD(ROW(),2)=1,"Ramp lệnh "&amp;INT((ROW()-1)/2),"Giữ sau lệnh "&amp;INT((ROW()-1)/2)))</x:f>
      </x:c>
    </x:row>
    <x:row r="25">
      <x:c r="A25" s="38" t="n">
        <x:f>ROW()-1</x:f>
        <x:v>24</x:v>
      </x:c>
      <x:c r="B2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5" s="191" t="str">
        <x:f>IF(MOD(ROW(),2)=1,IF(B25="","",INDEX(XU_LY_LENH!$B$2:$B$61,INT((ROW()-1)/2))),IF(B25="","",INDEX(XU_LY_LENH!$I$2:$I$61,INT((ROW()-1)/2))))</x:f>
      </x:c>
      <x:c r="D25" s="191" t="str">
        <x:f>IF(MOD(ROW(),2)=1,IF(B25="","",IF(INDEX(XU_LY_LENH!$G$2:$G$61,INT((ROW()-1)/2))="HOLD",C25,MIN(INDEX(XU_LY_LENH!$I$2:$I$61,INT((ROW()-1)/2)),IF(IFERROR(INDEX(XU_LY_LENH!$C$2:$C$61,INT((ROW()-1)/2)+1),"")="",86400,IFERROR(INDEX(XU_LY_LENH!$B$2:$B$61,INT((ROW()-1)/2)+1),"")),86400))),IF(B25="","",MIN(IF(IFERROR(INDEX(XU_LY_LENH!$C$2:$C$61,INT((ROW()-1)/2)+1),"")="",86400,IFERROR(INDEX(XU_LY_LENH!$B$2:$B$61,INT((ROW()-1)/2)+1),"")),86400)))</x:f>
      </x:c>
      <x:c r="E25" s="191" t="str">
        <x:f>IF(MOD(ROW(),2)=1,IF(B25="","",INDEX(XU_LY_LENH!$F$2:$F$61,INT((ROW()-1)/2))),IF(B25="","",INDEX(XU_LY_LENH!$D$2:$D$61,INT((ROW()-1)/2))))</x:f>
      </x:c>
      <x:c r="F25" s="191" t="str">
        <x:f>IF(MOD(ROW(),2)=1,IF(B25="","",IF(INDEX(XU_LY_LENH!$G$2:$G$61,INT((ROW()-1)/2))="HOLD",E25,IF(D25&gt;=INDEX(XU_LY_LENH!$I$2:$I$61,INT((ROW()-1)/2)),INDEX(XU_LY_LENH!$D$2:$D$61,INT((ROW()-1)/2)),INDEX(XU_LY_LENH!$F$2:$F$61,INT((ROW()-1)/2))+(INDEX(XU_LY_LENH!$D$2:$D$61,INT((ROW()-1)/2))-INDEX(XU_LY_LENH!$F$2:$F$61,INT((ROW()-1)/2)))*(D25-INDEX(XU_LY_LENH!$B$2:$B$61,INT((ROW()-1)/2)))/MAX(INDEX(XU_LY_LENH!$I$2:$I$61,INT((ROW()-1)/2))-INDEX(XU_LY_LENH!$B$2:$B$61,INT((ROW()-1)/2)),0.000001)))),IF(B25="","",INDEX(XU_LY_LENH!$D$2:$D$61,INT((ROW()-1)/2))))</x:f>
      </x:c>
      <x:c r="G25" s="191" t="str">
        <x:f>IF(B25="","",D25-C25)</x:f>
      </x:c>
      <x:c r="H25" s="39" t="str">
        <x:f>IF(B25="","",IF(MOD(ROW(),2)=1,"Ramp lệnh "&amp;INT((ROW()-1)/2),"Giữ sau lệnh "&amp;INT((ROW()-1)/2)))</x:f>
      </x:c>
    </x:row>
    <x:row r="26">
      <x:c r="A26" s="38" t="n">
        <x:f>ROW()-1</x:f>
        <x:v>25</x:v>
      </x:c>
      <x:c r="B2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6" s="191" t="str">
        <x:f>IF(MOD(ROW(),2)=1,IF(B26="","",INDEX(XU_LY_LENH!$B$2:$B$61,INT((ROW()-1)/2))),IF(B26="","",INDEX(XU_LY_LENH!$I$2:$I$61,INT((ROW()-1)/2))))</x:f>
      </x:c>
      <x:c r="D26" s="191" t="str">
        <x:f>IF(MOD(ROW(),2)=1,IF(B26="","",IF(INDEX(XU_LY_LENH!$G$2:$G$61,INT((ROW()-1)/2))="HOLD",C26,MIN(INDEX(XU_LY_LENH!$I$2:$I$61,INT((ROW()-1)/2)),IF(IFERROR(INDEX(XU_LY_LENH!$C$2:$C$61,INT((ROW()-1)/2)+1),"")="",86400,IFERROR(INDEX(XU_LY_LENH!$B$2:$B$61,INT((ROW()-1)/2)+1),"")),86400))),IF(B26="","",MIN(IF(IFERROR(INDEX(XU_LY_LENH!$C$2:$C$61,INT((ROW()-1)/2)+1),"")="",86400,IFERROR(INDEX(XU_LY_LENH!$B$2:$B$61,INT((ROW()-1)/2)+1),"")),86400)))</x:f>
      </x:c>
      <x:c r="E26" s="191" t="str">
        <x:f>IF(MOD(ROW(),2)=1,IF(B26="","",INDEX(XU_LY_LENH!$F$2:$F$61,INT((ROW()-1)/2))),IF(B26="","",INDEX(XU_LY_LENH!$D$2:$D$61,INT((ROW()-1)/2))))</x:f>
      </x:c>
      <x:c r="F26" s="191" t="str">
        <x:f>IF(MOD(ROW(),2)=1,IF(B26="","",IF(INDEX(XU_LY_LENH!$G$2:$G$61,INT((ROW()-1)/2))="HOLD",E26,IF(D26&gt;=INDEX(XU_LY_LENH!$I$2:$I$61,INT((ROW()-1)/2)),INDEX(XU_LY_LENH!$D$2:$D$61,INT((ROW()-1)/2)),INDEX(XU_LY_LENH!$F$2:$F$61,INT((ROW()-1)/2))+(INDEX(XU_LY_LENH!$D$2:$D$61,INT((ROW()-1)/2))-INDEX(XU_LY_LENH!$F$2:$F$61,INT((ROW()-1)/2)))*(D26-INDEX(XU_LY_LENH!$B$2:$B$61,INT((ROW()-1)/2)))/MAX(INDEX(XU_LY_LENH!$I$2:$I$61,INT((ROW()-1)/2))-INDEX(XU_LY_LENH!$B$2:$B$61,INT((ROW()-1)/2)),0.000001)))),IF(B26="","",INDEX(XU_LY_LENH!$D$2:$D$61,INT((ROW()-1)/2))))</x:f>
      </x:c>
      <x:c r="G26" s="191" t="str">
        <x:f>IF(B26="","",D26-C26)</x:f>
      </x:c>
      <x:c r="H26" s="39" t="str">
        <x:f>IF(B26="","",IF(MOD(ROW(),2)=1,"Ramp lệnh "&amp;INT((ROW()-1)/2),"Giữ sau lệnh "&amp;INT((ROW()-1)/2)))</x:f>
      </x:c>
    </x:row>
    <x:row r="27">
      <x:c r="A27" s="38" t="n">
        <x:f>ROW()-1</x:f>
        <x:v>26</x:v>
      </x:c>
      <x:c r="B2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7" s="191" t="str">
        <x:f>IF(MOD(ROW(),2)=1,IF(B27="","",INDEX(XU_LY_LENH!$B$2:$B$61,INT((ROW()-1)/2))),IF(B27="","",INDEX(XU_LY_LENH!$I$2:$I$61,INT((ROW()-1)/2))))</x:f>
      </x:c>
      <x:c r="D27" s="191" t="str">
        <x:f>IF(MOD(ROW(),2)=1,IF(B27="","",IF(INDEX(XU_LY_LENH!$G$2:$G$61,INT((ROW()-1)/2))="HOLD",C27,MIN(INDEX(XU_LY_LENH!$I$2:$I$61,INT((ROW()-1)/2)),IF(IFERROR(INDEX(XU_LY_LENH!$C$2:$C$61,INT((ROW()-1)/2)+1),"")="",86400,IFERROR(INDEX(XU_LY_LENH!$B$2:$B$61,INT((ROW()-1)/2)+1),"")),86400))),IF(B27="","",MIN(IF(IFERROR(INDEX(XU_LY_LENH!$C$2:$C$61,INT((ROW()-1)/2)+1),"")="",86400,IFERROR(INDEX(XU_LY_LENH!$B$2:$B$61,INT((ROW()-1)/2)+1),"")),86400)))</x:f>
      </x:c>
      <x:c r="E27" s="191" t="str">
        <x:f>IF(MOD(ROW(),2)=1,IF(B27="","",INDEX(XU_LY_LENH!$F$2:$F$61,INT((ROW()-1)/2))),IF(B27="","",INDEX(XU_LY_LENH!$D$2:$D$61,INT((ROW()-1)/2))))</x:f>
      </x:c>
      <x:c r="F27" s="191" t="str">
        <x:f>IF(MOD(ROW(),2)=1,IF(B27="","",IF(INDEX(XU_LY_LENH!$G$2:$G$61,INT((ROW()-1)/2))="HOLD",E27,IF(D27&gt;=INDEX(XU_LY_LENH!$I$2:$I$61,INT((ROW()-1)/2)),INDEX(XU_LY_LENH!$D$2:$D$61,INT((ROW()-1)/2)),INDEX(XU_LY_LENH!$F$2:$F$61,INT((ROW()-1)/2))+(INDEX(XU_LY_LENH!$D$2:$D$61,INT((ROW()-1)/2))-INDEX(XU_LY_LENH!$F$2:$F$61,INT((ROW()-1)/2)))*(D27-INDEX(XU_LY_LENH!$B$2:$B$61,INT((ROW()-1)/2)))/MAX(INDEX(XU_LY_LENH!$I$2:$I$61,INT((ROW()-1)/2))-INDEX(XU_LY_LENH!$B$2:$B$61,INT((ROW()-1)/2)),0.000001)))),IF(B27="","",INDEX(XU_LY_LENH!$D$2:$D$61,INT((ROW()-1)/2))))</x:f>
      </x:c>
      <x:c r="G27" s="191" t="str">
        <x:f>IF(B27="","",D27-C27)</x:f>
      </x:c>
      <x:c r="H27" s="39" t="str">
        <x:f>IF(B27="","",IF(MOD(ROW(),2)=1,"Ramp lệnh "&amp;INT((ROW()-1)/2),"Giữ sau lệnh "&amp;INT((ROW()-1)/2)))</x:f>
      </x:c>
    </x:row>
    <x:row r="28">
      <x:c r="A28" s="38" t="n">
        <x:f>ROW()-1</x:f>
        <x:v>27</x:v>
      </x:c>
      <x:c r="B2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8" s="191" t="str">
        <x:f>IF(MOD(ROW(),2)=1,IF(B28="","",INDEX(XU_LY_LENH!$B$2:$B$61,INT((ROW()-1)/2))),IF(B28="","",INDEX(XU_LY_LENH!$I$2:$I$61,INT((ROW()-1)/2))))</x:f>
      </x:c>
      <x:c r="D28" s="191" t="str">
        <x:f>IF(MOD(ROW(),2)=1,IF(B28="","",IF(INDEX(XU_LY_LENH!$G$2:$G$61,INT((ROW()-1)/2))="HOLD",C28,MIN(INDEX(XU_LY_LENH!$I$2:$I$61,INT((ROW()-1)/2)),IF(IFERROR(INDEX(XU_LY_LENH!$C$2:$C$61,INT((ROW()-1)/2)+1),"")="",86400,IFERROR(INDEX(XU_LY_LENH!$B$2:$B$61,INT((ROW()-1)/2)+1),"")),86400))),IF(B28="","",MIN(IF(IFERROR(INDEX(XU_LY_LENH!$C$2:$C$61,INT((ROW()-1)/2)+1),"")="",86400,IFERROR(INDEX(XU_LY_LENH!$B$2:$B$61,INT((ROW()-1)/2)+1),"")),86400)))</x:f>
      </x:c>
      <x:c r="E28" s="191" t="str">
        <x:f>IF(MOD(ROW(),2)=1,IF(B28="","",INDEX(XU_LY_LENH!$F$2:$F$61,INT((ROW()-1)/2))),IF(B28="","",INDEX(XU_LY_LENH!$D$2:$D$61,INT((ROW()-1)/2))))</x:f>
      </x:c>
      <x:c r="F28" s="191" t="str">
        <x:f>IF(MOD(ROW(),2)=1,IF(B28="","",IF(INDEX(XU_LY_LENH!$G$2:$G$61,INT((ROW()-1)/2))="HOLD",E28,IF(D28&gt;=INDEX(XU_LY_LENH!$I$2:$I$61,INT((ROW()-1)/2)),INDEX(XU_LY_LENH!$D$2:$D$61,INT((ROW()-1)/2)),INDEX(XU_LY_LENH!$F$2:$F$61,INT((ROW()-1)/2))+(INDEX(XU_LY_LENH!$D$2:$D$61,INT((ROW()-1)/2))-INDEX(XU_LY_LENH!$F$2:$F$61,INT((ROW()-1)/2)))*(D28-INDEX(XU_LY_LENH!$B$2:$B$61,INT((ROW()-1)/2)))/MAX(INDEX(XU_LY_LENH!$I$2:$I$61,INT((ROW()-1)/2))-INDEX(XU_LY_LENH!$B$2:$B$61,INT((ROW()-1)/2)),0.000001)))),IF(B28="","",INDEX(XU_LY_LENH!$D$2:$D$61,INT((ROW()-1)/2))))</x:f>
      </x:c>
      <x:c r="G28" s="191" t="str">
        <x:f>IF(B28="","",D28-C28)</x:f>
      </x:c>
      <x:c r="H28" s="39" t="str">
        <x:f>IF(B28="","",IF(MOD(ROW(),2)=1,"Ramp lệnh "&amp;INT((ROW()-1)/2),"Giữ sau lệnh "&amp;INT((ROW()-1)/2)))</x:f>
      </x:c>
    </x:row>
    <x:row r="29">
      <x:c r="A29" s="38" t="n">
        <x:f>ROW()-1</x:f>
        <x:v>28</x:v>
      </x:c>
      <x:c r="B2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29" s="191" t="str">
        <x:f>IF(MOD(ROW(),2)=1,IF(B29="","",INDEX(XU_LY_LENH!$B$2:$B$61,INT((ROW()-1)/2))),IF(B29="","",INDEX(XU_LY_LENH!$I$2:$I$61,INT((ROW()-1)/2))))</x:f>
      </x:c>
      <x:c r="D29" s="191" t="str">
        <x:f>IF(MOD(ROW(),2)=1,IF(B29="","",IF(INDEX(XU_LY_LENH!$G$2:$G$61,INT((ROW()-1)/2))="HOLD",C29,MIN(INDEX(XU_LY_LENH!$I$2:$I$61,INT((ROW()-1)/2)),IF(IFERROR(INDEX(XU_LY_LENH!$C$2:$C$61,INT((ROW()-1)/2)+1),"")="",86400,IFERROR(INDEX(XU_LY_LENH!$B$2:$B$61,INT((ROW()-1)/2)+1),"")),86400))),IF(B29="","",MIN(IF(IFERROR(INDEX(XU_LY_LENH!$C$2:$C$61,INT((ROW()-1)/2)+1),"")="",86400,IFERROR(INDEX(XU_LY_LENH!$B$2:$B$61,INT((ROW()-1)/2)+1),"")),86400)))</x:f>
      </x:c>
      <x:c r="E29" s="191" t="str">
        <x:f>IF(MOD(ROW(),2)=1,IF(B29="","",INDEX(XU_LY_LENH!$F$2:$F$61,INT((ROW()-1)/2))),IF(B29="","",INDEX(XU_LY_LENH!$D$2:$D$61,INT((ROW()-1)/2))))</x:f>
      </x:c>
      <x:c r="F29" s="191" t="str">
        <x:f>IF(MOD(ROW(),2)=1,IF(B29="","",IF(INDEX(XU_LY_LENH!$G$2:$G$61,INT((ROW()-1)/2))="HOLD",E29,IF(D29&gt;=INDEX(XU_LY_LENH!$I$2:$I$61,INT((ROW()-1)/2)),INDEX(XU_LY_LENH!$D$2:$D$61,INT((ROW()-1)/2)),INDEX(XU_LY_LENH!$F$2:$F$61,INT((ROW()-1)/2))+(INDEX(XU_LY_LENH!$D$2:$D$61,INT((ROW()-1)/2))-INDEX(XU_LY_LENH!$F$2:$F$61,INT((ROW()-1)/2)))*(D29-INDEX(XU_LY_LENH!$B$2:$B$61,INT((ROW()-1)/2)))/MAX(INDEX(XU_LY_LENH!$I$2:$I$61,INT((ROW()-1)/2))-INDEX(XU_LY_LENH!$B$2:$B$61,INT((ROW()-1)/2)),0.000001)))),IF(B29="","",INDEX(XU_LY_LENH!$D$2:$D$61,INT((ROW()-1)/2))))</x:f>
      </x:c>
      <x:c r="G29" s="191" t="str">
        <x:f>IF(B29="","",D29-C29)</x:f>
      </x:c>
      <x:c r="H29" s="39" t="str">
        <x:f>IF(B29="","",IF(MOD(ROW(),2)=1,"Ramp lệnh "&amp;INT((ROW()-1)/2),"Giữ sau lệnh "&amp;INT((ROW()-1)/2)))</x:f>
      </x:c>
    </x:row>
    <x:row r="30">
      <x:c r="A30" s="38" t="n">
        <x:f>ROW()-1</x:f>
        <x:v>29</x:v>
      </x:c>
      <x:c r="B3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0" s="191" t="str">
        <x:f>IF(MOD(ROW(),2)=1,IF(B30="","",INDEX(XU_LY_LENH!$B$2:$B$61,INT((ROW()-1)/2))),IF(B30="","",INDEX(XU_LY_LENH!$I$2:$I$61,INT((ROW()-1)/2))))</x:f>
      </x:c>
      <x:c r="D30" s="191" t="str">
        <x:f>IF(MOD(ROW(),2)=1,IF(B30="","",IF(INDEX(XU_LY_LENH!$G$2:$G$61,INT((ROW()-1)/2))="HOLD",C30,MIN(INDEX(XU_LY_LENH!$I$2:$I$61,INT((ROW()-1)/2)),IF(IFERROR(INDEX(XU_LY_LENH!$C$2:$C$61,INT((ROW()-1)/2)+1),"")="",86400,IFERROR(INDEX(XU_LY_LENH!$B$2:$B$61,INT((ROW()-1)/2)+1),"")),86400))),IF(B30="","",MIN(IF(IFERROR(INDEX(XU_LY_LENH!$C$2:$C$61,INT((ROW()-1)/2)+1),"")="",86400,IFERROR(INDEX(XU_LY_LENH!$B$2:$B$61,INT((ROW()-1)/2)+1),"")),86400)))</x:f>
      </x:c>
      <x:c r="E30" s="191" t="str">
        <x:f>IF(MOD(ROW(),2)=1,IF(B30="","",INDEX(XU_LY_LENH!$F$2:$F$61,INT((ROW()-1)/2))),IF(B30="","",INDEX(XU_LY_LENH!$D$2:$D$61,INT((ROW()-1)/2))))</x:f>
      </x:c>
      <x:c r="F30" s="191" t="str">
        <x:f>IF(MOD(ROW(),2)=1,IF(B30="","",IF(INDEX(XU_LY_LENH!$G$2:$G$61,INT((ROW()-1)/2))="HOLD",E30,IF(D30&gt;=INDEX(XU_LY_LENH!$I$2:$I$61,INT((ROW()-1)/2)),INDEX(XU_LY_LENH!$D$2:$D$61,INT((ROW()-1)/2)),INDEX(XU_LY_LENH!$F$2:$F$61,INT((ROW()-1)/2))+(INDEX(XU_LY_LENH!$D$2:$D$61,INT((ROW()-1)/2))-INDEX(XU_LY_LENH!$F$2:$F$61,INT((ROW()-1)/2)))*(D30-INDEX(XU_LY_LENH!$B$2:$B$61,INT((ROW()-1)/2)))/MAX(INDEX(XU_LY_LENH!$I$2:$I$61,INT((ROW()-1)/2))-INDEX(XU_LY_LENH!$B$2:$B$61,INT((ROW()-1)/2)),0.000001)))),IF(B30="","",INDEX(XU_LY_LENH!$D$2:$D$61,INT((ROW()-1)/2))))</x:f>
      </x:c>
      <x:c r="G30" s="191" t="str">
        <x:f>IF(B30="","",D30-C30)</x:f>
      </x:c>
      <x:c r="H30" s="39" t="str">
        <x:f>IF(B30="","",IF(MOD(ROW(),2)=1,"Ramp lệnh "&amp;INT((ROW()-1)/2),"Giữ sau lệnh "&amp;INT((ROW()-1)/2)))</x:f>
      </x:c>
    </x:row>
    <x:row r="31">
      <x:c r="A31" s="38" t="n">
        <x:f>ROW()-1</x:f>
        <x:v>30</x:v>
      </x:c>
      <x:c r="B3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1" s="191" t="str">
        <x:f>IF(MOD(ROW(),2)=1,IF(B31="","",INDEX(XU_LY_LENH!$B$2:$B$61,INT((ROW()-1)/2))),IF(B31="","",INDEX(XU_LY_LENH!$I$2:$I$61,INT((ROW()-1)/2))))</x:f>
      </x:c>
      <x:c r="D31" s="191" t="str">
        <x:f>IF(MOD(ROW(),2)=1,IF(B31="","",IF(INDEX(XU_LY_LENH!$G$2:$G$61,INT((ROW()-1)/2))="HOLD",C31,MIN(INDEX(XU_LY_LENH!$I$2:$I$61,INT((ROW()-1)/2)),IF(IFERROR(INDEX(XU_LY_LENH!$C$2:$C$61,INT((ROW()-1)/2)+1),"")="",86400,IFERROR(INDEX(XU_LY_LENH!$B$2:$B$61,INT((ROW()-1)/2)+1),"")),86400))),IF(B31="","",MIN(IF(IFERROR(INDEX(XU_LY_LENH!$C$2:$C$61,INT((ROW()-1)/2)+1),"")="",86400,IFERROR(INDEX(XU_LY_LENH!$B$2:$B$61,INT((ROW()-1)/2)+1),"")),86400)))</x:f>
      </x:c>
      <x:c r="E31" s="191" t="str">
        <x:f>IF(MOD(ROW(),2)=1,IF(B31="","",INDEX(XU_LY_LENH!$F$2:$F$61,INT((ROW()-1)/2))),IF(B31="","",INDEX(XU_LY_LENH!$D$2:$D$61,INT((ROW()-1)/2))))</x:f>
      </x:c>
      <x:c r="F31" s="191" t="str">
        <x:f>IF(MOD(ROW(),2)=1,IF(B31="","",IF(INDEX(XU_LY_LENH!$G$2:$G$61,INT((ROW()-1)/2))="HOLD",E31,IF(D31&gt;=INDEX(XU_LY_LENH!$I$2:$I$61,INT((ROW()-1)/2)),INDEX(XU_LY_LENH!$D$2:$D$61,INT((ROW()-1)/2)),INDEX(XU_LY_LENH!$F$2:$F$61,INT((ROW()-1)/2))+(INDEX(XU_LY_LENH!$D$2:$D$61,INT((ROW()-1)/2))-INDEX(XU_LY_LENH!$F$2:$F$61,INT((ROW()-1)/2)))*(D31-INDEX(XU_LY_LENH!$B$2:$B$61,INT((ROW()-1)/2)))/MAX(INDEX(XU_LY_LENH!$I$2:$I$61,INT((ROW()-1)/2))-INDEX(XU_LY_LENH!$B$2:$B$61,INT((ROW()-1)/2)),0.000001)))),IF(B31="","",INDEX(XU_LY_LENH!$D$2:$D$61,INT((ROW()-1)/2))))</x:f>
      </x:c>
      <x:c r="G31" s="191" t="str">
        <x:f>IF(B31="","",D31-C31)</x:f>
      </x:c>
      <x:c r="H31" s="39" t="str">
        <x:f>IF(B31="","",IF(MOD(ROW(),2)=1,"Ramp lệnh "&amp;INT((ROW()-1)/2),"Giữ sau lệnh "&amp;INT((ROW()-1)/2)))</x:f>
      </x:c>
    </x:row>
    <x:row r="32">
      <x:c r="A32" s="38" t="n">
        <x:f>ROW()-1</x:f>
        <x:v>31</x:v>
      </x:c>
      <x:c r="B32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2" s="191" t="str">
        <x:f>IF(MOD(ROW(),2)=1,IF(B32="","",INDEX(XU_LY_LENH!$B$2:$B$61,INT((ROW()-1)/2))),IF(B32="","",INDEX(XU_LY_LENH!$I$2:$I$61,INT((ROW()-1)/2))))</x:f>
      </x:c>
      <x:c r="D32" s="191" t="str">
        <x:f>IF(MOD(ROW(),2)=1,IF(B32="","",IF(INDEX(XU_LY_LENH!$G$2:$G$61,INT((ROW()-1)/2))="HOLD",C32,MIN(INDEX(XU_LY_LENH!$I$2:$I$61,INT((ROW()-1)/2)),IF(IFERROR(INDEX(XU_LY_LENH!$C$2:$C$61,INT((ROW()-1)/2)+1),"")="",86400,IFERROR(INDEX(XU_LY_LENH!$B$2:$B$61,INT((ROW()-1)/2)+1),"")),86400))),IF(B32="","",MIN(IF(IFERROR(INDEX(XU_LY_LENH!$C$2:$C$61,INT((ROW()-1)/2)+1),"")="",86400,IFERROR(INDEX(XU_LY_LENH!$B$2:$B$61,INT((ROW()-1)/2)+1),"")),86400)))</x:f>
      </x:c>
      <x:c r="E32" s="191" t="str">
        <x:f>IF(MOD(ROW(),2)=1,IF(B32="","",INDEX(XU_LY_LENH!$F$2:$F$61,INT((ROW()-1)/2))),IF(B32="","",INDEX(XU_LY_LENH!$D$2:$D$61,INT((ROW()-1)/2))))</x:f>
      </x:c>
      <x:c r="F32" s="191" t="str">
        <x:f>IF(MOD(ROW(),2)=1,IF(B32="","",IF(INDEX(XU_LY_LENH!$G$2:$G$61,INT((ROW()-1)/2))="HOLD",E32,IF(D32&gt;=INDEX(XU_LY_LENH!$I$2:$I$61,INT((ROW()-1)/2)),INDEX(XU_LY_LENH!$D$2:$D$61,INT((ROW()-1)/2)),INDEX(XU_LY_LENH!$F$2:$F$61,INT((ROW()-1)/2))+(INDEX(XU_LY_LENH!$D$2:$D$61,INT((ROW()-1)/2))-INDEX(XU_LY_LENH!$F$2:$F$61,INT((ROW()-1)/2)))*(D32-INDEX(XU_LY_LENH!$B$2:$B$61,INT((ROW()-1)/2)))/MAX(INDEX(XU_LY_LENH!$I$2:$I$61,INT((ROW()-1)/2))-INDEX(XU_LY_LENH!$B$2:$B$61,INT((ROW()-1)/2)),0.000001)))),IF(B32="","",INDEX(XU_LY_LENH!$D$2:$D$61,INT((ROW()-1)/2))))</x:f>
      </x:c>
      <x:c r="G32" s="191" t="str">
        <x:f>IF(B32="","",D32-C32)</x:f>
      </x:c>
      <x:c r="H32" s="39" t="str">
        <x:f>IF(B32="","",IF(MOD(ROW(),2)=1,"Ramp lệnh "&amp;INT((ROW()-1)/2),"Giữ sau lệnh "&amp;INT((ROW()-1)/2)))</x:f>
      </x:c>
    </x:row>
    <x:row r="33">
      <x:c r="A33" s="38" t="n">
        <x:f>ROW()-1</x:f>
        <x:v>32</x:v>
      </x:c>
      <x:c r="B3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3" s="191" t="str">
        <x:f>IF(MOD(ROW(),2)=1,IF(B33="","",INDEX(XU_LY_LENH!$B$2:$B$61,INT((ROW()-1)/2))),IF(B33="","",INDEX(XU_LY_LENH!$I$2:$I$61,INT((ROW()-1)/2))))</x:f>
      </x:c>
      <x:c r="D33" s="191" t="str">
        <x:f>IF(MOD(ROW(),2)=1,IF(B33="","",IF(INDEX(XU_LY_LENH!$G$2:$G$61,INT((ROW()-1)/2))="HOLD",C33,MIN(INDEX(XU_LY_LENH!$I$2:$I$61,INT((ROW()-1)/2)),IF(IFERROR(INDEX(XU_LY_LENH!$C$2:$C$61,INT((ROW()-1)/2)+1),"")="",86400,IFERROR(INDEX(XU_LY_LENH!$B$2:$B$61,INT((ROW()-1)/2)+1),"")),86400))),IF(B33="","",MIN(IF(IFERROR(INDEX(XU_LY_LENH!$C$2:$C$61,INT((ROW()-1)/2)+1),"")="",86400,IFERROR(INDEX(XU_LY_LENH!$B$2:$B$61,INT((ROW()-1)/2)+1),"")),86400)))</x:f>
      </x:c>
      <x:c r="E33" s="191" t="str">
        <x:f>IF(MOD(ROW(),2)=1,IF(B33="","",INDEX(XU_LY_LENH!$F$2:$F$61,INT((ROW()-1)/2))),IF(B33="","",INDEX(XU_LY_LENH!$D$2:$D$61,INT((ROW()-1)/2))))</x:f>
      </x:c>
      <x:c r="F33" s="191" t="str">
        <x:f>IF(MOD(ROW(),2)=1,IF(B33="","",IF(INDEX(XU_LY_LENH!$G$2:$G$61,INT((ROW()-1)/2))="HOLD",E33,IF(D33&gt;=INDEX(XU_LY_LENH!$I$2:$I$61,INT((ROW()-1)/2)),INDEX(XU_LY_LENH!$D$2:$D$61,INT((ROW()-1)/2)),INDEX(XU_LY_LENH!$F$2:$F$61,INT((ROW()-1)/2))+(INDEX(XU_LY_LENH!$D$2:$D$61,INT((ROW()-1)/2))-INDEX(XU_LY_LENH!$F$2:$F$61,INT((ROW()-1)/2)))*(D33-INDEX(XU_LY_LENH!$B$2:$B$61,INT((ROW()-1)/2)))/MAX(INDEX(XU_LY_LENH!$I$2:$I$61,INT((ROW()-1)/2))-INDEX(XU_LY_LENH!$B$2:$B$61,INT((ROW()-1)/2)),0.000001)))),IF(B33="","",INDEX(XU_LY_LENH!$D$2:$D$61,INT((ROW()-1)/2))))</x:f>
      </x:c>
      <x:c r="G33" s="191" t="str">
        <x:f>IF(B33="","",D33-C33)</x:f>
      </x:c>
      <x:c r="H33" s="39" t="str">
        <x:f>IF(B33="","",IF(MOD(ROW(),2)=1,"Ramp lệnh "&amp;INT((ROW()-1)/2),"Giữ sau lệnh "&amp;INT((ROW()-1)/2)))</x:f>
      </x:c>
    </x:row>
    <x:row r="34">
      <x:c r="A34" s="38" t="n">
        <x:f>ROW()-1</x:f>
        <x:v>33</x:v>
      </x:c>
      <x:c r="B3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4" s="191" t="str">
        <x:f>IF(MOD(ROW(),2)=1,IF(B34="","",INDEX(XU_LY_LENH!$B$2:$B$61,INT((ROW()-1)/2))),IF(B34="","",INDEX(XU_LY_LENH!$I$2:$I$61,INT((ROW()-1)/2))))</x:f>
      </x:c>
      <x:c r="D34" s="191" t="str">
        <x:f>IF(MOD(ROW(),2)=1,IF(B34="","",IF(INDEX(XU_LY_LENH!$G$2:$G$61,INT((ROW()-1)/2))="HOLD",C34,MIN(INDEX(XU_LY_LENH!$I$2:$I$61,INT((ROW()-1)/2)),IF(IFERROR(INDEX(XU_LY_LENH!$C$2:$C$61,INT((ROW()-1)/2)+1),"")="",86400,IFERROR(INDEX(XU_LY_LENH!$B$2:$B$61,INT((ROW()-1)/2)+1),"")),86400))),IF(B34="","",MIN(IF(IFERROR(INDEX(XU_LY_LENH!$C$2:$C$61,INT((ROW()-1)/2)+1),"")="",86400,IFERROR(INDEX(XU_LY_LENH!$B$2:$B$61,INT((ROW()-1)/2)+1),"")),86400)))</x:f>
      </x:c>
      <x:c r="E34" s="191" t="str">
        <x:f>IF(MOD(ROW(),2)=1,IF(B34="","",INDEX(XU_LY_LENH!$F$2:$F$61,INT((ROW()-1)/2))),IF(B34="","",INDEX(XU_LY_LENH!$D$2:$D$61,INT((ROW()-1)/2))))</x:f>
      </x:c>
      <x:c r="F34" s="191" t="str">
        <x:f>IF(MOD(ROW(),2)=1,IF(B34="","",IF(INDEX(XU_LY_LENH!$G$2:$G$61,INT((ROW()-1)/2))="HOLD",E34,IF(D34&gt;=INDEX(XU_LY_LENH!$I$2:$I$61,INT((ROW()-1)/2)),INDEX(XU_LY_LENH!$D$2:$D$61,INT((ROW()-1)/2)),INDEX(XU_LY_LENH!$F$2:$F$61,INT((ROW()-1)/2))+(INDEX(XU_LY_LENH!$D$2:$D$61,INT((ROW()-1)/2))-INDEX(XU_LY_LENH!$F$2:$F$61,INT((ROW()-1)/2)))*(D34-INDEX(XU_LY_LENH!$B$2:$B$61,INT((ROW()-1)/2)))/MAX(INDEX(XU_LY_LENH!$I$2:$I$61,INT((ROW()-1)/2))-INDEX(XU_LY_LENH!$B$2:$B$61,INT((ROW()-1)/2)),0.000001)))),IF(B34="","",INDEX(XU_LY_LENH!$D$2:$D$61,INT((ROW()-1)/2))))</x:f>
      </x:c>
      <x:c r="G34" s="191" t="str">
        <x:f>IF(B34="","",D34-C34)</x:f>
      </x:c>
      <x:c r="H34" s="39" t="str">
        <x:f>IF(B34="","",IF(MOD(ROW(),2)=1,"Ramp lệnh "&amp;INT((ROW()-1)/2),"Giữ sau lệnh "&amp;INT((ROW()-1)/2)))</x:f>
      </x:c>
    </x:row>
    <x:row r="35">
      <x:c r="A35" s="38" t="n">
        <x:f>ROW()-1</x:f>
        <x:v>34</x:v>
      </x:c>
      <x:c r="B3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5" s="191" t="str">
        <x:f>IF(MOD(ROW(),2)=1,IF(B35="","",INDEX(XU_LY_LENH!$B$2:$B$61,INT((ROW()-1)/2))),IF(B35="","",INDEX(XU_LY_LENH!$I$2:$I$61,INT((ROW()-1)/2))))</x:f>
      </x:c>
      <x:c r="D35" s="191" t="str">
        <x:f>IF(MOD(ROW(),2)=1,IF(B35="","",IF(INDEX(XU_LY_LENH!$G$2:$G$61,INT((ROW()-1)/2))="HOLD",C35,MIN(INDEX(XU_LY_LENH!$I$2:$I$61,INT((ROW()-1)/2)),IF(IFERROR(INDEX(XU_LY_LENH!$C$2:$C$61,INT((ROW()-1)/2)+1),"")="",86400,IFERROR(INDEX(XU_LY_LENH!$B$2:$B$61,INT((ROW()-1)/2)+1),"")),86400))),IF(B35="","",MIN(IF(IFERROR(INDEX(XU_LY_LENH!$C$2:$C$61,INT((ROW()-1)/2)+1),"")="",86400,IFERROR(INDEX(XU_LY_LENH!$B$2:$B$61,INT((ROW()-1)/2)+1),"")),86400)))</x:f>
      </x:c>
      <x:c r="E35" s="191" t="str">
        <x:f>IF(MOD(ROW(),2)=1,IF(B35="","",INDEX(XU_LY_LENH!$F$2:$F$61,INT((ROW()-1)/2))),IF(B35="","",INDEX(XU_LY_LENH!$D$2:$D$61,INT((ROW()-1)/2))))</x:f>
      </x:c>
      <x:c r="F35" s="191" t="str">
        <x:f>IF(MOD(ROW(),2)=1,IF(B35="","",IF(INDEX(XU_LY_LENH!$G$2:$G$61,INT((ROW()-1)/2))="HOLD",E35,IF(D35&gt;=INDEX(XU_LY_LENH!$I$2:$I$61,INT((ROW()-1)/2)),INDEX(XU_LY_LENH!$D$2:$D$61,INT((ROW()-1)/2)),INDEX(XU_LY_LENH!$F$2:$F$61,INT((ROW()-1)/2))+(INDEX(XU_LY_LENH!$D$2:$D$61,INT((ROW()-1)/2))-INDEX(XU_LY_LENH!$F$2:$F$61,INT((ROW()-1)/2)))*(D35-INDEX(XU_LY_LENH!$B$2:$B$61,INT((ROW()-1)/2)))/MAX(INDEX(XU_LY_LENH!$I$2:$I$61,INT((ROW()-1)/2))-INDEX(XU_LY_LENH!$B$2:$B$61,INT((ROW()-1)/2)),0.000001)))),IF(B35="","",INDEX(XU_LY_LENH!$D$2:$D$61,INT((ROW()-1)/2))))</x:f>
      </x:c>
      <x:c r="G35" s="191" t="str">
        <x:f>IF(B35="","",D35-C35)</x:f>
      </x:c>
      <x:c r="H35" s="39" t="str">
        <x:f>IF(B35="","",IF(MOD(ROW(),2)=1,"Ramp lệnh "&amp;INT((ROW()-1)/2),"Giữ sau lệnh "&amp;INT((ROW()-1)/2)))</x:f>
      </x:c>
    </x:row>
    <x:row r="36">
      <x:c r="A36" s="38" t="n">
        <x:f>ROW()-1</x:f>
        <x:v>35</x:v>
      </x:c>
      <x:c r="B3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6" s="191" t="str">
        <x:f>IF(MOD(ROW(),2)=1,IF(B36="","",INDEX(XU_LY_LENH!$B$2:$B$61,INT((ROW()-1)/2))),IF(B36="","",INDEX(XU_LY_LENH!$I$2:$I$61,INT((ROW()-1)/2))))</x:f>
      </x:c>
      <x:c r="D36" s="191" t="str">
        <x:f>IF(MOD(ROW(),2)=1,IF(B36="","",IF(INDEX(XU_LY_LENH!$G$2:$G$61,INT((ROW()-1)/2))="HOLD",C36,MIN(INDEX(XU_LY_LENH!$I$2:$I$61,INT((ROW()-1)/2)),IF(IFERROR(INDEX(XU_LY_LENH!$C$2:$C$61,INT((ROW()-1)/2)+1),"")="",86400,IFERROR(INDEX(XU_LY_LENH!$B$2:$B$61,INT((ROW()-1)/2)+1),"")),86400))),IF(B36="","",MIN(IF(IFERROR(INDEX(XU_LY_LENH!$C$2:$C$61,INT((ROW()-1)/2)+1),"")="",86400,IFERROR(INDEX(XU_LY_LENH!$B$2:$B$61,INT((ROW()-1)/2)+1),"")),86400)))</x:f>
      </x:c>
      <x:c r="E36" s="191" t="str">
        <x:f>IF(MOD(ROW(),2)=1,IF(B36="","",INDEX(XU_LY_LENH!$F$2:$F$61,INT((ROW()-1)/2))),IF(B36="","",INDEX(XU_LY_LENH!$D$2:$D$61,INT((ROW()-1)/2))))</x:f>
      </x:c>
      <x:c r="F36" s="191" t="str">
        <x:f>IF(MOD(ROW(),2)=1,IF(B36="","",IF(INDEX(XU_LY_LENH!$G$2:$G$61,INT((ROW()-1)/2))="HOLD",E36,IF(D36&gt;=INDEX(XU_LY_LENH!$I$2:$I$61,INT((ROW()-1)/2)),INDEX(XU_LY_LENH!$D$2:$D$61,INT((ROW()-1)/2)),INDEX(XU_LY_LENH!$F$2:$F$61,INT((ROW()-1)/2))+(INDEX(XU_LY_LENH!$D$2:$D$61,INT((ROW()-1)/2))-INDEX(XU_LY_LENH!$F$2:$F$61,INT((ROW()-1)/2)))*(D36-INDEX(XU_LY_LENH!$B$2:$B$61,INT((ROW()-1)/2)))/MAX(INDEX(XU_LY_LENH!$I$2:$I$61,INT((ROW()-1)/2))-INDEX(XU_LY_LENH!$B$2:$B$61,INT((ROW()-1)/2)),0.000001)))),IF(B36="","",INDEX(XU_LY_LENH!$D$2:$D$61,INT((ROW()-1)/2))))</x:f>
      </x:c>
      <x:c r="G36" s="191" t="str">
        <x:f>IF(B36="","",D36-C36)</x:f>
      </x:c>
      <x:c r="H36" s="39" t="str">
        <x:f>IF(B36="","",IF(MOD(ROW(),2)=1,"Ramp lệnh "&amp;INT((ROW()-1)/2),"Giữ sau lệnh "&amp;INT((ROW()-1)/2)))</x:f>
      </x:c>
    </x:row>
    <x:row r="37">
      <x:c r="A37" s="38" t="n">
        <x:f>ROW()-1</x:f>
        <x:v>36</x:v>
      </x:c>
      <x:c r="B3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7" s="191" t="str">
        <x:f>IF(MOD(ROW(),2)=1,IF(B37="","",INDEX(XU_LY_LENH!$B$2:$B$61,INT((ROW()-1)/2))),IF(B37="","",INDEX(XU_LY_LENH!$I$2:$I$61,INT((ROW()-1)/2))))</x:f>
      </x:c>
      <x:c r="D37" s="191" t="str">
        <x:f>IF(MOD(ROW(),2)=1,IF(B37="","",IF(INDEX(XU_LY_LENH!$G$2:$G$61,INT((ROW()-1)/2))="HOLD",C37,MIN(INDEX(XU_LY_LENH!$I$2:$I$61,INT((ROW()-1)/2)),IF(IFERROR(INDEX(XU_LY_LENH!$C$2:$C$61,INT((ROW()-1)/2)+1),"")="",86400,IFERROR(INDEX(XU_LY_LENH!$B$2:$B$61,INT((ROW()-1)/2)+1),"")),86400))),IF(B37="","",MIN(IF(IFERROR(INDEX(XU_LY_LENH!$C$2:$C$61,INT((ROW()-1)/2)+1),"")="",86400,IFERROR(INDEX(XU_LY_LENH!$B$2:$B$61,INT((ROW()-1)/2)+1),"")),86400)))</x:f>
      </x:c>
      <x:c r="E37" s="191" t="str">
        <x:f>IF(MOD(ROW(),2)=1,IF(B37="","",INDEX(XU_LY_LENH!$F$2:$F$61,INT((ROW()-1)/2))),IF(B37="","",INDEX(XU_LY_LENH!$D$2:$D$61,INT((ROW()-1)/2))))</x:f>
      </x:c>
      <x:c r="F37" s="191" t="str">
        <x:f>IF(MOD(ROW(),2)=1,IF(B37="","",IF(INDEX(XU_LY_LENH!$G$2:$G$61,INT((ROW()-1)/2))="HOLD",E37,IF(D37&gt;=INDEX(XU_LY_LENH!$I$2:$I$61,INT((ROW()-1)/2)),INDEX(XU_LY_LENH!$D$2:$D$61,INT((ROW()-1)/2)),INDEX(XU_LY_LENH!$F$2:$F$61,INT((ROW()-1)/2))+(INDEX(XU_LY_LENH!$D$2:$D$61,INT((ROW()-1)/2))-INDEX(XU_LY_LENH!$F$2:$F$61,INT((ROW()-1)/2)))*(D37-INDEX(XU_LY_LENH!$B$2:$B$61,INT((ROW()-1)/2)))/MAX(INDEX(XU_LY_LENH!$I$2:$I$61,INT((ROW()-1)/2))-INDEX(XU_LY_LENH!$B$2:$B$61,INT((ROW()-1)/2)),0.000001)))),IF(B37="","",INDEX(XU_LY_LENH!$D$2:$D$61,INT((ROW()-1)/2))))</x:f>
      </x:c>
      <x:c r="G37" s="191" t="str">
        <x:f>IF(B37="","",D37-C37)</x:f>
      </x:c>
      <x:c r="H37" s="39" t="str">
        <x:f>IF(B37="","",IF(MOD(ROW(),2)=1,"Ramp lệnh "&amp;INT((ROW()-1)/2),"Giữ sau lệnh "&amp;INT((ROW()-1)/2)))</x:f>
      </x:c>
    </x:row>
    <x:row r="38">
      <x:c r="A38" s="38" t="n">
        <x:f>ROW()-1</x:f>
        <x:v>37</x:v>
      </x:c>
      <x:c r="B3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8" s="191" t="str">
        <x:f>IF(MOD(ROW(),2)=1,IF(B38="","",INDEX(XU_LY_LENH!$B$2:$B$61,INT((ROW()-1)/2))),IF(B38="","",INDEX(XU_LY_LENH!$I$2:$I$61,INT((ROW()-1)/2))))</x:f>
      </x:c>
      <x:c r="D38" s="191" t="str">
        <x:f>IF(MOD(ROW(),2)=1,IF(B38="","",IF(INDEX(XU_LY_LENH!$G$2:$G$61,INT((ROW()-1)/2))="HOLD",C38,MIN(INDEX(XU_LY_LENH!$I$2:$I$61,INT((ROW()-1)/2)),IF(IFERROR(INDEX(XU_LY_LENH!$C$2:$C$61,INT((ROW()-1)/2)+1),"")="",86400,IFERROR(INDEX(XU_LY_LENH!$B$2:$B$61,INT((ROW()-1)/2)+1),"")),86400))),IF(B38="","",MIN(IF(IFERROR(INDEX(XU_LY_LENH!$C$2:$C$61,INT((ROW()-1)/2)+1),"")="",86400,IFERROR(INDEX(XU_LY_LENH!$B$2:$B$61,INT((ROW()-1)/2)+1),"")),86400)))</x:f>
      </x:c>
      <x:c r="E38" s="191" t="str">
        <x:f>IF(MOD(ROW(),2)=1,IF(B38="","",INDEX(XU_LY_LENH!$F$2:$F$61,INT((ROW()-1)/2))),IF(B38="","",INDEX(XU_LY_LENH!$D$2:$D$61,INT((ROW()-1)/2))))</x:f>
      </x:c>
      <x:c r="F38" s="191" t="str">
        <x:f>IF(MOD(ROW(),2)=1,IF(B38="","",IF(INDEX(XU_LY_LENH!$G$2:$G$61,INT((ROW()-1)/2))="HOLD",E38,IF(D38&gt;=INDEX(XU_LY_LENH!$I$2:$I$61,INT((ROW()-1)/2)),INDEX(XU_LY_LENH!$D$2:$D$61,INT((ROW()-1)/2)),INDEX(XU_LY_LENH!$F$2:$F$61,INT((ROW()-1)/2))+(INDEX(XU_LY_LENH!$D$2:$D$61,INT((ROW()-1)/2))-INDEX(XU_LY_LENH!$F$2:$F$61,INT((ROW()-1)/2)))*(D38-INDEX(XU_LY_LENH!$B$2:$B$61,INT((ROW()-1)/2)))/MAX(INDEX(XU_LY_LENH!$I$2:$I$61,INT((ROW()-1)/2))-INDEX(XU_LY_LENH!$B$2:$B$61,INT((ROW()-1)/2)),0.000001)))),IF(B38="","",INDEX(XU_LY_LENH!$D$2:$D$61,INT((ROW()-1)/2))))</x:f>
      </x:c>
      <x:c r="G38" s="191" t="str">
        <x:f>IF(B38="","",D38-C38)</x:f>
      </x:c>
      <x:c r="H38" s="39" t="str">
        <x:f>IF(B38="","",IF(MOD(ROW(),2)=1,"Ramp lệnh "&amp;INT((ROW()-1)/2),"Giữ sau lệnh "&amp;INT((ROW()-1)/2)))</x:f>
      </x:c>
    </x:row>
    <x:row r="39">
      <x:c r="A39" s="38" t="n">
        <x:f>ROW()-1</x:f>
        <x:v>38</x:v>
      </x:c>
      <x:c r="B3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39" s="191" t="str">
        <x:f>IF(MOD(ROW(),2)=1,IF(B39="","",INDEX(XU_LY_LENH!$B$2:$B$61,INT((ROW()-1)/2))),IF(B39="","",INDEX(XU_LY_LENH!$I$2:$I$61,INT((ROW()-1)/2))))</x:f>
      </x:c>
      <x:c r="D39" s="191" t="str">
        <x:f>IF(MOD(ROW(),2)=1,IF(B39="","",IF(INDEX(XU_LY_LENH!$G$2:$G$61,INT((ROW()-1)/2))="HOLD",C39,MIN(INDEX(XU_LY_LENH!$I$2:$I$61,INT((ROW()-1)/2)),IF(IFERROR(INDEX(XU_LY_LENH!$C$2:$C$61,INT((ROW()-1)/2)+1),"")="",86400,IFERROR(INDEX(XU_LY_LENH!$B$2:$B$61,INT((ROW()-1)/2)+1),"")),86400))),IF(B39="","",MIN(IF(IFERROR(INDEX(XU_LY_LENH!$C$2:$C$61,INT((ROW()-1)/2)+1),"")="",86400,IFERROR(INDEX(XU_LY_LENH!$B$2:$B$61,INT((ROW()-1)/2)+1),"")),86400)))</x:f>
      </x:c>
      <x:c r="E39" s="191" t="str">
        <x:f>IF(MOD(ROW(),2)=1,IF(B39="","",INDEX(XU_LY_LENH!$F$2:$F$61,INT((ROW()-1)/2))),IF(B39="","",INDEX(XU_LY_LENH!$D$2:$D$61,INT((ROW()-1)/2))))</x:f>
      </x:c>
      <x:c r="F39" s="191" t="str">
        <x:f>IF(MOD(ROW(),2)=1,IF(B39="","",IF(INDEX(XU_LY_LENH!$G$2:$G$61,INT((ROW()-1)/2))="HOLD",E39,IF(D39&gt;=INDEX(XU_LY_LENH!$I$2:$I$61,INT((ROW()-1)/2)),INDEX(XU_LY_LENH!$D$2:$D$61,INT((ROW()-1)/2)),INDEX(XU_LY_LENH!$F$2:$F$61,INT((ROW()-1)/2))+(INDEX(XU_LY_LENH!$D$2:$D$61,INT((ROW()-1)/2))-INDEX(XU_LY_LENH!$F$2:$F$61,INT((ROW()-1)/2)))*(D39-INDEX(XU_LY_LENH!$B$2:$B$61,INT((ROW()-1)/2)))/MAX(INDEX(XU_LY_LENH!$I$2:$I$61,INT((ROW()-1)/2))-INDEX(XU_LY_LENH!$B$2:$B$61,INT((ROW()-1)/2)),0.000001)))),IF(B39="","",INDEX(XU_LY_LENH!$D$2:$D$61,INT((ROW()-1)/2))))</x:f>
      </x:c>
      <x:c r="G39" s="191" t="str">
        <x:f>IF(B39="","",D39-C39)</x:f>
      </x:c>
      <x:c r="H39" s="39" t="str">
        <x:f>IF(B39="","",IF(MOD(ROW(),2)=1,"Ramp lệnh "&amp;INT((ROW()-1)/2),"Giữ sau lệnh "&amp;INT((ROW()-1)/2)))</x:f>
      </x:c>
    </x:row>
    <x:row r="40">
      <x:c r="A40" s="38" t="n">
        <x:f>ROW()-1</x:f>
        <x:v>39</x:v>
      </x:c>
      <x:c r="B4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0" s="191" t="str">
        <x:f>IF(MOD(ROW(),2)=1,IF(B40="","",INDEX(XU_LY_LENH!$B$2:$B$61,INT((ROW()-1)/2))),IF(B40="","",INDEX(XU_LY_LENH!$I$2:$I$61,INT((ROW()-1)/2))))</x:f>
      </x:c>
      <x:c r="D40" s="191" t="str">
        <x:f>IF(MOD(ROW(),2)=1,IF(B40="","",IF(INDEX(XU_LY_LENH!$G$2:$G$61,INT((ROW()-1)/2))="HOLD",C40,MIN(INDEX(XU_LY_LENH!$I$2:$I$61,INT((ROW()-1)/2)),IF(IFERROR(INDEX(XU_LY_LENH!$C$2:$C$61,INT((ROW()-1)/2)+1),"")="",86400,IFERROR(INDEX(XU_LY_LENH!$B$2:$B$61,INT((ROW()-1)/2)+1),"")),86400))),IF(B40="","",MIN(IF(IFERROR(INDEX(XU_LY_LENH!$C$2:$C$61,INT((ROW()-1)/2)+1),"")="",86400,IFERROR(INDEX(XU_LY_LENH!$B$2:$B$61,INT((ROW()-1)/2)+1),"")),86400)))</x:f>
      </x:c>
      <x:c r="E40" s="191" t="str">
        <x:f>IF(MOD(ROW(),2)=1,IF(B40="","",INDEX(XU_LY_LENH!$F$2:$F$61,INT((ROW()-1)/2))),IF(B40="","",INDEX(XU_LY_LENH!$D$2:$D$61,INT((ROW()-1)/2))))</x:f>
      </x:c>
      <x:c r="F40" s="191" t="str">
        <x:f>IF(MOD(ROW(),2)=1,IF(B40="","",IF(INDEX(XU_LY_LENH!$G$2:$G$61,INT((ROW()-1)/2))="HOLD",E40,IF(D40&gt;=INDEX(XU_LY_LENH!$I$2:$I$61,INT((ROW()-1)/2)),INDEX(XU_LY_LENH!$D$2:$D$61,INT((ROW()-1)/2)),INDEX(XU_LY_LENH!$F$2:$F$61,INT((ROW()-1)/2))+(INDEX(XU_LY_LENH!$D$2:$D$61,INT((ROW()-1)/2))-INDEX(XU_LY_LENH!$F$2:$F$61,INT((ROW()-1)/2)))*(D40-INDEX(XU_LY_LENH!$B$2:$B$61,INT((ROW()-1)/2)))/MAX(INDEX(XU_LY_LENH!$I$2:$I$61,INT((ROW()-1)/2))-INDEX(XU_LY_LENH!$B$2:$B$61,INT((ROW()-1)/2)),0.000001)))),IF(B40="","",INDEX(XU_LY_LENH!$D$2:$D$61,INT((ROW()-1)/2))))</x:f>
      </x:c>
      <x:c r="G40" s="191" t="str">
        <x:f>IF(B40="","",D40-C40)</x:f>
      </x:c>
      <x:c r="H40" s="39" t="str">
        <x:f>IF(B40="","",IF(MOD(ROW(),2)=1,"Ramp lệnh "&amp;INT((ROW()-1)/2),"Giữ sau lệnh "&amp;INT((ROW()-1)/2)))</x:f>
      </x:c>
    </x:row>
    <x:row r="41">
      <x:c r="A41" s="38" t="n">
        <x:f>ROW()-1</x:f>
        <x:v>40</x:v>
      </x:c>
      <x:c r="B4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1" s="191" t="str">
        <x:f>IF(MOD(ROW(),2)=1,IF(B41="","",INDEX(XU_LY_LENH!$B$2:$B$61,INT((ROW()-1)/2))),IF(B41="","",INDEX(XU_LY_LENH!$I$2:$I$61,INT((ROW()-1)/2))))</x:f>
      </x:c>
      <x:c r="D41" s="191" t="str">
        <x:f>IF(MOD(ROW(),2)=1,IF(B41="","",IF(INDEX(XU_LY_LENH!$G$2:$G$61,INT((ROW()-1)/2))="HOLD",C41,MIN(INDEX(XU_LY_LENH!$I$2:$I$61,INT((ROW()-1)/2)),IF(IFERROR(INDEX(XU_LY_LENH!$C$2:$C$61,INT((ROW()-1)/2)+1),"")="",86400,IFERROR(INDEX(XU_LY_LENH!$B$2:$B$61,INT((ROW()-1)/2)+1),"")),86400))),IF(B41="","",MIN(IF(IFERROR(INDEX(XU_LY_LENH!$C$2:$C$61,INT((ROW()-1)/2)+1),"")="",86400,IFERROR(INDEX(XU_LY_LENH!$B$2:$B$61,INT((ROW()-1)/2)+1),"")),86400)))</x:f>
      </x:c>
      <x:c r="E41" s="191" t="str">
        <x:f>IF(MOD(ROW(),2)=1,IF(B41="","",INDEX(XU_LY_LENH!$F$2:$F$61,INT((ROW()-1)/2))),IF(B41="","",INDEX(XU_LY_LENH!$D$2:$D$61,INT((ROW()-1)/2))))</x:f>
      </x:c>
      <x:c r="F41" s="191" t="str">
        <x:f>IF(MOD(ROW(),2)=1,IF(B41="","",IF(INDEX(XU_LY_LENH!$G$2:$G$61,INT((ROW()-1)/2))="HOLD",E41,IF(D41&gt;=INDEX(XU_LY_LENH!$I$2:$I$61,INT((ROW()-1)/2)),INDEX(XU_LY_LENH!$D$2:$D$61,INT((ROW()-1)/2)),INDEX(XU_LY_LENH!$F$2:$F$61,INT((ROW()-1)/2))+(INDEX(XU_LY_LENH!$D$2:$D$61,INT((ROW()-1)/2))-INDEX(XU_LY_LENH!$F$2:$F$61,INT((ROW()-1)/2)))*(D41-INDEX(XU_LY_LENH!$B$2:$B$61,INT((ROW()-1)/2)))/MAX(INDEX(XU_LY_LENH!$I$2:$I$61,INT((ROW()-1)/2))-INDEX(XU_LY_LENH!$B$2:$B$61,INT((ROW()-1)/2)),0.000001)))),IF(B41="","",INDEX(XU_LY_LENH!$D$2:$D$61,INT((ROW()-1)/2))))</x:f>
      </x:c>
      <x:c r="G41" s="191" t="str">
        <x:f>IF(B41="","",D41-C41)</x:f>
      </x:c>
      <x:c r="H41" s="39" t="str">
        <x:f>IF(B41="","",IF(MOD(ROW(),2)=1,"Ramp lệnh "&amp;INT((ROW()-1)/2),"Giữ sau lệnh "&amp;INT((ROW()-1)/2)))</x:f>
      </x:c>
    </x:row>
    <x:row r="42">
      <x:c r="A42" s="38" t="n">
        <x:f>ROW()-1</x:f>
        <x:v>41</x:v>
      </x:c>
      <x:c r="B42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2" s="191" t="str">
        <x:f>IF(MOD(ROW(),2)=1,IF(B42="","",INDEX(XU_LY_LENH!$B$2:$B$61,INT((ROW()-1)/2))),IF(B42="","",INDEX(XU_LY_LENH!$I$2:$I$61,INT((ROW()-1)/2))))</x:f>
      </x:c>
      <x:c r="D42" s="191" t="str">
        <x:f>IF(MOD(ROW(),2)=1,IF(B42="","",IF(INDEX(XU_LY_LENH!$G$2:$G$61,INT((ROW()-1)/2))="HOLD",C42,MIN(INDEX(XU_LY_LENH!$I$2:$I$61,INT((ROW()-1)/2)),IF(IFERROR(INDEX(XU_LY_LENH!$C$2:$C$61,INT((ROW()-1)/2)+1),"")="",86400,IFERROR(INDEX(XU_LY_LENH!$B$2:$B$61,INT((ROW()-1)/2)+1),"")),86400))),IF(B42="","",MIN(IF(IFERROR(INDEX(XU_LY_LENH!$C$2:$C$61,INT((ROW()-1)/2)+1),"")="",86400,IFERROR(INDEX(XU_LY_LENH!$B$2:$B$61,INT((ROW()-1)/2)+1),"")),86400)))</x:f>
      </x:c>
      <x:c r="E42" s="191" t="str">
        <x:f>IF(MOD(ROW(),2)=1,IF(B42="","",INDEX(XU_LY_LENH!$F$2:$F$61,INT((ROW()-1)/2))),IF(B42="","",INDEX(XU_LY_LENH!$D$2:$D$61,INT((ROW()-1)/2))))</x:f>
      </x:c>
      <x:c r="F42" s="191" t="str">
        <x:f>IF(MOD(ROW(),2)=1,IF(B42="","",IF(INDEX(XU_LY_LENH!$G$2:$G$61,INT((ROW()-1)/2))="HOLD",E42,IF(D42&gt;=INDEX(XU_LY_LENH!$I$2:$I$61,INT((ROW()-1)/2)),INDEX(XU_LY_LENH!$D$2:$D$61,INT((ROW()-1)/2)),INDEX(XU_LY_LENH!$F$2:$F$61,INT((ROW()-1)/2))+(INDEX(XU_LY_LENH!$D$2:$D$61,INT((ROW()-1)/2))-INDEX(XU_LY_LENH!$F$2:$F$61,INT((ROW()-1)/2)))*(D42-INDEX(XU_LY_LENH!$B$2:$B$61,INT((ROW()-1)/2)))/MAX(INDEX(XU_LY_LENH!$I$2:$I$61,INT((ROW()-1)/2))-INDEX(XU_LY_LENH!$B$2:$B$61,INT((ROW()-1)/2)),0.000001)))),IF(B42="","",INDEX(XU_LY_LENH!$D$2:$D$61,INT((ROW()-1)/2))))</x:f>
      </x:c>
      <x:c r="G42" s="191" t="str">
        <x:f>IF(B42="","",D42-C42)</x:f>
      </x:c>
      <x:c r="H42" s="39" t="str">
        <x:f>IF(B42="","",IF(MOD(ROW(),2)=1,"Ramp lệnh "&amp;INT((ROW()-1)/2),"Giữ sau lệnh "&amp;INT((ROW()-1)/2)))</x:f>
      </x:c>
    </x:row>
    <x:row r="43">
      <x:c r="A43" s="38" t="n">
        <x:f>ROW()-1</x:f>
        <x:v>42</x:v>
      </x:c>
      <x:c r="B4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3" s="191" t="str">
        <x:f>IF(MOD(ROW(),2)=1,IF(B43="","",INDEX(XU_LY_LENH!$B$2:$B$61,INT((ROW()-1)/2))),IF(B43="","",INDEX(XU_LY_LENH!$I$2:$I$61,INT((ROW()-1)/2))))</x:f>
      </x:c>
      <x:c r="D43" s="191" t="str">
        <x:f>IF(MOD(ROW(),2)=1,IF(B43="","",IF(INDEX(XU_LY_LENH!$G$2:$G$61,INT((ROW()-1)/2))="HOLD",C43,MIN(INDEX(XU_LY_LENH!$I$2:$I$61,INT((ROW()-1)/2)),IF(IFERROR(INDEX(XU_LY_LENH!$C$2:$C$61,INT((ROW()-1)/2)+1),"")="",86400,IFERROR(INDEX(XU_LY_LENH!$B$2:$B$61,INT((ROW()-1)/2)+1),"")),86400))),IF(B43="","",MIN(IF(IFERROR(INDEX(XU_LY_LENH!$C$2:$C$61,INT((ROW()-1)/2)+1),"")="",86400,IFERROR(INDEX(XU_LY_LENH!$B$2:$B$61,INT((ROW()-1)/2)+1),"")),86400)))</x:f>
      </x:c>
      <x:c r="E43" s="191" t="str">
        <x:f>IF(MOD(ROW(),2)=1,IF(B43="","",INDEX(XU_LY_LENH!$F$2:$F$61,INT((ROW()-1)/2))),IF(B43="","",INDEX(XU_LY_LENH!$D$2:$D$61,INT((ROW()-1)/2))))</x:f>
      </x:c>
      <x:c r="F43" s="191" t="str">
        <x:f>IF(MOD(ROW(),2)=1,IF(B43="","",IF(INDEX(XU_LY_LENH!$G$2:$G$61,INT((ROW()-1)/2))="HOLD",E43,IF(D43&gt;=INDEX(XU_LY_LENH!$I$2:$I$61,INT((ROW()-1)/2)),INDEX(XU_LY_LENH!$D$2:$D$61,INT((ROW()-1)/2)),INDEX(XU_LY_LENH!$F$2:$F$61,INT((ROW()-1)/2))+(INDEX(XU_LY_LENH!$D$2:$D$61,INT((ROW()-1)/2))-INDEX(XU_LY_LENH!$F$2:$F$61,INT((ROW()-1)/2)))*(D43-INDEX(XU_LY_LENH!$B$2:$B$61,INT((ROW()-1)/2)))/MAX(INDEX(XU_LY_LENH!$I$2:$I$61,INT((ROW()-1)/2))-INDEX(XU_LY_LENH!$B$2:$B$61,INT((ROW()-1)/2)),0.000001)))),IF(B43="","",INDEX(XU_LY_LENH!$D$2:$D$61,INT((ROW()-1)/2))))</x:f>
      </x:c>
      <x:c r="G43" s="191" t="str">
        <x:f>IF(B43="","",D43-C43)</x:f>
      </x:c>
      <x:c r="H43" s="39" t="str">
        <x:f>IF(B43="","",IF(MOD(ROW(),2)=1,"Ramp lệnh "&amp;INT((ROW()-1)/2),"Giữ sau lệnh "&amp;INT((ROW()-1)/2)))</x:f>
      </x:c>
    </x:row>
    <x:row r="44">
      <x:c r="A44" s="38" t="n">
        <x:f>ROW()-1</x:f>
        <x:v>43</x:v>
      </x:c>
      <x:c r="B4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4" s="191" t="str">
        <x:f>IF(MOD(ROW(),2)=1,IF(B44="","",INDEX(XU_LY_LENH!$B$2:$B$61,INT((ROW()-1)/2))),IF(B44="","",INDEX(XU_LY_LENH!$I$2:$I$61,INT((ROW()-1)/2))))</x:f>
      </x:c>
      <x:c r="D44" s="191" t="str">
        <x:f>IF(MOD(ROW(),2)=1,IF(B44="","",IF(INDEX(XU_LY_LENH!$G$2:$G$61,INT((ROW()-1)/2))="HOLD",C44,MIN(INDEX(XU_LY_LENH!$I$2:$I$61,INT((ROW()-1)/2)),IF(IFERROR(INDEX(XU_LY_LENH!$C$2:$C$61,INT((ROW()-1)/2)+1),"")="",86400,IFERROR(INDEX(XU_LY_LENH!$B$2:$B$61,INT((ROW()-1)/2)+1),"")),86400))),IF(B44="","",MIN(IF(IFERROR(INDEX(XU_LY_LENH!$C$2:$C$61,INT((ROW()-1)/2)+1),"")="",86400,IFERROR(INDEX(XU_LY_LENH!$B$2:$B$61,INT((ROW()-1)/2)+1),"")),86400)))</x:f>
      </x:c>
      <x:c r="E44" s="191" t="str">
        <x:f>IF(MOD(ROW(),2)=1,IF(B44="","",INDEX(XU_LY_LENH!$F$2:$F$61,INT((ROW()-1)/2))),IF(B44="","",INDEX(XU_LY_LENH!$D$2:$D$61,INT((ROW()-1)/2))))</x:f>
      </x:c>
      <x:c r="F44" s="191" t="str">
        <x:f>IF(MOD(ROW(),2)=1,IF(B44="","",IF(INDEX(XU_LY_LENH!$G$2:$G$61,INT((ROW()-1)/2))="HOLD",E44,IF(D44&gt;=INDEX(XU_LY_LENH!$I$2:$I$61,INT((ROW()-1)/2)),INDEX(XU_LY_LENH!$D$2:$D$61,INT((ROW()-1)/2)),INDEX(XU_LY_LENH!$F$2:$F$61,INT((ROW()-1)/2))+(INDEX(XU_LY_LENH!$D$2:$D$61,INT((ROW()-1)/2))-INDEX(XU_LY_LENH!$F$2:$F$61,INT((ROW()-1)/2)))*(D44-INDEX(XU_LY_LENH!$B$2:$B$61,INT((ROW()-1)/2)))/MAX(INDEX(XU_LY_LENH!$I$2:$I$61,INT((ROW()-1)/2))-INDEX(XU_LY_LENH!$B$2:$B$61,INT((ROW()-1)/2)),0.000001)))),IF(B44="","",INDEX(XU_LY_LENH!$D$2:$D$61,INT((ROW()-1)/2))))</x:f>
      </x:c>
      <x:c r="G44" s="191" t="str">
        <x:f>IF(B44="","",D44-C44)</x:f>
      </x:c>
      <x:c r="H44" s="39" t="str">
        <x:f>IF(B44="","",IF(MOD(ROW(),2)=1,"Ramp lệnh "&amp;INT((ROW()-1)/2),"Giữ sau lệnh "&amp;INT((ROW()-1)/2)))</x:f>
      </x:c>
    </x:row>
    <x:row r="45">
      <x:c r="A45" s="38" t="n">
        <x:f>ROW()-1</x:f>
        <x:v>44</x:v>
      </x:c>
      <x:c r="B4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5" s="191" t="str">
        <x:f>IF(MOD(ROW(),2)=1,IF(B45="","",INDEX(XU_LY_LENH!$B$2:$B$61,INT((ROW()-1)/2))),IF(B45="","",INDEX(XU_LY_LENH!$I$2:$I$61,INT((ROW()-1)/2))))</x:f>
      </x:c>
      <x:c r="D45" s="191" t="str">
        <x:f>IF(MOD(ROW(),2)=1,IF(B45="","",IF(INDEX(XU_LY_LENH!$G$2:$G$61,INT((ROW()-1)/2))="HOLD",C45,MIN(INDEX(XU_LY_LENH!$I$2:$I$61,INT((ROW()-1)/2)),IF(IFERROR(INDEX(XU_LY_LENH!$C$2:$C$61,INT((ROW()-1)/2)+1),"")="",86400,IFERROR(INDEX(XU_LY_LENH!$B$2:$B$61,INT((ROW()-1)/2)+1),"")),86400))),IF(B45="","",MIN(IF(IFERROR(INDEX(XU_LY_LENH!$C$2:$C$61,INT((ROW()-1)/2)+1),"")="",86400,IFERROR(INDEX(XU_LY_LENH!$B$2:$B$61,INT((ROW()-1)/2)+1),"")),86400)))</x:f>
      </x:c>
      <x:c r="E45" s="191" t="str">
        <x:f>IF(MOD(ROW(),2)=1,IF(B45="","",INDEX(XU_LY_LENH!$F$2:$F$61,INT((ROW()-1)/2))),IF(B45="","",INDEX(XU_LY_LENH!$D$2:$D$61,INT((ROW()-1)/2))))</x:f>
      </x:c>
      <x:c r="F45" s="191" t="str">
        <x:f>IF(MOD(ROW(),2)=1,IF(B45="","",IF(INDEX(XU_LY_LENH!$G$2:$G$61,INT((ROW()-1)/2))="HOLD",E45,IF(D45&gt;=INDEX(XU_LY_LENH!$I$2:$I$61,INT((ROW()-1)/2)),INDEX(XU_LY_LENH!$D$2:$D$61,INT((ROW()-1)/2)),INDEX(XU_LY_LENH!$F$2:$F$61,INT((ROW()-1)/2))+(INDEX(XU_LY_LENH!$D$2:$D$61,INT((ROW()-1)/2))-INDEX(XU_LY_LENH!$F$2:$F$61,INT((ROW()-1)/2)))*(D45-INDEX(XU_LY_LENH!$B$2:$B$61,INT((ROW()-1)/2)))/MAX(INDEX(XU_LY_LENH!$I$2:$I$61,INT((ROW()-1)/2))-INDEX(XU_LY_LENH!$B$2:$B$61,INT((ROW()-1)/2)),0.000001)))),IF(B45="","",INDEX(XU_LY_LENH!$D$2:$D$61,INT((ROW()-1)/2))))</x:f>
      </x:c>
      <x:c r="G45" s="191" t="str">
        <x:f>IF(B45="","",D45-C45)</x:f>
      </x:c>
      <x:c r="H45" s="39" t="str">
        <x:f>IF(B45="","",IF(MOD(ROW(),2)=1,"Ramp lệnh "&amp;INT((ROW()-1)/2),"Giữ sau lệnh "&amp;INT((ROW()-1)/2)))</x:f>
      </x:c>
    </x:row>
    <x:row r="46">
      <x:c r="A46" s="38" t="n">
        <x:f>ROW()-1</x:f>
        <x:v>45</x:v>
      </x:c>
      <x:c r="B4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6" s="191" t="str">
        <x:f>IF(MOD(ROW(),2)=1,IF(B46="","",INDEX(XU_LY_LENH!$B$2:$B$61,INT((ROW()-1)/2))),IF(B46="","",INDEX(XU_LY_LENH!$I$2:$I$61,INT((ROW()-1)/2))))</x:f>
      </x:c>
      <x:c r="D46" s="191" t="str">
        <x:f>IF(MOD(ROW(),2)=1,IF(B46="","",IF(INDEX(XU_LY_LENH!$G$2:$G$61,INT((ROW()-1)/2))="HOLD",C46,MIN(INDEX(XU_LY_LENH!$I$2:$I$61,INT((ROW()-1)/2)),IF(IFERROR(INDEX(XU_LY_LENH!$C$2:$C$61,INT((ROW()-1)/2)+1),"")="",86400,IFERROR(INDEX(XU_LY_LENH!$B$2:$B$61,INT((ROW()-1)/2)+1),"")),86400))),IF(B46="","",MIN(IF(IFERROR(INDEX(XU_LY_LENH!$C$2:$C$61,INT((ROW()-1)/2)+1),"")="",86400,IFERROR(INDEX(XU_LY_LENH!$B$2:$B$61,INT((ROW()-1)/2)+1),"")),86400)))</x:f>
      </x:c>
      <x:c r="E46" s="191" t="str">
        <x:f>IF(MOD(ROW(),2)=1,IF(B46="","",INDEX(XU_LY_LENH!$F$2:$F$61,INT((ROW()-1)/2))),IF(B46="","",INDEX(XU_LY_LENH!$D$2:$D$61,INT((ROW()-1)/2))))</x:f>
      </x:c>
      <x:c r="F46" s="191" t="str">
        <x:f>IF(MOD(ROW(),2)=1,IF(B46="","",IF(INDEX(XU_LY_LENH!$G$2:$G$61,INT((ROW()-1)/2))="HOLD",E46,IF(D46&gt;=INDEX(XU_LY_LENH!$I$2:$I$61,INT((ROW()-1)/2)),INDEX(XU_LY_LENH!$D$2:$D$61,INT((ROW()-1)/2)),INDEX(XU_LY_LENH!$F$2:$F$61,INT((ROW()-1)/2))+(INDEX(XU_LY_LENH!$D$2:$D$61,INT((ROW()-1)/2))-INDEX(XU_LY_LENH!$F$2:$F$61,INT((ROW()-1)/2)))*(D46-INDEX(XU_LY_LENH!$B$2:$B$61,INT((ROW()-1)/2)))/MAX(INDEX(XU_LY_LENH!$I$2:$I$61,INT((ROW()-1)/2))-INDEX(XU_LY_LENH!$B$2:$B$61,INT((ROW()-1)/2)),0.000001)))),IF(B46="","",INDEX(XU_LY_LENH!$D$2:$D$61,INT((ROW()-1)/2))))</x:f>
      </x:c>
      <x:c r="G46" s="191" t="str">
        <x:f>IF(B46="","",D46-C46)</x:f>
      </x:c>
      <x:c r="H46" s="39" t="str">
        <x:f>IF(B46="","",IF(MOD(ROW(),2)=1,"Ramp lệnh "&amp;INT((ROW()-1)/2),"Giữ sau lệnh "&amp;INT((ROW()-1)/2)))</x:f>
      </x:c>
    </x:row>
    <x:row r="47">
      <x:c r="A47" s="38" t="n">
        <x:f>ROW()-1</x:f>
        <x:v>46</x:v>
      </x:c>
      <x:c r="B4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7" s="191" t="str">
        <x:f>IF(MOD(ROW(),2)=1,IF(B47="","",INDEX(XU_LY_LENH!$B$2:$B$61,INT((ROW()-1)/2))),IF(B47="","",INDEX(XU_LY_LENH!$I$2:$I$61,INT((ROW()-1)/2))))</x:f>
      </x:c>
      <x:c r="D47" s="191" t="str">
        <x:f>IF(MOD(ROW(),2)=1,IF(B47="","",IF(INDEX(XU_LY_LENH!$G$2:$G$61,INT((ROW()-1)/2))="HOLD",C47,MIN(INDEX(XU_LY_LENH!$I$2:$I$61,INT((ROW()-1)/2)),IF(IFERROR(INDEX(XU_LY_LENH!$C$2:$C$61,INT((ROW()-1)/2)+1),"")="",86400,IFERROR(INDEX(XU_LY_LENH!$B$2:$B$61,INT((ROW()-1)/2)+1),"")),86400))),IF(B47="","",MIN(IF(IFERROR(INDEX(XU_LY_LENH!$C$2:$C$61,INT((ROW()-1)/2)+1),"")="",86400,IFERROR(INDEX(XU_LY_LENH!$B$2:$B$61,INT((ROW()-1)/2)+1),"")),86400)))</x:f>
      </x:c>
      <x:c r="E47" s="191" t="str">
        <x:f>IF(MOD(ROW(),2)=1,IF(B47="","",INDEX(XU_LY_LENH!$F$2:$F$61,INT((ROW()-1)/2))),IF(B47="","",INDEX(XU_LY_LENH!$D$2:$D$61,INT((ROW()-1)/2))))</x:f>
      </x:c>
      <x:c r="F47" s="191" t="str">
        <x:f>IF(MOD(ROW(),2)=1,IF(B47="","",IF(INDEX(XU_LY_LENH!$G$2:$G$61,INT((ROW()-1)/2))="HOLD",E47,IF(D47&gt;=INDEX(XU_LY_LENH!$I$2:$I$61,INT((ROW()-1)/2)),INDEX(XU_LY_LENH!$D$2:$D$61,INT((ROW()-1)/2)),INDEX(XU_LY_LENH!$F$2:$F$61,INT((ROW()-1)/2))+(INDEX(XU_LY_LENH!$D$2:$D$61,INT((ROW()-1)/2))-INDEX(XU_LY_LENH!$F$2:$F$61,INT((ROW()-1)/2)))*(D47-INDEX(XU_LY_LENH!$B$2:$B$61,INT((ROW()-1)/2)))/MAX(INDEX(XU_LY_LENH!$I$2:$I$61,INT((ROW()-1)/2))-INDEX(XU_LY_LENH!$B$2:$B$61,INT((ROW()-1)/2)),0.000001)))),IF(B47="","",INDEX(XU_LY_LENH!$D$2:$D$61,INT((ROW()-1)/2))))</x:f>
      </x:c>
      <x:c r="G47" s="191" t="str">
        <x:f>IF(B47="","",D47-C47)</x:f>
      </x:c>
      <x:c r="H47" s="39" t="str">
        <x:f>IF(B47="","",IF(MOD(ROW(),2)=1,"Ramp lệnh "&amp;INT((ROW()-1)/2),"Giữ sau lệnh "&amp;INT((ROW()-1)/2)))</x:f>
      </x:c>
    </x:row>
    <x:row r="48">
      <x:c r="A48" s="38" t="n">
        <x:f>ROW()-1</x:f>
        <x:v>47</x:v>
      </x:c>
      <x:c r="B4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8" s="191" t="str">
        <x:f>IF(MOD(ROW(),2)=1,IF(B48="","",INDEX(XU_LY_LENH!$B$2:$B$61,INT((ROW()-1)/2))),IF(B48="","",INDEX(XU_LY_LENH!$I$2:$I$61,INT((ROW()-1)/2))))</x:f>
      </x:c>
      <x:c r="D48" s="191" t="str">
        <x:f>IF(MOD(ROW(),2)=1,IF(B48="","",IF(INDEX(XU_LY_LENH!$G$2:$G$61,INT((ROW()-1)/2))="HOLD",C48,MIN(INDEX(XU_LY_LENH!$I$2:$I$61,INT((ROW()-1)/2)),IF(IFERROR(INDEX(XU_LY_LENH!$C$2:$C$61,INT((ROW()-1)/2)+1),"")="",86400,IFERROR(INDEX(XU_LY_LENH!$B$2:$B$61,INT((ROW()-1)/2)+1),"")),86400))),IF(B48="","",MIN(IF(IFERROR(INDEX(XU_LY_LENH!$C$2:$C$61,INT((ROW()-1)/2)+1),"")="",86400,IFERROR(INDEX(XU_LY_LENH!$B$2:$B$61,INT((ROW()-1)/2)+1),"")),86400)))</x:f>
      </x:c>
      <x:c r="E48" s="191" t="str">
        <x:f>IF(MOD(ROW(),2)=1,IF(B48="","",INDEX(XU_LY_LENH!$F$2:$F$61,INT((ROW()-1)/2))),IF(B48="","",INDEX(XU_LY_LENH!$D$2:$D$61,INT((ROW()-1)/2))))</x:f>
      </x:c>
      <x:c r="F48" s="191" t="str">
        <x:f>IF(MOD(ROW(),2)=1,IF(B48="","",IF(INDEX(XU_LY_LENH!$G$2:$G$61,INT((ROW()-1)/2))="HOLD",E48,IF(D48&gt;=INDEX(XU_LY_LENH!$I$2:$I$61,INT((ROW()-1)/2)),INDEX(XU_LY_LENH!$D$2:$D$61,INT((ROW()-1)/2)),INDEX(XU_LY_LENH!$F$2:$F$61,INT((ROW()-1)/2))+(INDEX(XU_LY_LENH!$D$2:$D$61,INT((ROW()-1)/2))-INDEX(XU_LY_LENH!$F$2:$F$61,INT((ROW()-1)/2)))*(D48-INDEX(XU_LY_LENH!$B$2:$B$61,INT((ROW()-1)/2)))/MAX(INDEX(XU_LY_LENH!$I$2:$I$61,INT((ROW()-1)/2))-INDEX(XU_LY_LENH!$B$2:$B$61,INT((ROW()-1)/2)),0.000001)))),IF(B48="","",INDEX(XU_LY_LENH!$D$2:$D$61,INT((ROW()-1)/2))))</x:f>
      </x:c>
      <x:c r="G48" s="191" t="str">
        <x:f>IF(B48="","",D48-C48)</x:f>
      </x:c>
      <x:c r="H48" s="39" t="str">
        <x:f>IF(B48="","",IF(MOD(ROW(),2)=1,"Ramp lệnh "&amp;INT((ROW()-1)/2),"Giữ sau lệnh "&amp;INT((ROW()-1)/2)))</x:f>
      </x:c>
    </x:row>
    <x:row r="49">
      <x:c r="A49" s="38" t="n">
        <x:f>ROW()-1</x:f>
        <x:v>48</x:v>
      </x:c>
      <x:c r="B4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49" s="191" t="str">
        <x:f>IF(MOD(ROW(),2)=1,IF(B49="","",INDEX(XU_LY_LENH!$B$2:$B$61,INT((ROW()-1)/2))),IF(B49="","",INDEX(XU_LY_LENH!$I$2:$I$61,INT((ROW()-1)/2))))</x:f>
      </x:c>
      <x:c r="D49" s="191" t="str">
        <x:f>IF(MOD(ROW(),2)=1,IF(B49="","",IF(INDEX(XU_LY_LENH!$G$2:$G$61,INT((ROW()-1)/2))="HOLD",C49,MIN(INDEX(XU_LY_LENH!$I$2:$I$61,INT((ROW()-1)/2)),IF(IFERROR(INDEX(XU_LY_LENH!$C$2:$C$61,INT((ROW()-1)/2)+1),"")="",86400,IFERROR(INDEX(XU_LY_LENH!$B$2:$B$61,INT((ROW()-1)/2)+1),"")),86400))),IF(B49="","",MIN(IF(IFERROR(INDEX(XU_LY_LENH!$C$2:$C$61,INT((ROW()-1)/2)+1),"")="",86400,IFERROR(INDEX(XU_LY_LENH!$B$2:$B$61,INT((ROW()-1)/2)+1),"")),86400)))</x:f>
      </x:c>
      <x:c r="E49" s="191" t="str">
        <x:f>IF(MOD(ROW(),2)=1,IF(B49="","",INDEX(XU_LY_LENH!$F$2:$F$61,INT((ROW()-1)/2))),IF(B49="","",INDEX(XU_LY_LENH!$D$2:$D$61,INT((ROW()-1)/2))))</x:f>
      </x:c>
      <x:c r="F49" s="191" t="str">
        <x:f>IF(MOD(ROW(),2)=1,IF(B49="","",IF(INDEX(XU_LY_LENH!$G$2:$G$61,INT((ROW()-1)/2))="HOLD",E49,IF(D49&gt;=INDEX(XU_LY_LENH!$I$2:$I$61,INT((ROW()-1)/2)),INDEX(XU_LY_LENH!$D$2:$D$61,INT((ROW()-1)/2)),INDEX(XU_LY_LENH!$F$2:$F$61,INT((ROW()-1)/2))+(INDEX(XU_LY_LENH!$D$2:$D$61,INT((ROW()-1)/2))-INDEX(XU_LY_LENH!$F$2:$F$61,INT((ROW()-1)/2)))*(D49-INDEX(XU_LY_LENH!$B$2:$B$61,INT((ROW()-1)/2)))/MAX(INDEX(XU_LY_LENH!$I$2:$I$61,INT((ROW()-1)/2))-INDEX(XU_LY_LENH!$B$2:$B$61,INT((ROW()-1)/2)),0.000001)))),IF(B49="","",INDEX(XU_LY_LENH!$D$2:$D$61,INT((ROW()-1)/2))))</x:f>
      </x:c>
      <x:c r="G49" s="191" t="str">
        <x:f>IF(B49="","",D49-C49)</x:f>
      </x:c>
      <x:c r="H49" s="39" t="str">
        <x:f>IF(B49="","",IF(MOD(ROW(),2)=1,"Ramp lệnh "&amp;INT((ROW()-1)/2),"Giữ sau lệnh "&amp;INT((ROW()-1)/2)))</x:f>
      </x:c>
    </x:row>
    <x:row r="50">
      <x:c r="A50" s="38" t="n">
        <x:f>ROW()-1</x:f>
        <x:v>49</x:v>
      </x:c>
      <x:c r="B5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0" s="191" t="str">
        <x:f>IF(MOD(ROW(),2)=1,IF(B50="","",INDEX(XU_LY_LENH!$B$2:$B$61,INT((ROW()-1)/2))),IF(B50="","",INDEX(XU_LY_LENH!$I$2:$I$61,INT((ROW()-1)/2))))</x:f>
      </x:c>
      <x:c r="D50" s="191" t="str">
        <x:f>IF(MOD(ROW(),2)=1,IF(B50="","",IF(INDEX(XU_LY_LENH!$G$2:$G$61,INT((ROW()-1)/2))="HOLD",C50,MIN(INDEX(XU_LY_LENH!$I$2:$I$61,INT((ROW()-1)/2)),IF(IFERROR(INDEX(XU_LY_LENH!$C$2:$C$61,INT((ROW()-1)/2)+1),"")="",86400,IFERROR(INDEX(XU_LY_LENH!$B$2:$B$61,INT((ROW()-1)/2)+1),"")),86400))),IF(B50="","",MIN(IF(IFERROR(INDEX(XU_LY_LENH!$C$2:$C$61,INT((ROW()-1)/2)+1),"")="",86400,IFERROR(INDEX(XU_LY_LENH!$B$2:$B$61,INT((ROW()-1)/2)+1),"")),86400)))</x:f>
      </x:c>
      <x:c r="E50" s="191" t="str">
        <x:f>IF(MOD(ROW(),2)=1,IF(B50="","",INDEX(XU_LY_LENH!$F$2:$F$61,INT((ROW()-1)/2))),IF(B50="","",INDEX(XU_LY_LENH!$D$2:$D$61,INT((ROW()-1)/2))))</x:f>
      </x:c>
      <x:c r="F50" s="191" t="str">
        <x:f>IF(MOD(ROW(),2)=1,IF(B50="","",IF(INDEX(XU_LY_LENH!$G$2:$G$61,INT((ROW()-1)/2))="HOLD",E50,IF(D50&gt;=INDEX(XU_LY_LENH!$I$2:$I$61,INT((ROW()-1)/2)),INDEX(XU_LY_LENH!$D$2:$D$61,INT((ROW()-1)/2)),INDEX(XU_LY_LENH!$F$2:$F$61,INT((ROW()-1)/2))+(INDEX(XU_LY_LENH!$D$2:$D$61,INT((ROW()-1)/2))-INDEX(XU_LY_LENH!$F$2:$F$61,INT((ROW()-1)/2)))*(D50-INDEX(XU_LY_LENH!$B$2:$B$61,INT((ROW()-1)/2)))/MAX(INDEX(XU_LY_LENH!$I$2:$I$61,INT((ROW()-1)/2))-INDEX(XU_LY_LENH!$B$2:$B$61,INT((ROW()-1)/2)),0.000001)))),IF(B50="","",INDEX(XU_LY_LENH!$D$2:$D$61,INT((ROW()-1)/2))))</x:f>
      </x:c>
      <x:c r="G50" s="191" t="str">
        <x:f>IF(B50="","",D50-C50)</x:f>
      </x:c>
      <x:c r="H50" s="39" t="str">
        <x:f>IF(B50="","",IF(MOD(ROW(),2)=1,"Ramp lệnh "&amp;INT((ROW()-1)/2),"Giữ sau lệnh "&amp;INT((ROW()-1)/2)))</x:f>
      </x:c>
    </x:row>
    <x:row r="51">
      <x:c r="A51" s="38" t="n">
        <x:f>ROW()-1</x:f>
        <x:v>50</x:v>
      </x:c>
      <x:c r="B5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1" s="191" t="str">
        <x:f>IF(MOD(ROW(),2)=1,IF(B51="","",INDEX(XU_LY_LENH!$B$2:$B$61,INT((ROW()-1)/2))),IF(B51="","",INDEX(XU_LY_LENH!$I$2:$I$61,INT((ROW()-1)/2))))</x:f>
      </x:c>
      <x:c r="D51" s="191" t="str">
        <x:f>IF(MOD(ROW(),2)=1,IF(B51="","",IF(INDEX(XU_LY_LENH!$G$2:$G$61,INT((ROW()-1)/2))="HOLD",C51,MIN(INDEX(XU_LY_LENH!$I$2:$I$61,INT((ROW()-1)/2)),IF(IFERROR(INDEX(XU_LY_LENH!$C$2:$C$61,INT((ROW()-1)/2)+1),"")="",86400,IFERROR(INDEX(XU_LY_LENH!$B$2:$B$61,INT((ROW()-1)/2)+1),"")),86400))),IF(B51="","",MIN(IF(IFERROR(INDEX(XU_LY_LENH!$C$2:$C$61,INT((ROW()-1)/2)+1),"")="",86400,IFERROR(INDEX(XU_LY_LENH!$B$2:$B$61,INT((ROW()-1)/2)+1),"")),86400)))</x:f>
      </x:c>
      <x:c r="E51" s="191" t="str">
        <x:f>IF(MOD(ROW(),2)=1,IF(B51="","",INDEX(XU_LY_LENH!$F$2:$F$61,INT((ROW()-1)/2))),IF(B51="","",INDEX(XU_LY_LENH!$D$2:$D$61,INT((ROW()-1)/2))))</x:f>
      </x:c>
      <x:c r="F51" s="191" t="str">
        <x:f>IF(MOD(ROW(),2)=1,IF(B51="","",IF(INDEX(XU_LY_LENH!$G$2:$G$61,INT((ROW()-1)/2))="HOLD",E51,IF(D51&gt;=INDEX(XU_LY_LENH!$I$2:$I$61,INT((ROW()-1)/2)),INDEX(XU_LY_LENH!$D$2:$D$61,INT((ROW()-1)/2)),INDEX(XU_LY_LENH!$F$2:$F$61,INT((ROW()-1)/2))+(INDEX(XU_LY_LENH!$D$2:$D$61,INT((ROW()-1)/2))-INDEX(XU_LY_LENH!$F$2:$F$61,INT((ROW()-1)/2)))*(D51-INDEX(XU_LY_LENH!$B$2:$B$61,INT((ROW()-1)/2)))/MAX(INDEX(XU_LY_LENH!$I$2:$I$61,INT((ROW()-1)/2))-INDEX(XU_LY_LENH!$B$2:$B$61,INT((ROW()-1)/2)),0.000001)))),IF(B51="","",INDEX(XU_LY_LENH!$D$2:$D$61,INT((ROW()-1)/2))))</x:f>
      </x:c>
      <x:c r="G51" s="191" t="str">
        <x:f>IF(B51="","",D51-C51)</x:f>
      </x:c>
      <x:c r="H51" s="39" t="str">
        <x:f>IF(B51="","",IF(MOD(ROW(),2)=1,"Ramp lệnh "&amp;INT((ROW()-1)/2),"Giữ sau lệnh "&amp;INT((ROW()-1)/2)))</x:f>
      </x:c>
    </x:row>
    <x:row r="52">
      <x:c r="A52" s="38" t="n">
        <x:f>ROW()-1</x:f>
        <x:v>51</x:v>
      </x:c>
      <x:c r="B52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2" s="191" t="str">
        <x:f>IF(MOD(ROW(),2)=1,IF(B52="","",INDEX(XU_LY_LENH!$B$2:$B$61,INT((ROW()-1)/2))),IF(B52="","",INDEX(XU_LY_LENH!$I$2:$I$61,INT((ROW()-1)/2))))</x:f>
      </x:c>
      <x:c r="D52" s="191" t="str">
        <x:f>IF(MOD(ROW(),2)=1,IF(B52="","",IF(INDEX(XU_LY_LENH!$G$2:$G$61,INT((ROW()-1)/2))="HOLD",C52,MIN(INDEX(XU_LY_LENH!$I$2:$I$61,INT((ROW()-1)/2)),IF(IFERROR(INDEX(XU_LY_LENH!$C$2:$C$61,INT((ROW()-1)/2)+1),"")="",86400,IFERROR(INDEX(XU_LY_LENH!$B$2:$B$61,INT((ROW()-1)/2)+1),"")),86400))),IF(B52="","",MIN(IF(IFERROR(INDEX(XU_LY_LENH!$C$2:$C$61,INT((ROW()-1)/2)+1),"")="",86400,IFERROR(INDEX(XU_LY_LENH!$B$2:$B$61,INT((ROW()-1)/2)+1),"")),86400)))</x:f>
      </x:c>
      <x:c r="E52" s="191" t="str">
        <x:f>IF(MOD(ROW(),2)=1,IF(B52="","",INDEX(XU_LY_LENH!$F$2:$F$61,INT((ROW()-1)/2))),IF(B52="","",INDEX(XU_LY_LENH!$D$2:$D$61,INT((ROW()-1)/2))))</x:f>
      </x:c>
      <x:c r="F52" s="191" t="str">
        <x:f>IF(MOD(ROW(),2)=1,IF(B52="","",IF(INDEX(XU_LY_LENH!$G$2:$G$61,INT((ROW()-1)/2))="HOLD",E52,IF(D52&gt;=INDEX(XU_LY_LENH!$I$2:$I$61,INT((ROW()-1)/2)),INDEX(XU_LY_LENH!$D$2:$D$61,INT((ROW()-1)/2)),INDEX(XU_LY_LENH!$F$2:$F$61,INT((ROW()-1)/2))+(INDEX(XU_LY_LENH!$D$2:$D$61,INT((ROW()-1)/2))-INDEX(XU_LY_LENH!$F$2:$F$61,INT((ROW()-1)/2)))*(D52-INDEX(XU_LY_LENH!$B$2:$B$61,INT((ROW()-1)/2)))/MAX(INDEX(XU_LY_LENH!$I$2:$I$61,INT((ROW()-1)/2))-INDEX(XU_LY_LENH!$B$2:$B$61,INT((ROW()-1)/2)),0.000001)))),IF(B52="","",INDEX(XU_LY_LENH!$D$2:$D$61,INT((ROW()-1)/2))))</x:f>
      </x:c>
      <x:c r="G52" s="191" t="str">
        <x:f>IF(B52="","",D52-C52)</x:f>
      </x:c>
      <x:c r="H52" s="39" t="str">
        <x:f>IF(B52="","",IF(MOD(ROW(),2)=1,"Ramp lệnh "&amp;INT((ROW()-1)/2),"Giữ sau lệnh "&amp;INT((ROW()-1)/2)))</x:f>
      </x:c>
    </x:row>
    <x:row r="53">
      <x:c r="A53" s="38" t="n">
        <x:f>ROW()-1</x:f>
        <x:v>52</x:v>
      </x:c>
      <x:c r="B53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3" s="191" t="str">
        <x:f>IF(MOD(ROW(),2)=1,IF(B53="","",INDEX(XU_LY_LENH!$B$2:$B$61,INT((ROW()-1)/2))),IF(B53="","",INDEX(XU_LY_LENH!$I$2:$I$61,INT((ROW()-1)/2))))</x:f>
      </x:c>
      <x:c r="D53" s="191" t="str">
        <x:f>IF(MOD(ROW(),2)=1,IF(B53="","",IF(INDEX(XU_LY_LENH!$G$2:$G$61,INT((ROW()-1)/2))="HOLD",C53,MIN(INDEX(XU_LY_LENH!$I$2:$I$61,INT((ROW()-1)/2)),IF(IFERROR(INDEX(XU_LY_LENH!$C$2:$C$61,INT((ROW()-1)/2)+1),"")="",86400,IFERROR(INDEX(XU_LY_LENH!$B$2:$B$61,INT((ROW()-1)/2)+1),"")),86400))),IF(B53="","",MIN(IF(IFERROR(INDEX(XU_LY_LENH!$C$2:$C$61,INT((ROW()-1)/2)+1),"")="",86400,IFERROR(INDEX(XU_LY_LENH!$B$2:$B$61,INT((ROW()-1)/2)+1),"")),86400)))</x:f>
      </x:c>
      <x:c r="E53" s="191" t="str">
        <x:f>IF(MOD(ROW(),2)=1,IF(B53="","",INDEX(XU_LY_LENH!$F$2:$F$61,INT((ROW()-1)/2))),IF(B53="","",INDEX(XU_LY_LENH!$D$2:$D$61,INT((ROW()-1)/2))))</x:f>
      </x:c>
      <x:c r="F53" s="191" t="str">
        <x:f>IF(MOD(ROW(),2)=1,IF(B53="","",IF(INDEX(XU_LY_LENH!$G$2:$G$61,INT((ROW()-1)/2))="HOLD",E53,IF(D53&gt;=INDEX(XU_LY_LENH!$I$2:$I$61,INT((ROW()-1)/2)),INDEX(XU_LY_LENH!$D$2:$D$61,INT((ROW()-1)/2)),INDEX(XU_LY_LENH!$F$2:$F$61,INT((ROW()-1)/2))+(INDEX(XU_LY_LENH!$D$2:$D$61,INT((ROW()-1)/2))-INDEX(XU_LY_LENH!$F$2:$F$61,INT((ROW()-1)/2)))*(D53-INDEX(XU_LY_LENH!$B$2:$B$61,INT((ROW()-1)/2)))/MAX(INDEX(XU_LY_LENH!$I$2:$I$61,INT((ROW()-1)/2))-INDEX(XU_LY_LENH!$B$2:$B$61,INT((ROW()-1)/2)),0.000001)))),IF(B53="","",INDEX(XU_LY_LENH!$D$2:$D$61,INT((ROW()-1)/2))))</x:f>
      </x:c>
      <x:c r="G53" s="191" t="str">
        <x:f>IF(B53="","",D53-C53)</x:f>
      </x:c>
      <x:c r="H53" s="39" t="str">
        <x:f>IF(B53="","",IF(MOD(ROW(),2)=1,"Ramp lệnh "&amp;INT((ROW()-1)/2),"Giữ sau lệnh "&amp;INT((ROW()-1)/2)))</x:f>
      </x:c>
    </x:row>
    <x:row r="54">
      <x:c r="A54" s="38" t="n">
        <x:f>ROW()-1</x:f>
        <x:v>53</x:v>
      </x:c>
      <x:c r="B54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4" s="191" t="str">
        <x:f>IF(MOD(ROW(),2)=1,IF(B54="","",INDEX(XU_LY_LENH!$B$2:$B$61,INT((ROW()-1)/2))),IF(B54="","",INDEX(XU_LY_LENH!$I$2:$I$61,INT((ROW()-1)/2))))</x:f>
      </x:c>
      <x:c r="D54" s="191" t="str">
        <x:f>IF(MOD(ROW(),2)=1,IF(B54="","",IF(INDEX(XU_LY_LENH!$G$2:$G$61,INT((ROW()-1)/2))="HOLD",C54,MIN(INDEX(XU_LY_LENH!$I$2:$I$61,INT((ROW()-1)/2)),IF(IFERROR(INDEX(XU_LY_LENH!$C$2:$C$61,INT((ROW()-1)/2)+1),"")="",86400,IFERROR(INDEX(XU_LY_LENH!$B$2:$B$61,INT((ROW()-1)/2)+1),"")),86400))),IF(B54="","",MIN(IF(IFERROR(INDEX(XU_LY_LENH!$C$2:$C$61,INT((ROW()-1)/2)+1),"")="",86400,IFERROR(INDEX(XU_LY_LENH!$B$2:$B$61,INT((ROW()-1)/2)+1),"")),86400)))</x:f>
      </x:c>
      <x:c r="E54" s="191" t="str">
        <x:f>IF(MOD(ROW(),2)=1,IF(B54="","",INDEX(XU_LY_LENH!$F$2:$F$61,INT((ROW()-1)/2))),IF(B54="","",INDEX(XU_LY_LENH!$D$2:$D$61,INT((ROW()-1)/2))))</x:f>
      </x:c>
      <x:c r="F54" s="191" t="str">
        <x:f>IF(MOD(ROW(),2)=1,IF(B54="","",IF(INDEX(XU_LY_LENH!$G$2:$G$61,INT((ROW()-1)/2))="HOLD",E54,IF(D54&gt;=INDEX(XU_LY_LENH!$I$2:$I$61,INT((ROW()-1)/2)),INDEX(XU_LY_LENH!$D$2:$D$61,INT((ROW()-1)/2)),INDEX(XU_LY_LENH!$F$2:$F$61,INT((ROW()-1)/2))+(INDEX(XU_LY_LENH!$D$2:$D$61,INT((ROW()-1)/2))-INDEX(XU_LY_LENH!$F$2:$F$61,INT((ROW()-1)/2)))*(D54-INDEX(XU_LY_LENH!$B$2:$B$61,INT((ROW()-1)/2)))/MAX(INDEX(XU_LY_LENH!$I$2:$I$61,INT((ROW()-1)/2))-INDEX(XU_LY_LENH!$B$2:$B$61,INT((ROW()-1)/2)),0.000001)))),IF(B54="","",INDEX(XU_LY_LENH!$D$2:$D$61,INT((ROW()-1)/2))))</x:f>
      </x:c>
      <x:c r="G54" s="191" t="str">
        <x:f>IF(B54="","",D54-C54)</x:f>
      </x:c>
      <x:c r="H54" s="39" t="str">
        <x:f>IF(B54="","",IF(MOD(ROW(),2)=1,"Ramp lệnh "&amp;INT((ROW()-1)/2),"Giữ sau lệnh "&amp;INT((ROW()-1)/2)))</x:f>
      </x:c>
    </x:row>
    <x:row r="55">
      <x:c r="A55" s="38" t="n">
        <x:f>ROW()-1</x:f>
        <x:v>54</x:v>
      </x:c>
      <x:c r="B55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5" s="191" t="str">
        <x:f>IF(MOD(ROW(),2)=1,IF(B55="","",INDEX(XU_LY_LENH!$B$2:$B$61,INT((ROW()-1)/2))),IF(B55="","",INDEX(XU_LY_LENH!$I$2:$I$61,INT((ROW()-1)/2))))</x:f>
      </x:c>
      <x:c r="D55" s="191" t="str">
        <x:f>IF(MOD(ROW(),2)=1,IF(B55="","",IF(INDEX(XU_LY_LENH!$G$2:$G$61,INT((ROW()-1)/2))="HOLD",C55,MIN(INDEX(XU_LY_LENH!$I$2:$I$61,INT((ROW()-1)/2)),IF(IFERROR(INDEX(XU_LY_LENH!$C$2:$C$61,INT((ROW()-1)/2)+1),"")="",86400,IFERROR(INDEX(XU_LY_LENH!$B$2:$B$61,INT((ROW()-1)/2)+1),"")),86400))),IF(B55="","",MIN(IF(IFERROR(INDEX(XU_LY_LENH!$C$2:$C$61,INT((ROW()-1)/2)+1),"")="",86400,IFERROR(INDEX(XU_LY_LENH!$B$2:$B$61,INT((ROW()-1)/2)+1),"")),86400)))</x:f>
      </x:c>
      <x:c r="E55" s="191" t="str">
        <x:f>IF(MOD(ROW(),2)=1,IF(B55="","",INDEX(XU_LY_LENH!$F$2:$F$61,INT((ROW()-1)/2))),IF(B55="","",INDEX(XU_LY_LENH!$D$2:$D$61,INT((ROW()-1)/2))))</x:f>
      </x:c>
      <x:c r="F55" s="191" t="str">
        <x:f>IF(MOD(ROW(),2)=1,IF(B55="","",IF(INDEX(XU_LY_LENH!$G$2:$G$61,INT((ROW()-1)/2))="HOLD",E55,IF(D55&gt;=INDEX(XU_LY_LENH!$I$2:$I$61,INT((ROW()-1)/2)),INDEX(XU_LY_LENH!$D$2:$D$61,INT((ROW()-1)/2)),INDEX(XU_LY_LENH!$F$2:$F$61,INT((ROW()-1)/2))+(INDEX(XU_LY_LENH!$D$2:$D$61,INT((ROW()-1)/2))-INDEX(XU_LY_LENH!$F$2:$F$61,INT((ROW()-1)/2)))*(D55-INDEX(XU_LY_LENH!$B$2:$B$61,INT((ROW()-1)/2)))/MAX(INDEX(XU_LY_LENH!$I$2:$I$61,INT((ROW()-1)/2))-INDEX(XU_LY_LENH!$B$2:$B$61,INT((ROW()-1)/2)),0.000001)))),IF(B55="","",INDEX(XU_LY_LENH!$D$2:$D$61,INT((ROW()-1)/2))))</x:f>
      </x:c>
      <x:c r="G55" s="191" t="str">
        <x:f>IF(B55="","",D55-C55)</x:f>
      </x:c>
      <x:c r="H55" s="39" t="str">
        <x:f>IF(B55="","",IF(MOD(ROW(),2)=1,"Ramp lệnh "&amp;INT((ROW()-1)/2),"Giữ sau lệnh "&amp;INT((ROW()-1)/2)))</x:f>
      </x:c>
    </x:row>
    <x:row r="56">
      <x:c r="A56" s="38" t="n">
        <x:f>ROW()-1</x:f>
        <x:v>55</x:v>
      </x:c>
      <x:c r="B56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6" s="191" t="str">
        <x:f>IF(MOD(ROW(),2)=1,IF(B56="","",INDEX(XU_LY_LENH!$B$2:$B$61,INT((ROW()-1)/2))),IF(B56="","",INDEX(XU_LY_LENH!$I$2:$I$61,INT((ROW()-1)/2))))</x:f>
      </x:c>
      <x:c r="D56" s="191" t="str">
        <x:f>IF(MOD(ROW(),2)=1,IF(B56="","",IF(INDEX(XU_LY_LENH!$G$2:$G$61,INT((ROW()-1)/2))="HOLD",C56,MIN(INDEX(XU_LY_LENH!$I$2:$I$61,INT((ROW()-1)/2)),IF(IFERROR(INDEX(XU_LY_LENH!$C$2:$C$61,INT((ROW()-1)/2)+1),"")="",86400,IFERROR(INDEX(XU_LY_LENH!$B$2:$B$61,INT((ROW()-1)/2)+1),"")),86400))),IF(B56="","",MIN(IF(IFERROR(INDEX(XU_LY_LENH!$C$2:$C$61,INT((ROW()-1)/2)+1),"")="",86400,IFERROR(INDEX(XU_LY_LENH!$B$2:$B$61,INT((ROW()-1)/2)+1),"")),86400)))</x:f>
      </x:c>
      <x:c r="E56" s="191" t="str">
        <x:f>IF(MOD(ROW(),2)=1,IF(B56="","",INDEX(XU_LY_LENH!$F$2:$F$61,INT((ROW()-1)/2))),IF(B56="","",INDEX(XU_LY_LENH!$D$2:$D$61,INT((ROW()-1)/2))))</x:f>
      </x:c>
      <x:c r="F56" s="191" t="str">
        <x:f>IF(MOD(ROW(),2)=1,IF(B56="","",IF(INDEX(XU_LY_LENH!$G$2:$G$61,INT((ROW()-1)/2))="HOLD",E56,IF(D56&gt;=INDEX(XU_LY_LENH!$I$2:$I$61,INT((ROW()-1)/2)),INDEX(XU_LY_LENH!$D$2:$D$61,INT((ROW()-1)/2)),INDEX(XU_LY_LENH!$F$2:$F$61,INT((ROW()-1)/2))+(INDEX(XU_LY_LENH!$D$2:$D$61,INT((ROW()-1)/2))-INDEX(XU_LY_LENH!$F$2:$F$61,INT((ROW()-1)/2)))*(D56-INDEX(XU_LY_LENH!$B$2:$B$61,INT((ROW()-1)/2)))/MAX(INDEX(XU_LY_LENH!$I$2:$I$61,INT((ROW()-1)/2))-INDEX(XU_LY_LENH!$B$2:$B$61,INT((ROW()-1)/2)),0.000001)))),IF(B56="","",INDEX(XU_LY_LENH!$D$2:$D$61,INT((ROW()-1)/2))))</x:f>
      </x:c>
      <x:c r="G56" s="191" t="str">
        <x:f>IF(B56="","",D56-C56)</x:f>
      </x:c>
      <x:c r="H56" s="39" t="str">
        <x:f>IF(B56="","",IF(MOD(ROW(),2)=1,"Ramp lệnh "&amp;INT((ROW()-1)/2),"Giữ sau lệnh "&amp;INT((ROW()-1)/2)))</x:f>
      </x:c>
    </x:row>
    <x:row r="57">
      <x:c r="A57" s="38" t="n">
        <x:f>ROW()-1</x:f>
        <x:v>56</x:v>
      </x:c>
      <x:c r="B57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7" s="191" t="str">
        <x:f>IF(MOD(ROW(),2)=1,IF(B57="","",INDEX(XU_LY_LENH!$B$2:$B$61,INT((ROW()-1)/2))),IF(B57="","",INDEX(XU_LY_LENH!$I$2:$I$61,INT((ROW()-1)/2))))</x:f>
      </x:c>
      <x:c r="D57" s="191" t="str">
        <x:f>IF(MOD(ROW(),2)=1,IF(B57="","",IF(INDEX(XU_LY_LENH!$G$2:$G$61,INT((ROW()-1)/2))="HOLD",C57,MIN(INDEX(XU_LY_LENH!$I$2:$I$61,INT((ROW()-1)/2)),IF(IFERROR(INDEX(XU_LY_LENH!$C$2:$C$61,INT((ROW()-1)/2)+1),"")="",86400,IFERROR(INDEX(XU_LY_LENH!$B$2:$B$61,INT((ROW()-1)/2)+1),"")),86400))),IF(B57="","",MIN(IF(IFERROR(INDEX(XU_LY_LENH!$C$2:$C$61,INT((ROW()-1)/2)+1),"")="",86400,IFERROR(INDEX(XU_LY_LENH!$B$2:$B$61,INT((ROW()-1)/2)+1),"")),86400)))</x:f>
      </x:c>
      <x:c r="E57" s="191" t="str">
        <x:f>IF(MOD(ROW(),2)=1,IF(B57="","",INDEX(XU_LY_LENH!$F$2:$F$61,INT((ROW()-1)/2))),IF(B57="","",INDEX(XU_LY_LENH!$D$2:$D$61,INT((ROW()-1)/2))))</x:f>
      </x:c>
      <x:c r="F57" s="191" t="str">
        <x:f>IF(MOD(ROW(),2)=1,IF(B57="","",IF(INDEX(XU_LY_LENH!$G$2:$G$61,INT((ROW()-1)/2))="HOLD",E57,IF(D57&gt;=INDEX(XU_LY_LENH!$I$2:$I$61,INT((ROW()-1)/2)),INDEX(XU_LY_LENH!$D$2:$D$61,INT((ROW()-1)/2)),INDEX(XU_LY_LENH!$F$2:$F$61,INT((ROW()-1)/2))+(INDEX(XU_LY_LENH!$D$2:$D$61,INT((ROW()-1)/2))-INDEX(XU_LY_LENH!$F$2:$F$61,INT((ROW()-1)/2)))*(D57-INDEX(XU_LY_LENH!$B$2:$B$61,INT((ROW()-1)/2)))/MAX(INDEX(XU_LY_LENH!$I$2:$I$61,INT((ROW()-1)/2))-INDEX(XU_LY_LENH!$B$2:$B$61,INT((ROW()-1)/2)),0.000001)))),IF(B57="","",INDEX(XU_LY_LENH!$D$2:$D$61,INT((ROW()-1)/2))))</x:f>
      </x:c>
      <x:c r="G57" s="191" t="str">
        <x:f>IF(B57="","",D57-C57)</x:f>
      </x:c>
      <x:c r="H57" s="39" t="str">
        <x:f>IF(B57="","",IF(MOD(ROW(),2)=1,"Ramp lệnh "&amp;INT((ROW()-1)/2),"Giữ sau lệnh "&amp;INT((ROW()-1)/2)))</x:f>
      </x:c>
    </x:row>
    <x:row r="58">
      <x:c r="A58" s="38" t="n">
        <x:f>ROW()-1</x:f>
        <x:v>57</x:v>
      </x:c>
      <x:c r="B58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8" s="191" t="str">
        <x:f>IF(MOD(ROW(),2)=1,IF(B58="","",INDEX(XU_LY_LENH!$B$2:$B$61,INT((ROW()-1)/2))),IF(B58="","",INDEX(XU_LY_LENH!$I$2:$I$61,INT((ROW()-1)/2))))</x:f>
      </x:c>
      <x:c r="D58" s="191" t="str">
        <x:f>IF(MOD(ROW(),2)=1,IF(B58="","",IF(INDEX(XU_LY_LENH!$G$2:$G$61,INT((ROW()-1)/2))="HOLD",C58,MIN(INDEX(XU_LY_LENH!$I$2:$I$61,INT((ROW()-1)/2)),IF(IFERROR(INDEX(XU_LY_LENH!$C$2:$C$61,INT((ROW()-1)/2)+1),"")="",86400,IFERROR(INDEX(XU_LY_LENH!$B$2:$B$61,INT((ROW()-1)/2)+1),"")),86400))),IF(B58="","",MIN(IF(IFERROR(INDEX(XU_LY_LENH!$C$2:$C$61,INT((ROW()-1)/2)+1),"")="",86400,IFERROR(INDEX(XU_LY_LENH!$B$2:$B$61,INT((ROW()-1)/2)+1),"")),86400)))</x:f>
      </x:c>
      <x:c r="E58" s="191" t="str">
        <x:f>IF(MOD(ROW(),2)=1,IF(B58="","",INDEX(XU_LY_LENH!$F$2:$F$61,INT((ROW()-1)/2))),IF(B58="","",INDEX(XU_LY_LENH!$D$2:$D$61,INT((ROW()-1)/2))))</x:f>
      </x:c>
      <x:c r="F58" s="191" t="str">
        <x:f>IF(MOD(ROW(),2)=1,IF(B58="","",IF(INDEX(XU_LY_LENH!$G$2:$G$61,INT((ROW()-1)/2))="HOLD",E58,IF(D58&gt;=INDEX(XU_LY_LENH!$I$2:$I$61,INT((ROW()-1)/2)),INDEX(XU_LY_LENH!$D$2:$D$61,INT((ROW()-1)/2)),INDEX(XU_LY_LENH!$F$2:$F$61,INT((ROW()-1)/2))+(INDEX(XU_LY_LENH!$D$2:$D$61,INT((ROW()-1)/2))-INDEX(XU_LY_LENH!$F$2:$F$61,INT((ROW()-1)/2)))*(D58-INDEX(XU_LY_LENH!$B$2:$B$61,INT((ROW()-1)/2)))/MAX(INDEX(XU_LY_LENH!$I$2:$I$61,INT((ROW()-1)/2))-INDEX(XU_LY_LENH!$B$2:$B$61,INT((ROW()-1)/2)),0.000001)))),IF(B58="","",INDEX(XU_LY_LENH!$D$2:$D$61,INT((ROW()-1)/2))))</x:f>
      </x:c>
      <x:c r="G58" s="191" t="str">
        <x:f>IF(B58="","",D58-C58)</x:f>
      </x:c>
      <x:c r="H58" s="39" t="str">
        <x:f>IF(B58="","",IF(MOD(ROW(),2)=1,"Ramp lệnh "&amp;INT((ROW()-1)/2),"Giữ sau lệnh "&amp;INT((ROW()-1)/2)))</x:f>
      </x:c>
    </x:row>
    <x:row r="59">
      <x:c r="A59" s="38" t="n">
        <x:f>ROW()-1</x:f>
        <x:v>58</x:v>
      </x:c>
      <x:c r="B59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59" s="191" t="str">
        <x:f>IF(MOD(ROW(),2)=1,IF(B59="","",INDEX(XU_LY_LENH!$B$2:$B$61,INT((ROW()-1)/2))),IF(B59="","",INDEX(XU_LY_LENH!$I$2:$I$61,INT((ROW()-1)/2))))</x:f>
      </x:c>
      <x:c r="D59" s="191" t="str">
        <x:f>IF(MOD(ROW(),2)=1,IF(B59="","",IF(INDEX(XU_LY_LENH!$G$2:$G$61,INT((ROW()-1)/2))="HOLD",C59,MIN(INDEX(XU_LY_LENH!$I$2:$I$61,INT((ROW()-1)/2)),IF(IFERROR(INDEX(XU_LY_LENH!$C$2:$C$61,INT((ROW()-1)/2)+1),"")="",86400,IFERROR(INDEX(XU_LY_LENH!$B$2:$B$61,INT((ROW()-1)/2)+1),"")),86400))),IF(B59="","",MIN(IF(IFERROR(INDEX(XU_LY_LENH!$C$2:$C$61,INT((ROW()-1)/2)+1),"")="",86400,IFERROR(INDEX(XU_LY_LENH!$B$2:$B$61,INT((ROW()-1)/2)+1),"")),86400)))</x:f>
      </x:c>
      <x:c r="E59" s="191" t="str">
        <x:f>IF(MOD(ROW(),2)=1,IF(B59="","",INDEX(XU_LY_LENH!$F$2:$F$61,INT((ROW()-1)/2))),IF(B59="","",INDEX(XU_LY_LENH!$D$2:$D$61,INT((ROW()-1)/2))))</x:f>
      </x:c>
      <x:c r="F59" s="191" t="str">
        <x:f>IF(MOD(ROW(),2)=1,IF(B59="","",IF(INDEX(XU_LY_LENH!$G$2:$G$61,INT((ROW()-1)/2))="HOLD",E59,IF(D59&gt;=INDEX(XU_LY_LENH!$I$2:$I$61,INT((ROW()-1)/2)),INDEX(XU_LY_LENH!$D$2:$D$61,INT((ROW()-1)/2)),INDEX(XU_LY_LENH!$F$2:$F$61,INT((ROW()-1)/2))+(INDEX(XU_LY_LENH!$D$2:$D$61,INT((ROW()-1)/2))-INDEX(XU_LY_LENH!$F$2:$F$61,INT((ROW()-1)/2)))*(D59-INDEX(XU_LY_LENH!$B$2:$B$61,INT((ROW()-1)/2)))/MAX(INDEX(XU_LY_LENH!$I$2:$I$61,INT((ROW()-1)/2))-INDEX(XU_LY_LENH!$B$2:$B$61,INT((ROW()-1)/2)),0.000001)))),IF(B59="","",INDEX(XU_LY_LENH!$D$2:$D$61,INT((ROW()-1)/2))))</x:f>
      </x:c>
      <x:c r="G59" s="191" t="str">
        <x:f>IF(B59="","",D59-C59)</x:f>
      </x:c>
      <x:c r="H59" s="39" t="str">
        <x:f>IF(B59="","",IF(MOD(ROW(),2)=1,"Ramp lệnh "&amp;INT((ROW()-1)/2),"Giữ sau lệnh "&amp;INT((ROW()-1)/2)))</x:f>
      </x:c>
    </x:row>
    <x:row r="60">
      <x:c r="A60" s="38" t="n">
        <x:f>ROW()-1</x:f>
        <x:v>59</x:v>
      </x:c>
      <x:c r="B60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0" s="191" t="str">
        <x:f>IF(MOD(ROW(),2)=1,IF(B60="","",INDEX(XU_LY_LENH!$B$2:$B$61,INT((ROW()-1)/2))),IF(B60="","",INDEX(XU_LY_LENH!$I$2:$I$61,INT((ROW()-1)/2))))</x:f>
      </x:c>
      <x:c r="D60" s="191" t="str">
        <x:f>IF(MOD(ROW(),2)=1,IF(B60="","",IF(INDEX(XU_LY_LENH!$G$2:$G$61,INT((ROW()-1)/2))="HOLD",C60,MIN(INDEX(XU_LY_LENH!$I$2:$I$61,INT((ROW()-1)/2)),IF(IFERROR(INDEX(XU_LY_LENH!$C$2:$C$61,INT((ROW()-1)/2)+1),"")="",86400,IFERROR(INDEX(XU_LY_LENH!$B$2:$B$61,INT((ROW()-1)/2)+1),"")),86400))),IF(B60="","",MIN(IF(IFERROR(INDEX(XU_LY_LENH!$C$2:$C$61,INT((ROW()-1)/2)+1),"")="",86400,IFERROR(INDEX(XU_LY_LENH!$B$2:$B$61,INT((ROW()-1)/2)+1),"")),86400)))</x:f>
      </x:c>
      <x:c r="E60" s="191" t="str">
        <x:f>IF(MOD(ROW(),2)=1,IF(B60="","",INDEX(XU_LY_LENH!$F$2:$F$61,INT((ROW()-1)/2))),IF(B60="","",INDEX(XU_LY_LENH!$D$2:$D$61,INT((ROW()-1)/2))))</x:f>
      </x:c>
      <x:c r="F60" s="191" t="str">
        <x:f>IF(MOD(ROW(),2)=1,IF(B60="","",IF(INDEX(XU_LY_LENH!$G$2:$G$61,INT((ROW()-1)/2))="HOLD",E60,IF(D60&gt;=INDEX(XU_LY_LENH!$I$2:$I$61,INT((ROW()-1)/2)),INDEX(XU_LY_LENH!$D$2:$D$61,INT((ROW()-1)/2)),INDEX(XU_LY_LENH!$F$2:$F$61,INT((ROW()-1)/2))+(INDEX(XU_LY_LENH!$D$2:$D$61,INT((ROW()-1)/2))-INDEX(XU_LY_LENH!$F$2:$F$61,INT((ROW()-1)/2)))*(D60-INDEX(XU_LY_LENH!$B$2:$B$61,INT((ROW()-1)/2)))/MAX(INDEX(XU_LY_LENH!$I$2:$I$61,INT((ROW()-1)/2))-INDEX(XU_LY_LENH!$B$2:$B$61,INT((ROW()-1)/2)),0.000001)))),IF(B60="","",INDEX(XU_LY_LENH!$D$2:$D$61,INT((ROW()-1)/2))))</x:f>
      </x:c>
      <x:c r="G60" s="191" t="str">
        <x:f>IF(B60="","",D60-C60)</x:f>
      </x:c>
      <x:c r="H60" s="39" t="str">
        <x:f>IF(B60="","",IF(MOD(ROW(),2)=1,"Ramp lệnh "&amp;INT((ROW()-1)/2),"Giữ sau lệnh "&amp;INT((ROW()-1)/2)))</x:f>
      </x:c>
    </x:row>
    <x:row r="61">
      <x:c r="A61" s="38" t="n">
        <x:f>ROW()-1</x:f>
        <x:v>60</x:v>
      </x:c>
      <x:c r="B61" s="14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1" s="191" t="str">
        <x:f>IF(MOD(ROW(),2)=1,IF(B61="","",INDEX(XU_LY_LENH!$B$2:$B$61,INT((ROW()-1)/2))),IF(B61="","",INDEX(XU_LY_LENH!$I$2:$I$61,INT((ROW()-1)/2))))</x:f>
      </x:c>
      <x:c r="D61" s="191" t="str">
        <x:f>IF(MOD(ROW(),2)=1,IF(B61="","",IF(INDEX(XU_LY_LENH!$G$2:$G$61,INT((ROW()-1)/2))="HOLD",C61,MIN(INDEX(XU_LY_LENH!$I$2:$I$61,INT((ROW()-1)/2)),IF(IFERROR(INDEX(XU_LY_LENH!$C$2:$C$61,INT((ROW()-1)/2)+1),"")="",86400,IFERROR(INDEX(XU_LY_LENH!$B$2:$B$61,INT((ROW()-1)/2)+1),"")),86400))),IF(B61="","",MIN(IF(IFERROR(INDEX(XU_LY_LENH!$C$2:$C$61,INT((ROW()-1)/2)+1),"")="",86400,IFERROR(INDEX(XU_LY_LENH!$B$2:$B$61,INT((ROW()-1)/2)+1),"")),86400)))</x:f>
      </x:c>
      <x:c r="E61" s="191" t="str">
        <x:f>IF(MOD(ROW(),2)=1,IF(B61="","",INDEX(XU_LY_LENH!$F$2:$F$61,INT((ROW()-1)/2))),IF(B61="","",INDEX(XU_LY_LENH!$D$2:$D$61,INT((ROW()-1)/2))))</x:f>
      </x:c>
      <x:c r="F61" s="191" t="str">
        <x:f>IF(MOD(ROW(),2)=1,IF(B61="","",IF(INDEX(XU_LY_LENH!$G$2:$G$61,INT((ROW()-1)/2))="HOLD",E61,IF(D61&gt;=INDEX(XU_LY_LENH!$I$2:$I$61,INT((ROW()-1)/2)),INDEX(XU_LY_LENH!$D$2:$D$61,INT((ROW()-1)/2)),INDEX(XU_LY_LENH!$F$2:$F$61,INT((ROW()-1)/2))+(INDEX(XU_LY_LENH!$D$2:$D$61,INT((ROW()-1)/2))-INDEX(XU_LY_LENH!$F$2:$F$61,INT((ROW()-1)/2)))*(D61-INDEX(XU_LY_LENH!$B$2:$B$61,INT((ROW()-1)/2)))/MAX(INDEX(XU_LY_LENH!$I$2:$I$61,INT((ROW()-1)/2))-INDEX(XU_LY_LENH!$B$2:$B$61,INT((ROW()-1)/2)),0.000001)))),IF(B61="","",INDEX(XU_LY_LENH!$D$2:$D$61,INT((ROW()-1)/2))))</x:f>
      </x:c>
      <x:c r="G61" s="191" t="str">
        <x:f>IF(B61="","",D61-C61)</x:f>
      </x:c>
      <x:c r="H61" s="39" t="str">
        <x:f>IF(B61="","",IF(MOD(ROW(),2)=1,"Ramp lệnh "&amp;INT((ROW()-1)/2),"Giữ sau lệnh "&amp;INT((ROW()-1)/2)))</x:f>
      </x:c>
    </x:row>
    <x:row r="62">
      <x:c r="A62" s="40" t="n">
        <x:f>ROW()-1</x:f>
        <x:v>61</x:v>
      </x:c>
      <x:c r="B62" s="14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2" s="192" t="str">
        <x:f>IF(MOD(ROW(),2)=1,IF(B62="","",INDEX(XU_LY_LENH!$B$2:$B$61,INT((ROW()-1)/2))),IF(B62="","",INDEX(XU_LY_LENH!$I$2:$I$61,INT((ROW()-1)/2))))</x:f>
      </x:c>
      <x:c r="D62" s="192" t="str">
        <x:f>IF(MOD(ROW(),2)=1,IF(B62="","",IF(INDEX(XU_LY_LENH!$G$2:$G$61,INT((ROW()-1)/2))="HOLD",C62,MIN(INDEX(XU_LY_LENH!$I$2:$I$61,INT((ROW()-1)/2)),IF(IFERROR(INDEX(XU_LY_LENH!$C$2:$C$61,INT((ROW()-1)/2)+1),"")="",86400,IFERROR(INDEX(XU_LY_LENH!$B$2:$B$61,INT((ROW()-1)/2)+1),"")),86400))),IF(B62="","",MIN(IF(IFERROR(INDEX(XU_LY_LENH!$C$2:$C$61,INT((ROW()-1)/2)+1),"")="",86400,IFERROR(INDEX(XU_LY_LENH!$B$2:$B$61,INT((ROW()-1)/2)+1),"")),86400)))</x:f>
      </x:c>
      <x:c r="E62" s="192" t="str">
        <x:f>IF(MOD(ROW(),2)=1,IF(B62="","",INDEX(XU_LY_LENH!$F$2:$F$61,INT((ROW()-1)/2))),IF(B62="","",INDEX(XU_LY_LENH!$D$2:$D$61,INT((ROW()-1)/2))))</x:f>
      </x:c>
      <x:c r="F62" s="192" t="str">
        <x:f>IF(MOD(ROW(),2)=1,IF(B62="","",IF(INDEX(XU_LY_LENH!$G$2:$G$61,INT((ROW()-1)/2))="HOLD",E62,IF(D62&gt;=INDEX(XU_LY_LENH!$I$2:$I$61,INT((ROW()-1)/2)),INDEX(XU_LY_LENH!$D$2:$D$61,INT((ROW()-1)/2)),INDEX(XU_LY_LENH!$F$2:$F$61,INT((ROW()-1)/2))+(INDEX(XU_LY_LENH!$D$2:$D$61,INT((ROW()-1)/2))-INDEX(XU_LY_LENH!$F$2:$F$61,INT((ROW()-1)/2)))*(D62-INDEX(XU_LY_LENH!$B$2:$B$61,INT((ROW()-1)/2)))/MAX(INDEX(XU_LY_LENH!$I$2:$I$61,INT((ROW()-1)/2))-INDEX(XU_LY_LENH!$B$2:$B$61,INT((ROW()-1)/2)),0.000001)))),IF(B62="","",INDEX(XU_LY_LENH!$D$2:$D$61,INT((ROW()-1)/2))))</x:f>
      </x:c>
      <x:c r="G62" s="192" t="str">
        <x:f>IF(B62="","",D62-C62)</x:f>
      </x:c>
      <x:c r="H62" s="41" t="str">
        <x:f>IF(B62="","",IF(MOD(ROW(),2)=1,"Ramp lệnh "&amp;INT((ROW()-1)/2),"Giữ sau lệnh "&amp;INT((ROW()-1)/2)))</x:f>
      </x:c>
    </x:row>
    <x:row r="63">
      <x:c r="A63" t="n">
        <x:f>ROW()-1</x:f>
        <x:v>62</x:v>
      </x:c>
      <x:c r="B6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3" t="str">
        <x:f>IF(MOD(ROW(),2)=1,IF(B63="","",INDEX(XU_LY_LENH!$B$2:$B$61,INT((ROW()-1)/2))),IF(B63="","",INDEX(XU_LY_LENH!$I$2:$I$61,INT((ROW()-1)/2))))</x:f>
      </x:c>
      <x:c r="D63" t="str">
        <x:f>IF(MOD(ROW(),2)=1,IF(B63="","",IF(INDEX(XU_LY_LENH!$G$2:$G$61,INT((ROW()-1)/2))="HOLD",C63,MIN(INDEX(XU_LY_LENH!$I$2:$I$61,INT((ROW()-1)/2)),IF(IFERROR(INDEX(XU_LY_LENH!$C$2:$C$61,INT((ROW()-1)/2)+1),"")="",86400,IFERROR(INDEX(XU_LY_LENH!$B$2:$B$61,INT((ROW()-1)/2)+1),"")),86400))),IF(B63="","",MIN(IF(IFERROR(INDEX(XU_LY_LENH!$C$2:$C$61,INT((ROW()-1)/2)+1),"")="",86400,IFERROR(INDEX(XU_LY_LENH!$B$2:$B$61,INT((ROW()-1)/2)+1),"")),86400)))</x:f>
      </x:c>
      <x:c r="E63" t="str">
        <x:f>IF(MOD(ROW(),2)=1,IF(B63="","",INDEX(XU_LY_LENH!$F$2:$F$61,INT((ROW()-1)/2))),IF(B63="","",INDEX(XU_LY_LENH!$D$2:$D$61,INT((ROW()-1)/2))))</x:f>
      </x:c>
      <x:c r="F63" t="str">
        <x:f>IF(MOD(ROW(),2)=1,IF(B63="","",IF(INDEX(XU_LY_LENH!$G$2:$G$61,INT((ROW()-1)/2))="HOLD",E63,IF(D63&gt;=INDEX(XU_LY_LENH!$I$2:$I$61,INT((ROW()-1)/2)),INDEX(XU_LY_LENH!$D$2:$D$61,INT((ROW()-1)/2)),INDEX(XU_LY_LENH!$F$2:$F$61,INT((ROW()-1)/2))+(INDEX(XU_LY_LENH!$D$2:$D$61,INT((ROW()-1)/2))-INDEX(XU_LY_LENH!$F$2:$F$61,INT((ROW()-1)/2)))*(D63-INDEX(XU_LY_LENH!$B$2:$B$61,INT((ROW()-1)/2)))/MAX(INDEX(XU_LY_LENH!$I$2:$I$61,INT((ROW()-1)/2))-INDEX(XU_LY_LENH!$B$2:$B$61,INT((ROW()-1)/2)),0.000001)))),IF(B63="","",INDEX(XU_LY_LENH!$D$2:$D$61,INT((ROW()-1)/2))))</x:f>
      </x:c>
      <x:c r="G63" t="str">
        <x:f>IF(B63="","",D63-C63)</x:f>
      </x:c>
      <x:c r="H63" t="str">
        <x:f>IF(B63="","",IF(MOD(ROW(),2)=1,"Ramp lệnh "&amp;INT((ROW()-1)/2),"Giữ sau lệnh "&amp;INT((ROW()-1)/2)))</x:f>
      </x:c>
    </x:row>
    <x:row r="64">
      <x:c r="A64" t="n">
        <x:f>ROW()-1</x:f>
        <x:v>63</x:v>
      </x:c>
      <x:c r="B6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4" t="str">
        <x:f>IF(MOD(ROW(),2)=1,IF(B64="","",INDEX(XU_LY_LENH!$B$2:$B$61,INT((ROW()-1)/2))),IF(B64="","",INDEX(XU_LY_LENH!$I$2:$I$61,INT((ROW()-1)/2))))</x:f>
      </x:c>
      <x:c r="D64" t="str">
        <x:f>IF(MOD(ROW(),2)=1,IF(B64="","",IF(INDEX(XU_LY_LENH!$G$2:$G$61,INT((ROW()-1)/2))="HOLD",C64,MIN(INDEX(XU_LY_LENH!$I$2:$I$61,INT((ROW()-1)/2)),IF(IFERROR(INDEX(XU_LY_LENH!$C$2:$C$61,INT((ROW()-1)/2)+1),"")="",86400,IFERROR(INDEX(XU_LY_LENH!$B$2:$B$61,INT((ROW()-1)/2)+1),"")),86400))),IF(B64="","",MIN(IF(IFERROR(INDEX(XU_LY_LENH!$C$2:$C$61,INT((ROW()-1)/2)+1),"")="",86400,IFERROR(INDEX(XU_LY_LENH!$B$2:$B$61,INT((ROW()-1)/2)+1),"")),86400)))</x:f>
      </x:c>
      <x:c r="E64" t="str">
        <x:f>IF(MOD(ROW(),2)=1,IF(B64="","",INDEX(XU_LY_LENH!$F$2:$F$61,INT((ROW()-1)/2))),IF(B64="","",INDEX(XU_LY_LENH!$D$2:$D$61,INT((ROW()-1)/2))))</x:f>
      </x:c>
      <x:c r="F64" t="str">
        <x:f>IF(MOD(ROW(),2)=1,IF(B64="","",IF(INDEX(XU_LY_LENH!$G$2:$G$61,INT((ROW()-1)/2))="HOLD",E64,IF(D64&gt;=INDEX(XU_LY_LENH!$I$2:$I$61,INT((ROW()-1)/2)),INDEX(XU_LY_LENH!$D$2:$D$61,INT((ROW()-1)/2)),INDEX(XU_LY_LENH!$F$2:$F$61,INT((ROW()-1)/2))+(INDEX(XU_LY_LENH!$D$2:$D$61,INT((ROW()-1)/2))-INDEX(XU_LY_LENH!$F$2:$F$61,INT((ROW()-1)/2)))*(D64-INDEX(XU_LY_LENH!$B$2:$B$61,INT((ROW()-1)/2)))/MAX(INDEX(XU_LY_LENH!$I$2:$I$61,INT((ROW()-1)/2))-INDEX(XU_LY_LENH!$B$2:$B$61,INT((ROW()-1)/2)),0.000001)))),IF(B64="","",INDEX(XU_LY_LENH!$D$2:$D$61,INT((ROW()-1)/2))))</x:f>
      </x:c>
      <x:c r="G64" t="str">
        <x:f>IF(B64="","",D64-C64)</x:f>
      </x:c>
      <x:c r="H64" t="str">
        <x:f>IF(B64="","",IF(MOD(ROW(),2)=1,"Ramp lệnh "&amp;INT((ROW()-1)/2),"Giữ sau lệnh "&amp;INT((ROW()-1)/2)))</x:f>
      </x:c>
    </x:row>
    <x:row r="65">
      <x:c r="A65" t="n">
        <x:f>ROW()-1</x:f>
        <x:v>64</x:v>
      </x:c>
      <x:c r="B6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5" t="str">
        <x:f>IF(MOD(ROW(),2)=1,IF(B65="","",INDEX(XU_LY_LENH!$B$2:$B$61,INT((ROW()-1)/2))),IF(B65="","",INDEX(XU_LY_LENH!$I$2:$I$61,INT((ROW()-1)/2))))</x:f>
      </x:c>
      <x:c r="D65" t="str">
        <x:f>IF(MOD(ROW(),2)=1,IF(B65="","",IF(INDEX(XU_LY_LENH!$G$2:$G$61,INT((ROW()-1)/2))="HOLD",C65,MIN(INDEX(XU_LY_LENH!$I$2:$I$61,INT((ROW()-1)/2)),IF(IFERROR(INDEX(XU_LY_LENH!$C$2:$C$61,INT((ROW()-1)/2)+1),"")="",86400,IFERROR(INDEX(XU_LY_LENH!$B$2:$B$61,INT((ROW()-1)/2)+1),"")),86400))),IF(B65="","",MIN(IF(IFERROR(INDEX(XU_LY_LENH!$C$2:$C$61,INT((ROW()-1)/2)+1),"")="",86400,IFERROR(INDEX(XU_LY_LENH!$B$2:$B$61,INT((ROW()-1)/2)+1),"")),86400)))</x:f>
      </x:c>
      <x:c r="E65" t="str">
        <x:f>IF(MOD(ROW(),2)=1,IF(B65="","",INDEX(XU_LY_LENH!$F$2:$F$61,INT((ROW()-1)/2))),IF(B65="","",INDEX(XU_LY_LENH!$D$2:$D$61,INT((ROW()-1)/2))))</x:f>
      </x:c>
      <x:c r="F65" t="str">
        <x:f>IF(MOD(ROW(),2)=1,IF(B65="","",IF(INDEX(XU_LY_LENH!$G$2:$G$61,INT((ROW()-1)/2))="HOLD",E65,IF(D65&gt;=INDEX(XU_LY_LENH!$I$2:$I$61,INT((ROW()-1)/2)),INDEX(XU_LY_LENH!$D$2:$D$61,INT((ROW()-1)/2)),INDEX(XU_LY_LENH!$F$2:$F$61,INT((ROW()-1)/2))+(INDEX(XU_LY_LENH!$D$2:$D$61,INT((ROW()-1)/2))-INDEX(XU_LY_LENH!$F$2:$F$61,INT((ROW()-1)/2)))*(D65-INDEX(XU_LY_LENH!$B$2:$B$61,INT((ROW()-1)/2)))/MAX(INDEX(XU_LY_LENH!$I$2:$I$61,INT((ROW()-1)/2))-INDEX(XU_LY_LENH!$B$2:$B$61,INT((ROW()-1)/2)),0.000001)))),IF(B65="","",INDEX(XU_LY_LENH!$D$2:$D$61,INT((ROW()-1)/2))))</x:f>
      </x:c>
      <x:c r="G65" t="str">
        <x:f>IF(B65="","",D65-C65)</x:f>
      </x:c>
      <x:c r="H65" t="str">
        <x:f>IF(B65="","",IF(MOD(ROW(),2)=1,"Ramp lệnh "&amp;INT((ROW()-1)/2),"Giữ sau lệnh "&amp;INT((ROW()-1)/2)))</x:f>
      </x:c>
    </x:row>
    <x:row r="66">
      <x:c r="A66" t="n">
        <x:f>ROW()-1</x:f>
        <x:v>65</x:v>
      </x:c>
      <x:c r="B6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6" t="str">
        <x:f>IF(MOD(ROW(),2)=1,IF(B66="","",INDEX(XU_LY_LENH!$B$2:$B$61,INT((ROW()-1)/2))),IF(B66="","",INDEX(XU_LY_LENH!$I$2:$I$61,INT((ROW()-1)/2))))</x:f>
      </x:c>
      <x:c r="D66" t="str">
        <x:f>IF(MOD(ROW(),2)=1,IF(B66="","",IF(INDEX(XU_LY_LENH!$G$2:$G$61,INT((ROW()-1)/2))="HOLD",C66,MIN(INDEX(XU_LY_LENH!$I$2:$I$61,INT((ROW()-1)/2)),IF(IFERROR(INDEX(XU_LY_LENH!$C$2:$C$61,INT((ROW()-1)/2)+1),"")="",86400,IFERROR(INDEX(XU_LY_LENH!$B$2:$B$61,INT((ROW()-1)/2)+1),"")),86400))),IF(B66="","",MIN(IF(IFERROR(INDEX(XU_LY_LENH!$C$2:$C$61,INT((ROW()-1)/2)+1),"")="",86400,IFERROR(INDEX(XU_LY_LENH!$B$2:$B$61,INT((ROW()-1)/2)+1),"")),86400)))</x:f>
      </x:c>
      <x:c r="E66" t="str">
        <x:f>IF(MOD(ROW(),2)=1,IF(B66="","",INDEX(XU_LY_LENH!$F$2:$F$61,INT((ROW()-1)/2))),IF(B66="","",INDEX(XU_LY_LENH!$D$2:$D$61,INT((ROW()-1)/2))))</x:f>
      </x:c>
      <x:c r="F66" t="str">
        <x:f>IF(MOD(ROW(),2)=1,IF(B66="","",IF(INDEX(XU_LY_LENH!$G$2:$G$61,INT((ROW()-1)/2))="HOLD",E66,IF(D66&gt;=INDEX(XU_LY_LENH!$I$2:$I$61,INT((ROW()-1)/2)),INDEX(XU_LY_LENH!$D$2:$D$61,INT((ROW()-1)/2)),INDEX(XU_LY_LENH!$F$2:$F$61,INT((ROW()-1)/2))+(INDEX(XU_LY_LENH!$D$2:$D$61,INT((ROW()-1)/2))-INDEX(XU_LY_LENH!$F$2:$F$61,INT((ROW()-1)/2)))*(D66-INDEX(XU_LY_LENH!$B$2:$B$61,INT((ROW()-1)/2)))/MAX(INDEX(XU_LY_LENH!$I$2:$I$61,INT((ROW()-1)/2))-INDEX(XU_LY_LENH!$B$2:$B$61,INT((ROW()-1)/2)),0.000001)))),IF(B66="","",INDEX(XU_LY_LENH!$D$2:$D$61,INT((ROW()-1)/2))))</x:f>
      </x:c>
      <x:c r="G66" t="str">
        <x:f>IF(B66="","",D66-C66)</x:f>
      </x:c>
      <x:c r="H66" t="str">
        <x:f>IF(B66="","",IF(MOD(ROW(),2)=1,"Ramp lệnh "&amp;INT((ROW()-1)/2),"Giữ sau lệnh "&amp;INT((ROW()-1)/2)))</x:f>
      </x:c>
    </x:row>
    <x:row r="67">
      <x:c r="A67" t="n">
        <x:f>ROW()-1</x:f>
        <x:v>66</x:v>
      </x:c>
      <x:c r="B6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7" t="str">
        <x:f>IF(MOD(ROW(),2)=1,IF(B67="","",INDEX(XU_LY_LENH!$B$2:$B$61,INT((ROW()-1)/2))),IF(B67="","",INDEX(XU_LY_LENH!$I$2:$I$61,INT((ROW()-1)/2))))</x:f>
      </x:c>
      <x:c r="D67" t="str">
        <x:f>IF(MOD(ROW(),2)=1,IF(B67="","",IF(INDEX(XU_LY_LENH!$G$2:$G$61,INT((ROW()-1)/2))="HOLD",C67,MIN(INDEX(XU_LY_LENH!$I$2:$I$61,INT((ROW()-1)/2)),IF(IFERROR(INDEX(XU_LY_LENH!$C$2:$C$61,INT((ROW()-1)/2)+1),"")="",86400,IFERROR(INDEX(XU_LY_LENH!$B$2:$B$61,INT((ROW()-1)/2)+1),"")),86400))),IF(B67="","",MIN(IF(IFERROR(INDEX(XU_LY_LENH!$C$2:$C$61,INT((ROW()-1)/2)+1),"")="",86400,IFERROR(INDEX(XU_LY_LENH!$B$2:$B$61,INT((ROW()-1)/2)+1),"")),86400)))</x:f>
      </x:c>
      <x:c r="E67" t="str">
        <x:f>IF(MOD(ROW(),2)=1,IF(B67="","",INDEX(XU_LY_LENH!$F$2:$F$61,INT((ROW()-1)/2))),IF(B67="","",INDEX(XU_LY_LENH!$D$2:$D$61,INT((ROW()-1)/2))))</x:f>
      </x:c>
      <x:c r="F67" t="str">
        <x:f>IF(MOD(ROW(),2)=1,IF(B67="","",IF(INDEX(XU_LY_LENH!$G$2:$G$61,INT((ROW()-1)/2))="HOLD",E67,IF(D67&gt;=INDEX(XU_LY_LENH!$I$2:$I$61,INT((ROW()-1)/2)),INDEX(XU_LY_LENH!$D$2:$D$61,INT((ROW()-1)/2)),INDEX(XU_LY_LENH!$F$2:$F$61,INT((ROW()-1)/2))+(INDEX(XU_LY_LENH!$D$2:$D$61,INT((ROW()-1)/2))-INDEX(XU_LY_LENH!$F$2:$F$61,INT((ROW()-1)/2)))*(D67-INDEX(XU_LY_LENH!$B$2:$B$61,INT((ROW()-1)/2)))/MAX(INDEX(XU_LY_LENH!$I$2:$I$61,INT((ROW()-1)/2))-INDEX(XU_LY_LENH!$B$2:$B$61,INT((ROW()-1)/2)),0.000001)))),IF(B67="","",INDEX(XU_LY_LENH!$D$2:$D$61,INT((ROW()-1)/2))))</x:f>
      </x:c>
      <x:c r="G67" t="str">
        <x:f>IF(B67="","",D67-C67)</x:f>
      </x:c>
      <x:c r="H67" t="str">
        <x:f>IF(B67="","",IF(MOD(ROW(),2)=1,"Ramp lệnh "&amp;INT((ROW()-1)/2),"Giữ sau lệnh "&amp;INT((ROW()-1)/2)))</x:f>
      </x:c>
    </x:row>
    <x:row r="68">
      <x:c r="A68" t="n">
        <x:f>ROW()-1</x:f>
        <x:v>67</x:v>
      </x:c>
      <x:c r="B6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8" t="str">
        <x:f>IF(MOD(ROW(),2)=1,IF(B68="","",INDEX(XU_LY_LENH!$B$2:$B$61,INT((ROW()-1)/2))),IF(B68="","",INDEX(XU_LY_LENH!$I$2:$I$61,INT((ROW()-1)/2))))</x:f>
      </x:c>
      <x:c r="D68" t="str">
        <x:f>IF(MOD(ROW(),2)=1,IF(B68="","",IF(INDEX(XU_LY_LENH!$G$2:$G$61,INT((ROW()-1)/2))="HOLD",C68,MIN(INDEX(XU_LY_LENH!$I$2:$I$61,INT((ROW()-1)/2)),IF(IFERROR(INDEX(XU_LY_LENH!$C$2:$C$61,INT((ROW()-1)/2)+1),"")="",86400,IFERROR(INDEX(XU_LY_LENH!$B$2:$B$61,INT((ROW()-1)/2)+1),"")),86400))),IF(B68="","",MIN(IF(IFERROR(INDEX(XU_LY_LENH!$C$2:$C$61,INT((ROW()-1)/2)+1),"")="",86400,IFERROR(INDEX(XU_LY_LENH!$B$2:$B$61,INT((ROW()-1)/2)+1),"")),86400)))</x:f>
      </x:c>
      <x:c r="E68" t="str">
        <x:f>IF(MOD(ROW(),2)=1,IF(B68="","",INDEX(XU_LY_LENH!$F$2:$F$61,INT((ROW()-1)/2))),IF(B68="","",INDEX(XU_LY_LENH!$D$2:$D$61,INT((ROW()-1)/2))))</x:f>
      </x:c>
      <x:c r="F68" t="str">
        <x:f>IF(MOD(ROW(),2)=1,IF(B68="","",IF(INDEX(XU_LY_LENH!$G$2:$G$61,INT((ROW()-1)/2))="HOLD",E68,IF(D68&gt;=INDEX(XU_LY_LENH!$I$2:$I$61,INT((ROW()-1)/2)),INDEX(XU_LY_LENH!$D$2:$D$61,INT((ROW()-1)/2)),INDEX(XU_LY_LENH!$F$2:$F$61,INT((ROW()-1)/2))+(INDEX(XU_LY_LENH!$D$2:$D$61,INT((ROW()-1)/2))-INDEX(XU_LY_LENH!$F$2:$F$61,INT((ROW()-1)/2)))*(D68-INDEX(XU_LY_LENH!$B$2:$B$61,INT((ROW()-1)/2)))/MAX(INDEX(XU_LY_LENH!$I$2:$I$61,INT((ROW()-1)/2))-INDEX(XU_LY_LENH!$B$2:$B$61,INT((ROW()-1)/2)),0.000001)))),IF(B68="","",INDEX(XU_LY_LENH!$D$2:$D$61,INT((ROW()-1)/2))))</x:f>
      </x:c>
      <x:c r="G68" t="str">
        <x:f>IF(B68="","",D68-C68)</x:f>
      </x:c>
      <x:c r="H68" t="str">
        <x:f>IF(B68="","",IF(MOD(ROW(),2)=1,"Ramp lệnh "&amp;INT((ROW()-1)/2),"Giữ sau lệnh "&amp;INT((ROW()-1)/2)))</x:f>
      </x:c>
    </x:row>
    <x:row r="69">
      <x:c r="A69" t="n">
        <x:f>ROW()-1</x:f>
        <x:v>68</x:v>
      </x:c>
      <x:c r="B6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69" t="str">
        <x:f>IF(MOD(ROW(),2)=1,IF(B69="","",INDEX(XU_LY_LENH!$B$2:$B$61,INT((ROW()-1)/2))),IF(B69="","",INDEX(XU_LY_LENH!$I$2:$I$61,INT((ROW()-1)/2))))</x:f>
      </x:c>
      <x:c r="D69" t="str">
        <x:f>IF(MOD(ROW(),2)=1,IF(B69="","",IF(INDEX(XU_LY_LENH!$G$2:$G$61,INT((ROW()-1)/2))="HOLD",C69,MIN(INDEX(XU_LY_LENH!$I$2:$I$61,INT((ROW()-1)/2)),IF(IFERROR(INDEX(XU_LY_LENH!$C$2:$C$61,INT((ROW()-1)/2)+1),"")="",86400,IFERROR(INDEX(XU_LY_LENH!$B$2:$B$61,INT((ROW()-1)/2)+1),"")),86400))),IF(B69="","",MIN(IF(IFERROR(INDEX(XU_LY_LENH!$C$2:$C$61,INT((ROW()-1)/2)+1),"")="",86400,IFERROR(INDEX(XU_LY_LENH!$B$2:$B$61,INT((ROW()-1)/2)+1),"")),86400)))</x:f>
      </x:c>
      <x:c r="E69" t="str">
        <x:f>IF(MOD(ROW(),2)=1,IF(B69="","",INDEX(XU_LY_LENH!$F$2:$F$61,INT((ROW()-1)/2))),IF(B69="","",INDEX(XU_LY_LENH!$D$2:$D$61,INT((ROW()-1)/2))))</x:f>
      </x:c>
      <x:c r="F69" t="str">
        <x:f>IF(MOD(ROW(),2)=1,IF(B69="","",IF(INDEX(XU_LY_LENH!$G$2:$G$61,INT((ROW()-1)/2))="HOLD",E69,IF(D69&gt;=INDEX(XU_LY_LENH!$I$2:$I$61,INT((ROW()-1)/2)),INDEX(XU_LY_LENH!$D$2:$D$61,INT((ROW()-1)/2)),INDEX(XU_LY_LENH!$F$2:$F$61,INT((ROW()-1)/2))+(INDEX(XU_LY_LENH!$D$2:$D$61,INT((ROW()-1)/2))-INDEX(XU_LY_LENH!$F$2:$F$61,INT((ROW()-1)/2)))*(D69-INDEX(XU_LY_LENH!$B$2:$B$61,INT((ROW()-1)/2)))/MAX(INDEX(XU_LY_LENH!$I$2:$I$61,INT((ROW()-1)/2))-INDEX(XU_LY_LENH!$B$2:$B$61,INT((ROW()-1)/2)),0.000001)))),IF(B69="","",INDEX(XU_LY_LENH!$D$2:$D$61,INT((ROW()-1)/2))))</x:f>
      </x:c>
      <x:c r="G69" t="str">
        <x:f>IF(B69="","",D69-C69)</x:f>
      </x:c>
      <x:c r="H69" t="str">
        <x:f>IF(B69="","",IF(MOD(ROW(),2)=1,"Ramp lệnh "&amp;INT((ROW()-1)/2),"Giữ sau lệnh "&amp;INT((ROW()-1)/2)))</x:f>
      </x:c>
    </x:row>
    <x:row r="70">
      <x:c r="A70" t="n">
        <x:f>ROW()-1</x:f>
        <x:v>69</x:v>
      </x:c>
      <x:c r="B7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0" t="str">
        <x:f>IF(MOD(ROW(),2)=1,IF(B70="","",INDEX(XU_LY_LENH!$B$2:$B$61,INT((ROW()-1)/2))),IF(B70="","",INDEX(XU_LY_LENH!$I$2:$I$61,INT((ROW()-1)/2))))</x:f>
      </x:c>
      <x:c r="D70" t="str">
        <x:f>IF(MOD(ROW(),2)=1,IF(B70="","",IF(INDEX(XU_LY_LENH!$G$2:$G$61,INT((ROW()-1)/2))="HOLD",C70,MIN(INDEX(XU_LY_LENH!$I$2:$I$61,INT((ROW()-1)/2)),IF(IFERROR(INDEX(XU_LY_LENH!$C$2:$C$61,INT((ROW()-1)/2)+1),"")="",86400,IFERROR(INDEX(XU_LY_LENH!$B$2:$B$61,INT((ROW()-1)/2)+1),"")),86400))),IF(B70="","",MIN(IF(IFERROR(INDEX(XU_LY_LENH!$C$2:$C$61,INT((ROW()-1)/2)+1),"")="",86400,IFERROR(INDEX(XU_LY_LENH!$B$2:$B$61,INT((ROW()-1)/2)+1),"")),86400)))</x:f>
      </x:c>
      <x:c r="E70" t="str">
        <x:f>IF(MOD(ROW(),2)=1,IF(B70="","",INDEX(XU_LY_LENH!$F$2:$F$61,INT((ROW()-1)/2))),IF(B70="","",INDEX(XU_LY_LENH!$D$2:$D$61,INT((ROW()-1)/2))))</x:f>
      </x:c>
      <x:c r="F70" t="str">
        <x:f>IF(MOD(ROW(),2)=1,IF(B70="","",IF(INDEX(XU_LY_LENH!$G$2:$G$61,INT((ROW()-1)/2))="HOLD",E70,IF(D70&gt;=INDEX(XU_LY_LENH!$I$2:$I$61,INT((ROW()-1)/2)),INDEX(XU_LY_LENH!$D$2:$D$61,INT((ROW()-1)/2)),INDEX(XU_LY_LENH!$F$2:$F$61,INT((ROW()-1)/2))+(INDEX(XU_LY_LENH!$D$2:$D$61,INT((ROW()-1)/2))-INDEX(XU_LY_LENH!$F$2:$F$61,INT((ROW()-1)/2)))*(D70-INDEX(XU_LY_LENH!$B$2:$B$61,INT((ROW()-1)/2)))/MAX(INDEX(XU_LY_LENH!$I$2:$I$61,INT((ROW()-1)/2))-INDEX(XU_LY_LENH!$B$2:$B$61,INT((ROW()-1)/2)),0.000001)))),IF(B70="","",INDEX(XU_LY_LENH!$D$2:$D$61,INT((ROW()-1)/2))))</x:f>
      </x:c>
      <x:c r="G70" t="str">
        <x:f>IF(B70="","",D70-C70)</x:f>
      </x:c>
      <x:c r="H70" t="str">
        <x:f>IF(B70="","",IF(MOD(ROW(),2)=1,"Ramp lệnh "&amp;INT((ROW()-1)/2),"Giữ sau lệnh "&amp;INT((ROW()-1)/2)))</x:f>
      </x:c>
    </x:row>
    <x:row r="71">
      <x:c r="A71" t="n">
        <x:f>ROW()-1</x:f>
        <x:v>70</x:v>
      </x:c>
      <x:c r="B7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1" t="str">
        <x:f>IF(MOD(ROW(),2)=1,IF(B71="","",INDEX(XU_LY_LENH!$B$2:$B$61,INT((ROW()-1)/2))),IF(B71="","",INDEX(XU_LY_LENH!$I$2:$I$61,INT((ROW()-1)/2))))</x:f>
      </x:c>
      <x:c r="D71" t="str">
        <x:f>IF(MOD(ROW(),2)=1,IF(B71="","",IF(INDEX(XU_LY_LENH!$G$2:$G$61,INT((ROW()-1)/2))="HOLD",C71,MIN(INDEX(XU_LY_LENH!$I$2:$I$61,INT((ROW()-1)/2)),IF(IFERROR(INDEX(XU_LY_LENH!$C$2:$C$61,INT((ROW()-1)/2)+1),"")="",86400,IFERROR(INDEX(XU_LY_LENH!$B$2:$B$61,INT((ROW()-1)/2)+1),"")),86400))),IF(B71="","",MIN(IF(IFERROR(INDEX(XU_LY_LENH!$C$2:$C$61,INT((ROW()-1)/2)+1),"")="",86400,IFERROR(INDEX(XU_LY_LENH!$B$2:$B$61,INT((ROW()-1)/2)+1),"")),86400)))</x:f>
      </x:c>
      <x:c r="E71" t="str">
        <x:f>IF(MOD(ROW(),2)=1,IF(B71="","",INDEX(XU_LY_LENH!$F$2:$F$61,INT((ROW()-1)/2))),IF(B71="","",INDEX(XU_LY_LENH!$D$2:$D$61,INT((ROW()-1)/2))))</x:f>
      </x:c>
      <x:c r="F71" t="str">
        <x:f>IF(MOD(ROW(),2)=1,IF(B71="","",IF(INDEX(XU_LY_LENH!$G$2:$G$61,INT((ROW()-1)/2))="HOLD",E71,IF(D71&gt;=INDEX(XU_LY_LENH!$I$2:$I$61,INT((ROW()-1)/2)),INDEX(XU_LY_LENH!$D$2:$D$61,INT((ROW()-1)/2)),INDEX(XU_LY_LENH!$F$2:$F$61,INT((ROW()-1)/2))+(INDEX(XU_LY_LENH!$D$2:$D$61,INT((ROW()-1)/2))-INDEX(XU_LY_LENH!$F$2:$F$61,INT((ROW()-1)/2)))*(D71-INDEX(XU_LY_LENH!$B$2:$B$61,INT((ROW()-1)/2)))/MAX(INDEX(XU_LY_LENH!$I$2:$I$61,INT((ROW()-1)/2))-INDEX(XU_LY_LENH!$B$2:$B$61,INT((ROW()-1)/2)),0.000001)))),IF(B71="","",INDEX(XU_LY_LENH!$D$2:$D$61,INT((ROW()-1)/2))))</x:f>
      </x:c>
      <x:c r="G71" t="str">
        <x:f>IF(B71="","",D71-C71)</x:f>
      </x:c>
      <x:c r="H71" t="str">
        <x:f>IF(B71="","",IF(MOD(ROW(),2)=1,"Ramp lệnh "&amp;INT((ROW()-1)/2),"Giữ sau lệnh "&amp;INT((ROW()-1)/2)))</x:f>
      </x:c>
    </x:row>
    <x:row r="72">
      <x:c r="A72" t="n">
        <x:f>ROW()-1</x:f>
        <x:v>71</x:v>
      </x:c>
      <x:c r="B7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2" t="str">
        <x:f>IF(MOD(ROW(),2)=1,IF(B72="","",INDEX(XU_LY_LENH!$B$2:$B$61,INT((ROW()-1)/2))),IF(B72="","",INDEX(XU_LY_LENH!$I$2:$I$61,INT((ROW()-1)/2))))</x:f>
      </x:c>
      <x:c r="D72" t="str">
        <x:f>IF(MOD(ROW(),2)=1,IF(B72="","",IF(INDEX(XU_LY_LENH!$G$2:$G$61,INT((ROW()-1)/2))="HOLD",C72,MIN(INDEX(XU_LY_LENH!$I$2:$I$61,INT((ROW()-1)/2)),IF(IFERROR(INDEX(XU_LY_LENH!$C$2:$C$61,INT((ROW()-1)/2)+1),"")="",86400,IFERROR(INDEX(XU_LY_LENH!$B$2:$B$61,INT((ROW()-1)/2)+1),"")),86400))),IF(B72="","",MIN(IF(IFERROR(INDEX(XU_LY_LENH!$C$2:$C$61,INT((ROW()-1)/2)+1),"")="",86400,IFERROR(INDEX(XU_LY_LENH!$B$2:$B$61,INT((ROW()-1)/2)+1),"")),86400)))</x:f>
      </x:c>
      <x:c r="E72" t="str">
        <x:f>IF(MOD(ROW(),2)=1,IF(B72="","",INDEX(XU_LY_LENH!$F$2:$F$61,INT((ROW()-1)/2))),IF(B72="","",INDEX(XU_LY_LENH!$D$2:$D$61,INT((ROW()-1)/2))))</x:f>
      </x:c>
      <x:c r="F72" t="str">
        <x:f>IF(MOD(ROW(),2)=1,IF(B72="","",IF(INDEX(XU_LY_LENH!$G$2:$G$61,INT((ROW()-1)/2))="HOLD",E72,IF(D72&gt;=INDEX(XU_LY_LENH!$I$2:$I$61,INT((ROW()-1)/2)),INDEX(XU_LY_LENH!$D$2:$D$61,INT((ROW()-1)/2)),INDEX(XU_LY_LENH!$F$2:$F$61,INT((ROW()-1)/2))+(INDEX(XU_LY_LENH!$D$2:$D$61,INT((ROW()-1)/2))-INDEX(XU_LY_LENH!$F$2:$F$61,INT((ROW()-1)/2)))*(D72-INDEX(XU_LY_LENH!$B$2:$B$61,INT((ROW()-1)/2)))/MAX(INDEX(XU_LY_LENH!$I$2:$I$61,INT((ROW()-1)/2))-INDEX(XU_LY_LENH!$B$2:$B$61,INT((ROW()-1)/2)),0.000001)))),IF(B72="","",INDEX(XU_LY_LENH!$D$2:$D$61,INT((ROW()-1)/2))))</x:f>
      </x:c>
      <x:c r="G72" t="str">
        <x:f>IF(B72="","",D72-C72)</x:f>
      </x:c>
      <x:c r="H72" t="str">
        <x:f>IF(B72="","",IF(MOD(ROW(),2)=1,"Ramp lệnh "&amp;INT((ROW()-1)/2),"Giữ sau lệnh "&amp;INT((ROW()-1)/2)))</x:f>
      </x:c>
    </x:row>
    <x:row r="73">
      <x:c r="A73" t="n">
        <x:f>ROW()-1</x:f>
        <x:v>72</x:v>
      </x:c>
      <x:c r="B7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3" t="str">
        <x:f>IF(MOD(ROW(),2)=1,IF(B73="","",INDEX(XU_LY_LENH!$B$2:$B$61,INT((ROW()-1)/2))),IF(B73="","",INDEX(XU_LY_LENH!$I$2:$I$61,INT((ROW()-1)/2))))</x:f>
      </x:c>
      <x:c r="D73" t="str">
        <x:f>IF(MOD(ROW(),2)=1,IF(B73="","",IF(INDEX(XU_LY_LENH!$G$2:$G$61,INT((ROW()-1)/2))="HOLD",C73,MIN(INDEX(XU_LY_LENH!$I$2:$I$61,INT((ROW()-1)/2)),IF(IFERROR(INDEX(XU_LY_LENH!$C$2:$C$61,INT((ROW()-1)/2)+1),"")="",86400,IFERROR(INDEX(XU_LY_LENH!$B$2:$B$61,INT((ROW()-1)/2)+1),"")),86400))),IF(B73="","",MIN(IF(IFERROR(INDEX(XU_LY_LENH!$C$2:$C$61,INT((ROW()-1)/2)+1),"")="",86400,IFERROR(INDEX(XU_LY_LENH!$B$2:$B$61,INT((ROW()-1)/2)+1),"")),86400)))</x:f>
      </x:c>
      <x:c r="E73" t="str">
        <x:f>IF(MOD(ROW(),2)=1,IF(B73="","",INDEX(XU_LY_LENH!$F$2:$F$61,INT((ROW()-1)/2))),IF(B73="","",INDEX(XU_LY_LENH!$D$2:$D$61,INT((ROW()-1)/2))))</x:f>
      </x:c>
      <x:c r="F73" t="str">
        <x:f>IF(MOD(ROW(),2)=1,IF(B73="","",IF(INDEX(XU_LY_LENH!$G$2:$G$61,INT((ROW()-1)/2))="HOLD",E73,IF(D73&gt;=INDEX(XU_LY_LENH!$I$2:$I$61,INT((ROW()-1)/2)),INDEX(XU_LY_LENH!$D$2:$D$61,INT((ROW()-1)/2)),INDEX(XU_LY_LENH!$F$2:$F$61,INT((ROW()-1)/2))+(INDEX(XU_LY_LENH!$D$2:$D$61,INT((ROW()-1)/2))-INDEX(XU_LY_LENH!$F$2:$F$61,INT((ROW()-1)/2)))*(D73-INDEX(XU_LY_LENH!$B$2:$B$61,INT((ROW()-1)/2)))/MAX(INDEX(XU_LY_LENH!$I$2:$I$61,INT((ROW()-1)/2))-INDEX(XU_LY_LENH!$B$2:$B$61,INT((ROW()-1)/2)),0.000001)))),IF(B73="","",INDEX(XU_LY_LENH!$D$2:$D$61,INT((ROW()-1)/2))))</x:f>
      </x:c>
      <x:c r="G73" t="str">
        <x:f>IF(B73="","",D73-C73)</x:f>
      </x:c>
      <x:c r="H73" t="str">
        <x:f>IF(B73="","",IF(MOD(ROW(),2)=1,"Ramp lệnh "&amp;INT((ROW()-1)/2),"Giữ sau lệnh "&amp;INT((ROW()-1)/2)))</x:f>
      </x:c>
    </x:row>
    <x:row r="74">
      <x:c r="A74" t="n">
        <x:f>ROW()-1</x:f>
        <x:v>73</x:v>
      </x:c>
      <x:c r="B7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4" t="str">
        <x:f>IF(MOD(ROW(),2)=1,IF(B74="","",INDEX(XU_LY_LENH!$B$2:$B$61,INT((ROW()-1)/2))),IF(B74="","",INDEX(XU_LY_LENH!$I$2:$I$61,INT((ROW()-1)/2))))</x:f>
      </x:c>
      <x:c r="D74" t="str">
        <x:f>IF(MOD(ROW(),2)=1,IF(B74="","",IF(INDEX(XU_LY_LENH!$G$2:$G$61,INT((ROW()-1)/2))="HOLD",C74,MIN(INDEX(XU_LY_LENH!$I$2:$I$61,INT((ROW()-1)/2)),IF(IFERROR(INDEX(XU_LY_LENH!$C$2:$C$61,INT((ROW()-1)/2)+1),"")="",86400,IFERROR(INDEX(XU_LY_LENH!$B$2:$B$61,INT((ROW()-1)/2)+1),"")),86400))),IF(B74="","",MIN(IF(IFERROR(INDEX(XU_LY_LENH!$C$2:$C$61,INT((ROW()-1)/2)+1),"")="",86400,IFERROR(INDEX(XU_LY_LENH!$B$2:$B$61,INT((ROW()-1)/2)+1),"")),86400)))</x:f>
      </x:c>
      <x:c r="E74" t="str">
        <x:f>IF(MOD(ROW(),2)=1,IF(B74="","",INDEX(XU_LY_LENH!$F$2:$F$61,INT((ROW()-1)/2))),IF(B74="","",INDEX(XU_LY_LENH!$D$2:$D$61,INT((ROW()-1)/2))))</x:f>
      </x:c>
      <x:c r="F74" t="str">
        <x:f>IF(MOD(ROW(),2)=1,IF(B74="","",IF(INDEX(XU_LY_LENH!$G$2:$G$61,INT((ROW()-1)/2))="HOLD",E74,IF(D74&gt;=INDEX(XU_LY_LENH!$I$2:$I$61,INT((ROW()-1)/2)),INDEX(XU_LY_LENH!$D$2:$D$61,INT((ROW()-1)/2)),INDEX(XU_LY_LENH!$F$2:$F$61,INT((ROW()-1)/2))+(INDEX(XU_LY_LENH!$D$2:$D$61,INT((ROW()-1)/2))-INDEX(XU_LY_LENH!$F$2:$F$61,INT((ROW()-1)/2)))*(D74-INDEX(XU_LY_LENH!$B$2:$B$61,INT((ROW()-1)/2)))/MAX(INDEX(XU_LY_LENH!$I$2:$I$61,INT((ROW()-1)/2))-INDEX(XU_LY_LENH!$B$2:$B$61,INT((ROW()-1)/2)),0.000001)))),IF(B74="","",INDEX(XU_LY_LENH!$D$2:$D$61,INT((ROW()-1)/2))))</x:f>
      </x:c>
      <x:c r="G74" t="str">
        <x:f>IF(B74="","",D74-C74)</x:f>
      </x:c>
      <x:c r="H74" t="str">
        <x:f>IF(B74="","",IF(MOD(ROW(),2)=1,"Ramp lệnh "&amp;INT((ROW()-1)/2),"Giữ sau lệnh "&amp;INT((ROW()-1)/2)))</x:f>
      </x:c>
    </x:row>
    <x:row r="75">
      <x:c r="A75" t="n">
        <x:f>ROW()-1</x:f>
        <x:v>74</x:v>
      </x:c>
      <x:c r="B7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5" t="str">
        <x:f>IF(MOD(ROW(),2)=1,IF(B75="","",INDEX(XU_LY_LENH!$B$2:$B$61,INT((ROW()-1)/2))),IF(B75="","",INDEX(XU_LY_LENH!$I$2:$I$61,INT((ROW()-1)/2))))</x:f>
      </x:c>
      <x:c r="D75" t="str">
        <x:f>IF(MOD(ROW(),2)=1,IF(B75="","",IF(INDEX(XU_LY_LENH!$G$2:$G$61,INT((ROW()-1)/2))="HOLD",C75,MIN(INDEX(XU_LY_LENH!$I$2:$I$61,INT((ROW()-1)/2)),IF(IFERROR(INDEX(XU_LY_LENH!$C$2:$C$61,INT((ROW()-1)/2)+1),"")="",86400,IFERROR(INDEX(XU_LY_LENH!$B$2:$B$61,INT((ROW()-1)/2)+1),"")),86400))),IF(B75="","",MIN(IF(IFERROR(INDEX(XU_LY_LENH!$C$2:$C$61,INT((ROW()-1)/2)+1),"")="",86400,IFERROR(INDEX(XU_LY_LENH!$B$2:$B$61,INT((ROW()-1)/2)+1),"")),86400)))</x:f>
      </x:c>
      <x:c r="E75" t="str">
        <x:f>IF(MOD(ROW(),2)=1,IF(B75="","",INDEX(XU_LY_LENH!$F$2:$F$61,INT((ROW()-1)/2))),IF(B75="","",INDEX(XU_LY_LENH!$D$2:$D$61,INT((ROW()-1)/2))))</x:f>
      </x:c>
      <x:c r="F75" t="str">
        <x:f>IF(MOD(ROW(),2)=1,IF(B75="","",IF(INDEX(XU_LY_LENH!$G$2:$G$61,INT((ROW()-1)/2))="HOLD",E75,IF(D75&gt;=INDEX(XU_LY_LENH!$I$2:$I$61,INT((ROW()-1)/2)),INDEX(XU_LY_LENH!$D$2:$D$61,INT((ROW()-1)/2)),INDEX(XU_LY_LENH!$F$2:$F$61,INT((ROW()-1)/2))+(INDEX(XU_LY_LENH!$D$2:$D$61,INT((ROW()-1)/2))-INDEX(XU_LY_LENH!$F$2:$F$61,INT((ROW()-1)/2)))*(D75-INDEX(XU_LY_LENH!$B$2:$B$61,INT((ROW()-1)/2)))/MAX(INDEX(XU_LY_LENH!$I$2:$I$61,INT((ROW()-1)/2))-INDEX(XU_LY_LENH!$B$2:$B$61,INT((ROW()-1)/2)),0.000001)))),IF(B75="","",INDEX(XU_LY_LENH!$D$2:$D$61,INT((ROW()-1)/2))))</x:f>
      </x:c>
      <x:c r="G75" t="str">
        <x:f>IF(B75="","",D75-C75)</x:f>
      </x:c>
      <x:c r="H75" t="str">
        <x:f>IF(B75="","",IF(MOD(ROW(),2)=1,"Ramp lệnh "&amp;INT((ROW()-1)/2),"Giữ sau lệnh "&amp;INT((ROW()-1)/2)))</x:f>
      </x:c>
    </x:row>
    <x:row r="76">
      <x:c r="A76" t="n">
        <x:f>ROW()-1</x:f>
        <x:v>75</x:v>
      </x:c>
      <x:c r="B7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6" t="str">
        <x:f>IF(MOD(ROW(),2)=1,IF(B76="","",INDEX(XU_LY_LENH!$B$2:$B$61,INT((ROW()-1)/2))),IF(B76="","",INDEX(XU_LY_LENH!$I$2:$I$61,INT((ROW()-1)/2))))</x:f>
      </x:c>
      <x:c r="D76" t="str">
        <x:f>IF(MOD(ROW(),2)=1,IF(B76="","",IF(INDEX(XU_LY_LENH!$G$2:$G$61,INT((ROW()-1)/2))="HOLD",C76,MIN(INDEX(XU_LY_LENH!$I$2:$I$61,INT((ROW()-1)/2)),IF(IFERROR(INDEX(XU_LY_LENH!$C$2:$C$61,INT((ROW()-1)/2)+1),"")="",86400,IFERROR(INDEX(XU_LY_LENH!$B$2:$B$61,INT((ROW()-1)/2)+1),"")),86400))),IF(B76="","",MIN(IF(IFERROR(INDEX(XU_LY_LENH!$C$2:$C$61,INT((ROW()-1)/2)+1),"")="",86400,IFERROR(INDEX(XU_LY_LENH!$B$2:$B$61,INT((ROW()-1)/2)+1),"")),86400)))</x:f>
      </x:c>
      <x:c r="E76" t="str">
        <x:f>IF(MOD(ROW(),2)=1,IF(B76="","",INDEX(XU_LY_LENH!$F$2:$F$61,INT((ROW()-1)/2))),IF(B76="","",INDEX(XU_LY_LENH!$D$2:$D$61,INT((ROW()-1)/2))))</x:f>
      </x:c>
      <x:c r="F76" t="str">
        <x:f>IF(MOD(ROW(),2)=1,IF(B76="","",IF(INDEX(XU_LY_LENH!$G$2:$G$61,INT((ROW()-1)/2))="HOLD",E76,IF(D76&gt;=INDEX(XU_LY_LENH!$I$2:$I$61,INT((ROW()-1)/2)),INDEX(XU_LY_LENH!$D$2:$D$61,INT((ROW()-1)/2)),INDEX(XU_LY_LENH!$F$2:$F$61,INT((ROW()-1)/2))+(INDEX(XU_LY_LENH!$D$2:$D$61,INT((ROW()-1)/2))-INDEX(XU_LY_LENH!$F$2:$F$61,INT((ROW()-1)/2)))*(D76-INDEX(XU_LY_LENH!$B$2:$B$61,INT((ROW()-1)/2)))/MAX(INDEX(XU_LY_LENH!$I$2:$I$61,INT((ROW()-1)/2))-INDEX(XU_LY_LENH!$B$2:$B$61,INT((ROW()-1)/2)),0.000001)))),IF(B76="","",INDEX(XU_LY_LENH!$D$2:$D$61,INT((ROW()-1)/2))))</x:f>
      </x:c>
      <x:c r="G76" t="str">
        <x:f>IF(B76="","",D76-C76)</x:f>
      </x:c>
      <x:c r="H76" t="str">
        <x:f>IF(B76="","",IF(MOD(ROW(),2)=1,"Ramp lệnh "&amp;INT((ROW()-1)/2),"Giữ sau lệnh "&amp;INT((ROW()-1)/2)))</x:f>
      </x:c>
    </x:row>
    <x:row r="77">
      <x:c r="A77" t="n">
        <x:f>ROW()-1</x:f>
        <x:v>76</x:v>
      </x:c>
      <x:c r="B7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7" t="str">
        <x:f>IF(MOD(ROW(),2)=1,IF(B77="","",INDEX(XU_LY_LENH!$B$2:$B$61,INT((ROW()-1)/2))),IF(B77="","",INDEX(XU_LY_LENH!$I$2:$I$61,INT((ROW()-1)/2))))</x:f>
      </x:c>
      <x:c r="D77" t="str">
        <x:f>IF(MOD(ROW(),2)=1,IF(B77="","",IF(INDEX(XU_LY_LENH!$G$2:$G$61,INT((ROW()-1)/2))="HOLD",C77,MIN(INDEX(XU_LY_LENH!$I$2:$I$61,INT((ROW()-1)/2)),IF(IFERROR(INDEX(XU_LY_LENH!$C$2:$C$61,INT((ROW()-1)/2)+1),"")="",86400,IFERROR(INDEX(XU_LY_LENH!$B$2:$B$61,INT((ROW()-1)/2)+1),"")),86400))),IF(B77="","",MIN(IF(IFERROR(INDEX(XU_LY_LENH!$C$2:$C$61,INT((ROW()-1)/2)+1),"")="",86400,IFERROR(INDEX(XU_LY_LENH!$B$2:$B$61,INT((ROW()-1)/2)+1),"")),86400)))</x:f>
      </x:c>
      <x:c r="E77" t="str">
        <x:f>IF(MOD(ROW(),2)=1,IF(B77="","",INDEX(XU_LY_LENH!$F$2:$F$61,INT((ROW()-1)/2))),IF(B77="","",INDEX(XU_LY_LENH!$D$2:$D$61,INT((ROW()-1)/2))))</x:f>
      </x:c>
      <x:c r="F77" t="str">
        <x:f>IF(MOD(ROW(),2)=1,IF(B77="","",IF(INDEX(XU_LY_LENH!$G$2:$G$61,INT((ROW()-1)/2))="HOLD",E77,IF(D77&gt;=INDEX(XU_LY_LENH!$I$2:$I$61,INT((ROW()-1)/2)),INDEX(XU_LY_LENH!$D$2:$D$61,INT((ROW()-1)/2)),INDEX(XU_LY_LENH!$F$2:$F$61,INT((ROW()-1)/2))+(INDEX(XU_LY_LENH!$D$2:$D$61,INT((ROW()-1)/2))-INDEX(XU_LY_LENH!$F$2:$F$61,INT((ROW()-1)/2)))*(D77-INDEX(XU_LY_LENH!$B$2:$B$61,INT((ROW()-1)/2)))/MAX(INDEX(XU_LY_LENH!$I$2:$I$61,INT((ROW()-1)/2))-INDEX(XU_LY_LENH!$B$2:$B$61,INT((ROW()-1)/2)),0.000001)))),IF(B77="","",INDEX(XU_LY_LENH!$D$2:$D$61,INT((ROW()-1)/2))))</x:f>
      </x:c>
      <x:c r="G77" t="str">
        <x:f>IF(B77="","",D77-C77)</x:f>
      </x:c>
      <x:c r="H77" t="str">
        <x:f>IF(B77="","",IF(MOD(ROW(),2)=1,"Ramp lệnh "&amp;INT((ROW()-1)/2),"Giữ sau lệnh "&amp;INT((ROW()-1)/2)))</x:f>
      </x:c>
    </x:row>
    <x:row r="78">
      <x:c r="A78" t="n">
        <x:f>ROW()-1</x:f>
        <x:v>77</x:v>
      </x:c>
      <x:c r="B7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8" t="str">
        <x:f>IF(MOD(ROW(),2)=1,IF(B78="","",INDEX(XU_LY_LENH!$B$2:$B$61,INT((ROW()-1)/2))),IF(B78="","",INDEX(XU_LY_LENH!$I$2:$I$61,INT((ROW()-1)/2))))</x:f>
      </x:c>
      <x:c r="D78" t="str">
        <x:f>IF(MOD(ROW(),2)=1,IF(B78="","",IF(INDEX(XU_LY_LENH!$G$2:$G$61,INT((ROW()-1)/2))="HOLD",C78,MIN(INDEX(XU_LY_LENH!$I$2:$I$61,INT((ROW()-1)/2)),IF(IFERROR(INDEX(XU_LY_LENH!$C$2:$C$61,INT((ROW()-1)/2)+1),"")="",86400,IFERROR(INDEX(XU_LY_LENH!$B$2:$B$61,INT((ROW()-1)/2)+1),"")),86400))),IF(B78="","",MIN(IF(IFERROR(INDEX(XU_LY_LENH!$C$2:$C$61,INT((ROW()-1)/2)+1),"")="",86400,IFERROR(INDEX(XU_LY_LENH!$B$2:$B$61,INT((ROW()-1)/2)+1),"")),86400)))</x:f>
      </x:c>
      <x:c r="E78" t="str">
        <x:f>IF(MOD(ROW(),2)=1,IF(B78="","",INDEX(XU_LY_LENH!$F$2:$F$61,INT((ROW()-1)/2))),IF(B78="","",INDEX(XU_LY_LENH!$D$2:$D$61,INT((ROW()-1)/2))))</x:f>
      </x:c>
      <x:c r="F78" t="str">
        <x:f>IF(MOD(ROW(),2)=1,IF(B78="","",IF(INDEX(XU_LY_LENH!$G$2:$G$61,INT((ROW()-1)/2))="HOLD",E78,IF(D78&gt;=INDEX(XU_LY_LENH!$I$2:$I$61,INT((ROW()-1)/2)),INDEX(XU_LY_LENH!$D$2:$D$61,INT((ROW()-1)/2)),INDEX(XU_LY_LENH!$F$2:$F$61,INT((ROW()-1)/2))+(INDEX(XU_LY_LENH!$D$2:$D$61,INT((ROW()-1)/2))-INDEX(XU_LY_LENH!$F$2:$F$61,INT((ROW()-1)/2)))*(D78-INDEX(XU_LY_LENH!$B$2:$B$61,INT((ROW()-1)/2)))/MAX(INDEX(XU_LY_LENH!$I$2:$I$61,INT((ROW()-1)/2))-INDEX(XU_LY_LENH!$B$2:$B$61,INT((ROW()-1)/2)),0.000001)))),IF(B78="","",INDEX(XU_LY_LENH!$D$2:$D$61,INT((ROW()-1)/2))))</x:f>
      </x:c>
      <x:c r="G78" t="str">
        <x:f>IF(B78="","",D78-C78)</x:f>
      </x:c>
      <x:c r="H78" t="str">
        <x:f>IF(B78="","",IF(MOD(ROW(),2)=1,"Ramp lệnh "&amp;INT((ROW()-1)/2),"Giữ sau lệnh "&amp;INT((ROW()-1)/2)))</x:f>
      </x:c>
    </x:row>
    <x:row r="79">
      <x:c r="A79" t="n">
        <x:f>ROW()-1</x:f>
        <x:v>78</x:v>
      </x:c>
      <x:c r="B7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79" t="str">
        <x:f>IF(MOD(ROW(),2)=1,IF(B79="","",INDEX(XU_LY_LENH!$B$2:$B$61,INT((ROW()-1)/2))),IF(B79="","",INDEX(XU_LY_LENH!$I$2:$I$61,INT((ROW()-1)/2))))</x:f>
      </x:c>
      <x:c r="D79" t="str">
        <x:f>IF(MOD(ROW(),2)=1,IF(B79="","",IF(INDEX(XU_LY_LENH!$G$2:$G$61,INT((ROW()-1)/2))="HOLD",C79,MIN(INDEX(XU_LY_LENH!$I$2:$I$61,INT((ROW()-1)/2)),IF(IFERROR(INDEX(XU_LY_LENH!$C$2:$C$61,INT((ROW()-1)/2)+1),"")="",86400,IFERROR(INDEX(XU_LY_LENH!$B$2:$B$61,INT((ROW()-1)/2)+1),"")),86400))),IF(B79="","",MIN(IF(IFERROR(INDEX(XU_LY_LENH!$C$2:$C$61,INT((ROW()-1)/2)+1),"")="",86400,IFERROR(INDEX(XU_LY_LENH!$B$2:$B$61,INT((ROW()-1)/2)+1),"")),86400)))</x:f>
      </x:c>
      <x:c r="E79" t="str">
        <x:f>IF(MOD(ROW(),2)=1,IF(B79="","",INDEX(XU_LY_LENH!$F$2:$F$61,INT((ROW()-1)/2))),IF(B79="","",INDEX(XU_LY_LENH!$D$2:$D$61,INT((ROW()-1)/2))))</x:f>
      </x:c>
      <x:c r="F79" t="str">
        <x:f>IF(MOD(ROW(),2)=1,IF(B79="","",IF(INDEX(XU_LY_LENH!$G$2:$G$61,INT((ROW()-1)/2))="HOLD",E79,IF(D79&gt;=INDEX(XU_LY_LENH!$I$2:$I$61,INT((ROW()-1)/2)),INDEX(XU_LY_LENH!$D$2:$D$61,INT((ROW()-1)/2)),INDEX(XU_LY_LENH!$F$2:$F$61,INT((ROW()-1)/2))+(INDEX(XU_LY_LENH!$D$2:$D$61,INT((ROW()-1)/2))-INDEX(XU_LY_LENH!$F$2:$F$61,INT((ROW()-1)/2)))*(D79-INDEX(XU_LY_LENH!$B$2:$B$61,INT((ROW()-1)/2)))/MAX(INDEX(XU_LY_LENH!$I$2:$I$61,INT((ROW()-1)/2))-INDEX(XU_LY_LENH!$B$2:$B$61,INT((ROW()-1)/2)),0.000001)))),IF(B79="","",INDEX(XU_LY_LENH!$D$2:$D$61,INT((ROW()-1)/2))))</x:f>
      </x:c>
      <x:c r="G79" t="str">
        <x:f>IF(B79="","",D79-C79)</x:f>
      </x:c>
      <x:c r="H79" t="str">
        <x:f>IF(B79="","",IF(MOD(ROW(),2)=1,"Ramp lệnh "&amp;INT((ROW()-1)/2),"Giữ sau lệnh "&amp;INT((ROW()-1)/2)))</x:f>
      </x:c>
    </x:row>
    <x:row r="80">
      <x:c r="A80" t="n">
        <x:f>ROW()-1</x:f>
        <x:v>79</x:v>
      </x:c>
      <x:c r="B8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0" t="str">
        <x:f>IF(MOD(ROW(),2)=1,IF(B80="","",INDEX(XU_LY_LENH!$B$2:$B$61,INT((ROW()-1)/2))),IF(B80="","",INDEX(XU_LY_LENH!$I$2:$I$61,INT((ROW()-1)/2))))</x:f>
      </x:c>
      <x:c r="D80" t="str">
        <x:f>IF(MOD(ROW(),2)=1,IF(B80="","",IF(INDEX(XU_LY_LENH!$G$2:$G$61,INT((ROW()-1)/2))="HOLD",C80,MIN(INDEX(XU_LY_LENH!$I$2:$I$61,INT((ROW()-1)/2)),IF(IFERROR(INDEX(XU_LY_LENH!$C$2:$C$61,INT((ROW()-1)/2)+1),"")="",86400,IFERROR(INDEX(XU_LY_LENH!$B$2:$B$61,INT((ROW()-1)/2)+1),"")),86400))),IF(B80="","",MIN(IF(IFERROR(INDEX(XU_LY_LENH!$C$2:$C$61,INT((ROW()-1)/2)+1),"")="",86400,IFERROR(INDEX(XU_LY_LENH!$B$2:$B$61,INT((ROW()-1)/2)+1),"")),86400)))</x:f>
      </x:c>
      <x:c r="E80" t="str">
        <x:f>IF(MOD(ROW(),2)=1,IF(B80="","",INDEX(XU_LY_LENH!$F$2:$F$61,INT((ROW()-1)/2))),IF(B80="","",INDEX(XU_LY_LENH!$D$2:$D$61,INT((ROW()-1)/2))))</x:f>
      </x:c>
      <x:c r="F80" t="str">
        <x:f>IF(MOD(ROW(),2)=1,IF(B80="","",IF(INDEX(XU_LY_LENH!$G$2:$G$61,INT((ROW()-1)/2))="HOLD",E80,IF(D80&gt;=INDEX(XU_LY_LENH!$I$2:$I$61,INT((ROW()-1)/2)),INDEX(XU_LY_LENH!$D$2:$D$61,INT((ROW()-1)/2)),INDEX(XU_LY_LENH!$F$2:$F$61,INT((ROW()-1)/2))+(INDEX(XU_LY_LENH!$D$2:$D$61,INT((ROW()-1)/2))-INDEX(XU_LY_LENH!$F$2:$F$61,INT((ROW()-1)/2)))*(D80-INDEX(XU_LY_LENH!$B$2:$B$61,INT((ROW()-1)/2)))/MAX(INDEX(XU_LY_LENH!$I$2:$I$61,INT((ROW()-1)/2))-INDEX(XU_LY_LENH!$B$2:$B$61,INT((ROW()-1)/2)),0.000001)))),IF(B80="","",INDEX(XU_LY_LENH!$D$2:$D$61,INT((ROW()-1)/2))))</x:f>
      </x:c>
      <x:c r="G80" t="str">
        <x:f>IF(B80="","",D80-C80)</x:f>
      </x:c>
      <x:c r="H80" t="str">
        <x:f>IF(B80="","",IF(MOD(ROW(),2)=1,"Ramp lệnh "&amp;INT((ROW()-1)/2),"Giữ sau lệnh "&amp;INT((ROW()-1)/2)))</x:f>
      </x:c>
    </x:row>
    <x:row r="81">
      <x:c r="A81" t="n">
        <x:f>ROW()-1</x:f>
        <x:v>80</x:v>
      </x:c>
      <x:c r="B8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1" t="str">
        <x:f>IF(MOD(ROW(),2)=1,IF(B81="","",INDEX(XU_LY_LENH!$B$2:$B$61,INT((ROW()-1)/2))),IF(B81="","",INDEX(XU_LY_LENH!$I$2:$I$61,INT((ROW()-1)/2))))</x:f>
      </x:c>
      <x:c r="D81" t="str">
        <x:f>IF(MOD(ROW(),2)=1,IF(B81="","",IF(INDEX(XU_LY_LENH!$G$2:$G$61,INT((ROW()-1)/2))="HOLD",C81,MIN(INDEX(XU_LY_LENH!$I$2:$I$61,INT((ROW()-1)/2)),IF(IFERROR(INDEX(XU_LY_LENH!$C$2:$C$61,INT((ROW()-1)/2)+1),"")="",86400,IFERROR(INDEX(XU_LY_LENH!$B$2:$B$61,INT((ROW()-1)/2)+1),"")),86400))),IF(B81="","",MIN(IF(IFERROR(INDEX(XU_LY_LENH!$C$2:$C$61,INT((ROW()-1)/2)+1),"")="",86400,IFERROR(INDEX(XU_LY_LENH!$B$2:$B$61,INT((ROW()-1)/2)+1),"")),86400)))</x:f>
      </x:c>
      <x:c r="E81" t="str">
        <x:f>IF(MOD(ROW(),2)=1,IF(B81="","",INDEX(XU_LY_LENH!$F$2:$F$61,INT((ROW()-1)/2))),IF(B81="","",INDEX(XU_LY_LENH!$D$2:$D$61,INT((ROW()-1)/2))))</x:f>
      </x:c>
      <x:c r="F81" t="str">
        <x:f>IF(MOD(ROW(),2)=1,IF(B81="","",IF(INDEX(XU_LY_LENH!$G$2:$G$61,INT((ROW()-1)/2))="HOLD",E81,IF(D81&gt;=INDEX(XU_LY_LENH!$I$2:$I$61,INT((ROW()-1)/2)),INDEX(XU_LY_LENH!$D$2:$D$61,INT((ROW()-1)/2)),INDEX(XU_LY_LENH!$F$2:$F$61,INT((ROW()-1)/2))+(INDEX(XU_LY_LENH!$D$2:$D$61,INT((ROW()-1)/2))-INDEX(XU_LY_LENH!$F$2:$F$61,INT((ROW()-1)/2)))*(D81-INDEX(XU_LY_LENH!$B$2:$B$61,INT((ROW()-1)/2)))/MAX(INDEX(XU_LY_LENH!$I$2:$I$61,INT((ROW()-1)/2))-INDEX(XU_LY_LENH!$B$2:$B$61,INT((ROW()-1)/2)),0.000001)))),IF(B81="","",INDEX(XU_LY_LENH!$D$2:$D$61,INT((ROW()-1)/2))))</x:f>
      </x:c>
      <x:c r="G81" t="str">
        <x:f>IF(B81="","",D81-C81)</x:f>
      </x:c>
      <x:c r="H81" t="str">
        <x:f>IF(B81="","",IF(MOD(ROW(),2)=1,"Ramp lệnh "&amp;INT((ROW()-1)/2),"Giữ sau lệnh "&amp;INT((ROW()-1)/2)))</x:f>
      </x:c>
    </x:row>
    <x:row r="82">
      <x:c r="A82" t="n">
        <x:f>ROW()-1</x:f>
        <x:v>81</x:v>
      </x:c>
      <x:c r="B8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2" t="str">
        <x:f>IF(MOD(ROW(),2)=1,IF(B82="","",INDEX(XU_LY_LENH!$B$2:$B$61,INT((ROW()-1)/2))),IF(B82="","",INDEX(XU_LY_LENH!$I$2:$I$61,INT((ROW()-1)/2))))</x:f>
      </x:c>
      <x:c r="D82" t="str">
        <x:f>IF(MOD(ROW(),2)=1,IF(B82="","",IF(INDEX(XU_LY_LENH!$G$2:$G$61,INT((ROW()-1)/2))="HOLD",C82,MIN(INDEX(XU_LY_LENH!$I$2:$I$61,INT((ROW()-1)/2)),IF(IFERROR(INDEX(XU_LY_LENH!$C$2:$C$61,INT((ROW()-1)/2)+1),"")="",86400,IFERROR(INDEX(XU_LY_LENH!$B$2:$B$61,INT((ROW()-1)/2)+1),"")),86400))),IF(B82="","",MIN(IF(IFERROR(INDEX(XU_LY_LENH!$C$2:$C$61,INT((ROW()-1)/2)+1),"")="",86400,IFERROR(INDEX(XU_LY_LENH!$B$2:$B$61,INT((ROW()-1)/2)+1),"")),86400)))</x:f>
      </x:c>
      <x:c r="E82" t="str">
        <x:f>IF(MOD(ROW(),2)=1,IF(B82="","",INDEX(XU_LY_LENH!$F$2:$F$61,INT((ROW()-1)/2))),IF(B82="","",INDEX(XU_LY_LENH!$D$2:$D$61,INT((ROW()-1)/2))))</x:f>
      </x:c>
      <x:c r="F82" t="str">
        <x:f>IF(MOD(ROW(),2)=1,IF(B82="","",IF(INDEX(XU_LY_LENH!$G$2:$G$61,INT((ROW()-1)/2))="HOLD",E82,IF(D82&gt;=INDEX(XU_LY_LENH!$I$2:$I$61,INT((ROW()-1)/2)),INDEX(XU_LY_LENH!$D$2:$D$61,INT((ROW()-1)/2)),INDEX(XU_LY_LENH!$F$2:$F$61,INT((ROW()-1)/2))+(INDEX(XU_LY_LENH!$D$2:$D$61,INT((ROW()-1)/2))-INDEX(XU_LY_LENH!$F$2:$F$61,INT((ROW()-1)/2)))*(D82-INDEX(XU_LY_LENH!$B$2:$B$61,INT((ROW()-1)/2)))/MAX(INDEX(XU_LY_LENH!$I$2:$I$61,INT((ROW()-1)/2))-INDEX(XU_LY_LENH!$B$2:$B$61,INT((ROW()-1)/2)),0.000001)))),IF(B82="","",INDEX(XU_LY_LENH!$D$2:$D$61,INT((ROW()-1)/2))))</x:f>
      </x:c>
      <x:c r="G82" t="str">
        <x:f>IF(B82="","",D82-C82)</x:f>
      </x:c>
      <x:c r="H82" t="str">
        <x:f>IF(B82="","",IF(MOD(ROW(),2)=1,"Ramp lệnh "&amp;INT((ROW()-1)/2),"Giữ sau lệnh "&amp;INT((ROW()-1)/2)))</x:f>
      </x:c>
    </x:row>
    <x:row r="83">
      <x:c r="A83" t="n">
        <x:f>ROW()-1</x:f>
        <x:v>82</x:v>
      </x:c>
      <x:c r="B8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3" t="str">
        <x:f>IF(MOD(ROW(),2)=1,IF(B83="","",INDEX(XU_LY_LENH!$B$2:$B$61,INT((ROW()-1)/2))),IF(B83="","",INDEX(XU_LY_LENH!$I$2:$I$61,INT((ROW()-1)/2))))</x:f>
      </x:c>
      <x:c r="D83" t="str">
        <x:f>IF(MOD(ROW(),2)=1,IF(B83="","",IF(INDEX(XU_LY_LENH!$G$2:$G$61,INT((ROW()-1)/2))="HOLD",C83,MIN(INDEX(XU_LY_LENH!$I$2:$I$61,INT((ROW()-1)/2)),IF(IFERROR(INDEX(XU_LY_LENH!$C$2:$C$61,INT((ROW()-1)/2)+1),"")="",86400,IFERROR(INDEX(XU_LY_LENH!$B$2:$B$61,INT((ROW()-1)/2)+1),"")),86400))),IF(B83="","",MIN(IF(IFERROR(INDEX(XU_LY_LENH!$C$2:$C$61,INT((ROW()-1)/2)+1),"")="",86400,IFERROR(INDEX(XU_LY_LENH!$B$2:$B$61,INT((ROW()-1)/2)+1),"")),86400)))</x:f>
      </x:c>
      <x:c r="E83" t="str">
        <x:f>IF(MOD(ROW(),2)=1,IF(B83="","",INDEX(XU_LY_LENH!$F$2:$F$61,INT((ROW()-1)/2))),IF(B83="","",INDEX(XU_LY_LENH!$D$2:$D$61,INT((ROW()-1)/2))))</x:f>
      </x:c>
      <x:c r="F83" t="str">
        <x:f>IF(MOD(ROW(),2)=1,IF(B83="","",IF(INDEX(XU_LY_LENH!$G$2:$G$61,INT((ROW()-1)/2))="HOLD",E83,IF(D83&gt;=INDEX(XU_LY_LENH!$I$2:$I$61,INT((ROW()-1)/2)),INDEX(XU_LY_LENH!$D$2:$D$61,INT((ROW()-1)/2)),INDEX(XU_LY_LENH!$F$2:$F$61,INT((ROW()-1)/2))+(INDEX(XU_LY_LENH!$D$2:$D$61,INT((ROW()-1)/2))-INDEX(XU_LY_LENH!$F$2:$F$61,INT((ROW()-1)/2)))*(D83-INDEX(XU_LY_LENH!$B$2:$B$61,INT((ROW()-1)/2)))/MAX(INDEX(XU_LY_LENH!$I$2:$I$61,INT((ROW()-1)/2))-INDEX(XU_LY_LENH!$B$2:$B$61,INT((ROW()-1)/2)),0.000001)))),IF(B83="","",INDEX(XU_LY_LENH!$D$2:$D$61,INT((ROW()-1)/2))))</x:f>
      </x:c>
      <x:c r="G83" t="str">
        <x:f>IF(B83="","",D83-C83)</x:f>
      </x:c>
      <x:c r="H83" t="str">
        <x:f>IF(B83="","",IF(MOD(ROW(),2)=1,"Ramp lệnh "&amp;INT((ROW()-1)/2),"Giữ sau lệnh "&amp;INT((ROW()-1)/2)))</x:f>
      </x:c>
    </x:row>
    <x:row r="84">
      <x:c r="A84" t="n">
        <x:f>ROW()-1</x:f>
        <x:v>83</x:v>
      </x:c>
      <x:c r="B8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4" t="str">
        <x:f>IF(MOD(ROW(),2)=1,IF(B84="","",INDEX(XU_LY_LENH!$B$2:$B$61,INT((ROW()-1)/2))),IF(B84="","",INDEX(XU_LY_LENH!$I$2:$I$61,INT((ROW()-1)/2))))</x:f>
      </x:c>
      <x:c r="D84" t="str">
        <x:f>IF(MOD(ROW(),2)=1,IF(B84="","",IF(INDEX(XU_LY_LENH!$G$2:$G$61,INT((ROW()-1)/2))="HOLD",C84,MIN(INDEX(XU_LY_LENH!$I$2:$I$61,INT((ROW()-1)/2)),IF(IFERROR(INDEX(XU_LY_LENH!$C$2:$C$61,INT((ROW()-1)/2)+1),"")="",86400,IFERROR(INDEX(XU_LY_LENH!$B$2:$B$61,INT((ROW()-1)/2)+1),"")),86400))),IF(B84="","",MIN(IF(IFERROR(INDEX(XU_LY_LENH!$C$2:$C$61,INT((ROW()-1)/2)+1),"")="",86400,IFERROR(INDEX(XU_LY_LENH!$B$2:$B$61,INT((ROW()-1)/2)+1),"")),86400)))</x:f>
      </x:c>
      <x:c r="E84" t="str">
        <x:f>IF(MOD(ROW(),2)=1,IF(B84="","",INDEX(XU_LY_LENH!$F$2:$F$61,INT((ROW()-1)/2))),IF(B84="","",INDEX(XU_LY_LENH!$D$2:$D$61,INT((ROW()-1)/2))))</x:f>
      </x:c>
      <x:c r="F84" t="str">
        <x:f>IF(MOD(ROW(),2)=1,IF(B84="","",IF(INDEX(XU_LY_LENH!$G$2:$G$61,INT((ROW()-1)/2))="HOLD",E84,IF(D84&gt;=INDEX(XU_LY_LENH!$I$2:$I$61,INT((ROW()-1)/2)),INDEX(XU_LY_LENH!$D$2:$D$61,INT((ROW()-1)/2)),INDEX(XU_LY_LENH!$F$2:$F$61,INT((ROW()-1)/2))+(INDEX(XU_LY_LENH!$D$2:$D$61,INT((ROW()-1)/2))-INDEX(XU_LY_LENH!$F$2:$F$61,INT((ROW()-1)/2)))*(D84-INDEX(XU_LY_LENH!$B$2:$B$61,INT((ROW()-1)/2)))/MAX(INDEX(XU_LY_LENH!$I$2:$I$61,INT((ROW()-1)/2))-INDEX(XU_LY_LENH!$B$2:$B$61,INT((ROW()-1)/2)),0.000001)))),IF(B84="","",INDEX(XU_LY_LENH!$D$2:$D$61,INT((ROW()-1)/2))))</x:f>
      </x:c>
      <x:c r="G84" t="str">
        <x:f>IF(B84="","",D84-C84)</x:f>
      </x:c>
      <x:c r="H84" t="str">
        <x:f>IF(B84="","",IF(MOD(ROW(),2)=1,"Ramp lệnh "&amp;INT((ROW()-1)/2),"Giữ sau lệnh "&amp;INT((ROW()-1)/2)))</x:f>
      </x:c>
    </x:row>
    <x:row r="85">
      <x:c r="A85" t="n">
        <x:f>ROW()-1</x:f>
        <x:v>84</x:v>
      </x:c>
      <x:c r="B8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5" t="str">
        <x:f>IF(MOD(ROW(),2)=1,IF(B85="","",INDEX(XU_LY_LENH!$B$2:$B$61,INT((ROW()-1)/2))),IF(B85="","",INDEX(XU_LY_LENH!$I$2:$I$61,INT((ROW()-1)/2))))</x:f>
      </x:c>
      <x:c r="D85" t="str">
        <x:f>IF(MOD(ROW(),2)=1,IF(B85="","",IF(INDEX(XU_LY_LENH!$G$2:$G$61,INT((ROW()-1)/2))="HOLD",C85,MIN(INDEX(XU_LY_LENH!$I$2:$I$61,INT((ROW()-1)/2)),IF(IFERROR(INDEX(XU_LY_LENH!$C$2:$C$61,INT((ROW()-1)/2)+1),"")="",86400,IFERROR(INDEX(XU_LY_LENH!$B$2:$B$61,INT((ROW()-1)/2)+1),"")),86400))),IF(B85="","",MIN(IF(IFERROR(INDEX(XU_LY_LENH!$C$2:$C$61,INT((ROW()-1)/2)+1),"")="",86400,IFERROR(INDEX(XU_LY_LENH!$B$2:$B$61,INT((ROW()-1)/2)+1),"")),86400)))</x:f>
      </x:c>
      <x:c r="E85" t="str">
        <x:f>IF(MOD(ROW(),2)=1,IF(B85="","",INDEX(XU_LY_LENH!$F$2:$F$61,INT((ROW()-1)/2))),IF(B85="","",INDEX(XU_LY_LENH!$D$2:$D$61,INT((ROW()-1)/2))))</x:f>
      </x:c>
      <x:c r="F85" t="str">
        <x:f>IF(MOD(ROW(),2)=1,IF(B85="","",IF(INDEX(XU_LY_LENH!$G$2:$G$61,INT((ROW()-1)/2))="HOLD",E85,IF(D85&gt;=INDEX(XU_LY_LENH!$I$2:$I$61,INT((ROW()-1)/2)),INDEX(XU_LY_LENH!$D$2:$D$61,INT((ROW()-1)/2)),INDEX(XU_LY_LENH!$F$2:$F$61,INT((ROW()-1)/2))+(INDEX(XU_LY_LENH!$D$2:$D$61,INT((ROW()-1)/2))-INDEX(XU_LY_LENH!$F$2:$F$61,INT((ROW()-1)/2)))*(D85-INDEX(XU_LY_LENH!$B$2:$B$61,INT((ROW()-1)/2)))/MAX(INDEX(XU_LY_LENH!$I$2:$I$61,INT((ROW()-1)/2))-INDEX(XU_LY_LENH!$B$2:$B$61,INT((ROW()-1)/2)),0.000001)))),IF(B85="","",INDEX(XU_LY_LENH!$D$2:$D$61,INT((ROW()-1)/2))))</x:f>
      </x:c>
      <x:c r="G85" t="str">
        <x:f>IF(B85="","",D85-C85)</x:f>
      </x:c>
      <x:c r="H85" t="str">
        <x:f>IF(B85="","",IF(MOD(ROW(),2)=1,"Ramp lệnh "&amp;INT((ROW()-1)/2),"Giữ sau lệnh "&amp;INT((ROW()-1)/2)))</x:f>
      </x:c>
    </x:row>
    <x:row r="86">
      <x:c r="A86" t="n">
        <x:f>ROW()-1</x:f>
        <x:v>85</x:v>
      </x:c>
      <x:c r="B8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6" t="str">
        <x:f>IF(MOD(ROW(),2)=1,IF(B86="","",INDEX(XU_LY_LENH!$B$2:$B$61,INT((ROW()-1)/2))),IF(B86="","",INDEX(XU_LY_LENH!$I$2:$I$61,INT((ROW()-1)/2))))</x:f>
      </x:c>
      <x:c r="D86" t="str">
        <x:f>IF(MOD(ROW(),2)=1,IF(B86="","",IF(INDEX(XU_LY_LENH!$G$2:$G$61,INT((ROW()-1)/2))="HOLD",C86,MIN(INDEX(XU_LY_LENH!$I$2:$I$61,INT((ROW()-1)/2)),IF(IFERROR(INDEX(XU_LY_LENH!$C$2:$C$61,INT((ROW()-1)/2)+1),"")="",86400,IFERROR(INDEX(XU_LY_LENH!$B$2:$B$61,INT((ROW()-1)/2)+1),"")),86400))),IF(B86="","",MIN(IF(IFERROR(INDEX(XU_LY_LENH!$C$2:$C$61,INT((ROW()-1)/2)+1),"")="",86400,IFERROR(INDEX(XU_LY_LENH!$B$2:$B$61,INT((ROW()-1)/2)+1),"")),86400)))</x:f>
      </x:c>
      <x:c r="E86" t="str">
        <x:f>IF(MOD(ROW(),2)=1,IF(B86="","",INDEX(XU_LY_LENH!$F$2:$F$61,INT((ROW()-1)/2))),IF(B86="","",INDEX(XU_LY_LENH!$D$2:$D$61,INT((ROW()-1)/2))))</x:f>
      </x:c>
      <x:c r="F86" t="str">
        <x:f>IF(MOD(ROW(),2)=1,IF(B86="","",IF(INDEX(XU_LY_LENH!$G$2:$G$61,INT((ROW()-1)/2))="HOLD",E86,IF(D86&gt;=INDEX(XU_LY_LENH!$I$2:$I$61,INT((ROW()-1)/2)),INDEX(XU_LY_LENH!$D$2:$D$61,INT((ROW()-1)/2)),INDEX(XU_LY_LENH!$F$2:$F$61,INT((ROW()-1)/2))+(INDEX(XU_LY_LENH!$D$2:$D$61,INT((ROW()-1)/2))-INDEX(XU_LY_LENH!$F$2:$F$61,INT((ROW()-1)/2)))*(D86-INDEX(XU_LY_LENH!$B$2:$B$61,INT((ROW()-1)/2)))/MAX(INDEX(XU_LY_LENH!$I$2:$I$61,INT((ROW()-1)/2))-INDEX(XU_LY_LENH!$B$2:$B$61,INT((ROW()-1)/2)),0.000001)))),IF(B86="","",INDEX(XU_LY_LENH!$D$2:$D$61,INT((ROW()-1)/2))))</x:f>
      </x:c>
      <x:c r="G86" t="str">
        <x:f>IF(B86="","",D86-C86)</x:f>
      </x:c>
      <x:c r="H86" t="str">
        <x:f>IF(B86="","",IF(MOD(ROW(),2)=1,"Ramp lệnh "&amp;INT((ROW()-1)/2),"Giữ sau lệnh "&amp;INT((ROW()-1)/2)))</x:f>
      </x:c>
    </x:row>
    <x:row r="87">
      <x:c r="A87" t="n">
        <x:f>ROW()-1</x:f>
        <x:v>86</x:v>
      </x:c>
      <x:c r="B8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7" t="str">
        <x:f>IF(MOD(ROW(),2)=1,IF(B87="","",INDEX(XU_LY_LENH!$B$2:$B$61,INT((ROW()-1)/2))),IF(B87="","",INDEX(XU_LY_LENH!$I$2:$I$61,INT((ROW()-1)/2))))</x:f>
      </x:c>
      <x:c r="D87" t="str">
        <x:f>IF(MOD(ROW(),2)=1,IF(B87="","",IF(INDEX(XU_LY_LENH!$G$2:$G$61,INT((ROW()-1)/2))="HOLD",C87,MIN(INDEX(XU_LY_LENH!$I$2:$I$61,INT((ROW()-1)/2)),IF(IFERROR(INDEX(XU_LY_LENH!$C$2:$C$61,INT((ROW()-1)/2)+1),"")="",86400,IFERROR(INDEX(XU_LY_LENH!$B$2:$B$61,INT((ROW()-1)/2)+1),"")),86400))),IF(B87="","",MIN(IF(IFERROR(INDEX(XU_LY_LENH!$C$2:$C$61,INT((ROW()-1)/2)+1),"")="",86400,IFERROR(INDEX(XU_LY_LENH!$B$2:$B$61,INT((ROW()-1)/2)+1),"")),86400)))</x:f>
      </x:c>
      <x:c r="E87" t="str">
        <x:f>IF(MOD(ROW(),2)=1,IF(B87="","",INDEX(XU_LY_LENH!$F$2:$F$61,INT((ROW()-1)/2))),IF(B87="","",INDEX(XU_LY_LENH!$D$2:$D$61,INT((ROW()-1)/2))))</x:f>
      </x:c>
      <x:c r="F87" t="str">
        <x:f>IF(MOD(ROW(),2)=1,IF(B87="","",IF(INDEX(XU_LY_LENH!$G$2:$G$61,INT((ROW()-1)/2))="HOLD",E87,IF(D87&gt;=INDEX(XU_LY_LENH!$I$2:$I$61,INT((ROW()-1)/2)),INDEX(XU_LY_LENH!$D$2:$D$61,INT((ROW()-1)/2)),INDEX(XU_LY_LENH!$F$2:$F$61,INT((ROW()-1)/2))+(INDEX(XU_LY_LENH!$D$2:$D$61,INT((ROW()-1)/2))-INDEX(XU_LY_LENH!$F$2:$F$61,INT((ROW()-1)/2)))*(D87-INDEX(XU_LY_LENH!$B$2:$B$61,INT((ROW()-1)/2)))/MAX(INDEX(XU_LY_LENH!$I$2:$I$61,INT((ROW()-1)/2))-INDEX(XU_LY_LENH!$B$2:$B$61,INT((ROW()-1)/2)),0.000001)))),IF(B87="","",INDEX(XU_LY_LENH!$D$2:$D$61,INT((ROW()-1)/2))))</x:f>
      </x:c>
      <x:c r="G87" t="str">
        <x:f>IF(B87="","",D87-C87)</x:f>
      </x:c>
      <x:c r="H87" t="str">
        <x:f>IF(B87="","",IF(MOD(ROW(),2)=1,"Ramp lệnh "&amp;INT((ROW()-1)/2),"Giữ sau lệnh "&amp;INT((ROW()-1)/2)))</x:f>
      </x:c>
    </x:row>
    <x:row r="88">
      <x:c r="A88" t="n">
        <x:f>ROW()-1</x:f>
        <x:v>87</x:v>
      </x:c>
      <x:c r="B8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8" t="str">
        <x:f>IF(MOD(ROW(),2)=1,IF(B88="","",INDEX(XU_LY_LENH!$B$2:$B$61,INT((ROW()-1)/2))),IF(B88="","",INDEX(XU_LY_LENH!$I$2:$I$61,INT((ROW()-1)/2))))</x:f>
      </x:c>
      <x:c r="D88" t="str">
        <x:f>IF(MOD(ROW(),2)=1,IF(B88="","",IF(INDEX(XU_LY_LENH!$G$2:$G$61,INT((ROW()-1)/2))="HOLD",C88,MIN(INDEX(XU_LY_LENH!$I$2:$I$61,INT((ROW()-1)/2)),IF(IFERROR(INDEX(XU_LY_LENH!$C$2:$C$61,INT((ROW()-1)/2)+1),"")="",86400,IFERROR(INDEX(XU_LY_LENH!$B$2:$B$61,INT((ROW()-1)/2)+1),"")),86400))),IF(B88="","",MIN(IF(IFERROR(INDEX(XU_LY_LENH!$C$2:$C$61,INT((ROW()-1)/2)+1),"")="",86400,IFERROR(INDEX(XU_LY_LENH!$B$2:$B$61,INT((ROW()-1)/2)+1),"")),86400)))</x:f>
      </x:c>
      <x:c r="E88" t="str">
        <x:f>IF(MOD(ROW(),2)=1,IF(B88="","",INDEX(XU_LY_LENH!$F$2:$F$61,INT((ROW()-1)/2))),IF(B88="","",INDEX(XU_LY_LENH!$D$2:$D$61,INT((ROW()-1)/2))))</x:f>
      </x:c>
      <x:c r="F88" t="str">
        <x:f>IF(MOD(ROW(),2)=1,IF(B88="","",IF(INDEX(XU_LY_LENH!$G$2:$G$61,INT((ROW()-1)/2))="HOLD",E88,IF(D88&gt;=INDEX(XU_LY_LENH!$I$2:$I$61,INT((ROW()-1)/2)),INDEX(XU_LY_LENH!$D$2:$D$61,INT((ROW()-1)/2)),INDEX(XU_LY_LENH!$F$2:$F$61,INT((ROW()-1)/2))+(INDEX(XU_LY_LENH!$D$2:$D$61,INT((ROW()-1)/2))-INDEX(XU_LY_LENH!$F$2:$F$61,INT((ROW()-1)/2)))*(D88-INDEX(XU_LY_LENH!$B$2:$B$61,INT((ROW()-1)/2)))/MAX(INDEX(XU_LY_LENH!$I$2:$I$61,INT((ROW()-1)/2))-INDEX(XU_LY_LENH!$B$2:$B$61,INT((ROW()-1)/2)),0.000001)))),IF(B88="","",INDEX(XU_LY_LENH!$D$2:$D$61,INT((ROW()-1)/2))))</x:f>
      </x:c>
      <x:c r="G88" t="str">
        <x:f>IF(B88="","",D88-C88)</x:f>
      </x:c>
      <x:c r="H88" t="str">
        <x:f>IF(B88="","",IF(MOD(ROW(),2)=1,"Ramp lệnh "&amp;INT((ROW()-1)/2),"Giữ sau lệnh "&amp;INT((ROW()-1)/2)))</x:f>
      </x:c>
    </x:row>
    <x:row r="89">
      <x:c r="A89" t="n">
        <x:f>ROW()-1</x:f>
        <x:v>88</x:v>
      </x:c>
      <x:c r="B8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89" t="str">
        <x:f>IF(MOD(ROW(),2)=1,IF(B89="","",INDEX(XU_LY_LENH!$B$2:$B$61,INT((ROW()-1)/2))),IF(B89="","",INDEX(XU_LY_LENH!$I$2:$I$61,INT((ROW()-1)/2))))</x:f>
      </x:c>
      <x:c r="D89" t="str">
        <x:f>IF(MOD(ROW(),2)=1,IF(B89="","",IF(INDEX(XU_LY_LENH!$G$2:$G$61,INT((ROW()-1)/2))="HOLD",C89,MIN(INDEX(XU_LY_LENH!$I$2:$I$61,INT((ROW()-1)/2)),IF(IFERROR(INDEX(XU_LY_LENH!$C$2:$C$61,INT((ROW()-1)/2)+1),"")="",86400,IFERROR(INDEX(XU_LY_LENH!$B$2:$B$61,INT((ROW()-1)/2)+1),"")),86400))),IF(B89="","",MIN(IF(IFERROR(INDEX(XU_LY_LENH!$C$2:$C$61,INT((ROW()-1)/2)+1),"")="",86400,IFERROR(INDEX(XU_LY_LENH!$B$2:$B$61,INT((ROW()-1)/2)+1),"")),86400)))</x:f>
      </x:c>
      <x:c r="E89" t="str">
        <x:f>IF(MOD(ROW(),2)=1,IF(B89="","",INDEX(XU_LY_LENH!$F$2:$F$61,INT((ROW()-1)/2))),IF(B89="","",INDEX(XU_LY_LENH!$D$2:$D$61,INT((ROW()-1)/2))))</x:f>
      </x:c>
      <x:c r="F89" t="str">
        <x:f>IF(MOD(ROW(),2)=1,IF(B89="","",IF(INDEX(XU_LY_LENH!$G$2:$G$61,INT((ROW()-1)/2))="HOLD",E89,IF(D89&gt;=INDEX(XU_LY_LENH!$I$2:$I$61,INT((ROW()-1)/2)),INDEX(XU_LY_LENH!$D$2:$D$61,INT((ROW()-1)/2)),INDEX(XU_LY_LENH!$F$2:$F$61,INT((ROW()-1)/2))+(INDEX(XU_LY_LENH!$D$2:$D$61,INT((ROW()-1)/2))-INDEX(XU_LY_LENH!$F$2:$F$61,INT((ROW()-1)/2)))*(D89-INDEX(XU_LY_LENH!$B$2:$B$61,INT((ROW()-1)/2)))/MAX(INDEX(XU_LY_LENH!$I$2:$I$61,INT((ROW()-1)/2))-INDEX(XU_LY_LENH!$B$2:$B$61,INT((ROW()-1)/2)),0.000001)))),IF(B89="","",INDEX(XU_LY_LENH!$D$2:$D$61,INT((ROW()-1)/2))))</x:f>
      </x:c>
      <x:c r="G89" t="str">
        <x:f>IF(B89="","",D89-C89)</x:f>
      </x:c>
      <x:c r="H89" t="str">
        <x:f>IF(B89="","",IF(MOD(ROW(),2)=1,"Ramp lệnh "&amp;INT((ROW()-1)/2),"Giữ sau lệnh "&amp;INT((ROW()-1)/2)))</x:f>
      </x:c>
    </x:row>
    <x:row r="90">
      <x:c r="A90" t="n">
        <x:f>ROW()-1</x:f>
        <x:v>89</x:v>
      </x:c>
      <x:c r="B9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0" t="str">
        <x:f>IF(MOD(ROW(),2)=1,IF(B90="","",INDEX(XU_LY_LENH!$B$2:$B$61,INT((ROW()-1)/2))),IF(B90="","",INDEX(XU_LY_LENH!$I$2:$I$61,INT((ROW()-1)/2))))</x:f>
      </x:c>
      <x:c r="D90" t="str">
        <x:f>IF(MOD(ROW(),2)=1,IF(B90="","",IF(INDEX(XU_LY_LENH!$G$2:$G$61,INT((ROW()-1)/2))="HOLD",C90,MIN(INDEX(XU_LY_LENH!$I$2:$I$61,INT((ROW()-1)/2)),IF(IFERROR(INDEX(XU_LY_LENH!$C$2:$C$61,INT((ROW()-1)/2)+1),"")="",86400,IFERROR(INDEX(XU_LY_LENH!$B$2:$B$61,INT((ROW()-1)/2)+1),"")),86400))),IF(B90="","",MIN(IF(IFERROR(INDEX(XU_LY_LENH!$C$2:$C$61,INT((ROW()-1)/2)+1),"")="",86400,IFERROR(INDEX(XU_LY_LENH!$B$2:$B$61,INT((ROW()-1)/2)+1),"")),86400)))</x:f>
      </x:c>
      <x:c r="E90" t="str">
        <x:f>IF(MOD(ROW(),2)=1,IF(B90="","",INDEX(XU_LY_LENH!$F$2:$F$61,INT((ROW()-1)/2))),IF(B90="","",INDEX(XU_LY_LENH!$D$2:$D$61,INT((ROW()-1)/2))))</x:f>
      </x:c>
      <x:c r="F90" t="str">
        <x:f>IF(MOD(ROW(),2)=1,IF(B90="","",IF(INDEX(XU_LY_LENH!$G$2:$G$61,INT((ROW()-1)/2))="HOLD",E90,IF(D90&gt;=INDEX(XU_LY_LENH!$I$2:$I$61,INT((ROW()-1)/2)),INDEX(XU_LY_LENH!$D$2:$D$61,INT((ROW()-1)/2)),INDEX(XU_LY_LENH!$F$2:$F$61,INT((ROW()-1)/2))+(INDEX(XU_LY_LENH!$D$2:$D$61,INT((ROW()-1)/2))-INDEX(XU_LY_LENH!$F$2:$F$61,INT((ROW()-1)/2)))*(D90-INDEX(XU_LY_LENH!$B$2:$B$61,INT((ROW()-1)/2)))/MAX(INDEX(XU_LY_LENH!$I$2:$I$61,INT((ROW()-1)/2))-INDEX(XU_LY_LENH!$B$2:$B$61,INT((ROW()-1)/2)),0.000001)))),IF(B90="","",INDEX(XU_LY_LENH!$D$2:$D$61,INT((ROW()-1)/2))))</x:f>
      </x:c>
      <x:c r="G90" t="str">
        <x:f>IF(B90="","",D90-C90)</x:f>
      </x:c>
      <x:c r="H90" t="str">
        <x:f>IF(B90="","",IF(MOD(ROW(),2)=1,"Ramp lệnh "&amp;INT((ROW()-1)/2),"Giữ sau lệnh "&amp;INT((ROW()-1)/2)))</x:f>
      </x:c>
    </x:row>
    <x:row r="91">
      <x:c r="A91" t="n">
        <x:f>ROW()-1</x:f>
        <x:v>90</x:v>
      </x:c>
      <x:c r="B9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1" t="str">
        <x:f>IF(MOD(ROW(),2)=1,IF(B91="","",INDEX(XU_LY_LENH!$B$2:$B$61,INT((ROW()-1)/2))),IF(B91="","",INDEX(XU_LY_LENH!$I$2:$I$61,INT((ROW()-1)/2))))</x:f>
      </x:c>
      <x:c r="D91" t="str">
        <x:f>IF(MOD(ROW(),2)=1,IF(B91="","",IF(INDEX(XU_LY_LENH!$G$2:$G$61,INT((ROW()-1)/2))="HOLD",C91,MIN(INDEX(XU_LY_LENH!$I$2:$I$61,INT((ROW()-1)/2)),IF(IFERROR(INDEX(XU_LY_LENH!$C$2:$C$61,INT((ROW()-1)/2)+1),"")="",86400,IFERROR(INDEX(XU_LY_LENH!$B$2:$B$61,INT((ROW()-1)/2)+1),"")),86400))),IF(B91="","",MIN(IF(IFERROR(INDEX(XU_LY_LENH!$C$2:$C$61,INT((ROW()-1)/2)+1),"")="",86400,IFERROR(INDEX(XU_LY_LENH!$B$2:$B$61,INT((ROW()-1)/2)+1),"")),86400)))</x:f>
      </x:c>
      <x:c r="E91" t="str">
        <x:f>IF(MOD(ROW(),2)=1,IF(B91="","",INDEX(XU_LY_LENH!$F$2:$F$61,INT((ROW()-1)/2))),IF(B91="","",INDEX(XU_LY_LENH!$D$2:$D$61,INT((ROW()-1)/2))))</x:f>
      </x:c>
      <x:c r="F91" t="str">
        <x:f>IF(MOD(ROW(),2)=1,IF(B91="","",IF(INDEX(XU_LY_LENH!$G$2:$G$61,INT((ROW()-1)/2))="HOLD",E91,IF(D91&gt;=INDEX(XU_LY_LENH!$I$2:$I$61,INT((ROW()-1)/2)),INDEX(XU_LY_LENH!$D$2:$D$61,INT((ROW()-1)/2)),INDEX(XU_LY_LENH!$F$2:$F$61,INT((ROW()-1)/2))+(INDEX(XU_LY_LENH!$D$2:$D$61,INT((ROW()-1)/2))-INDEX(XU_LY_LENH!$F$2:$F$61,INT((ROW()-1)/2)))*(D91-INDEX(XU_LY_LENH!$B$2:$B$61,INT((ROW()-1)/2)))/MAX(INDEX(XU_LY_LENH!$I$2:$I$61,INT((ROW()-1)/2))-INDEX(XU_LY_LENH!$B$2:$B$61,INT((ROW()-1)/2)),0.000001)))),IF(B91="","",INDEX(XU_LY_LENH!$D$2:$D$61,INT((ROW()-1)/2))))</x:f>
      </x:c>
      <x:c r="G91" t="str">
        <x:f>IF(B91="","",D91-C91)</x:f>
      </x:c>
      <x:c r="H91" t="str">
        <x:f>IF(B91="","",IF(MOD(ROW(),2)=1,"Ramp lệnh "&amp;INT((ROW()-1)/2),"Giữ sau lệnh "&amp;INT((ROW()-1)/2)))</x:f>
      </x:c>
    </x:row>
    <x:row r="92">
      <x:c r="A92" t="n">
        <x:f>ROW()-1</x:f>
        <x:v>91</x:v>
      </x:c>
      <x:c r="B9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2" t="str">
        <x:f>IF(MOD(ROW(),2)=1,IF(B92="","",INDEX(XU_LY_LENH!$B$2:$B$61,INT((ROW()-1)/2))),IF(B92="","",INDEX(XU_LY_LENH!$I$2:$I$61,INT((ROW()-1)/2))))</x:f>
      </x:c>
      <x:c r="D92" t="str">
        <x:f>IF(MOD(ROW(),2)=1,IF(B92="","",IF(INDEX(XU_LY_LENH!$G$2:$G$61,INT((ROW()-1)/2))="HOLD",C92,MIN(INDEX(XU_LY_LENH!$I$2:$I$61,INT((ROW()-1)/2)),IF(IFERROR(INDEX(XU_LY_LENH!$C$2:$C$61,INT((ROW()-1)/2)+1),"")="",86400,IFERROR(INDEX(XU_LY_LENH!$B$2:$B$61,INT((ROW()-1)/2)+1),"")),86400))),IF(B92="","",MIN(IF(IFERROR(INDEX(XU_LY_LENH!$C$2:$C$61,INT((ROW()-1)/2)+1),"")="",86400,IFERROR(INDEX(XU_LY_LENH!$B$2:$B$61,INT((ROW()-1)/2)+1),"")),86400)))</x:f>
      </x:c>
      <x:c r="E92" t="str">
        <x:f>IF(MOD(ROW(),2)=1,IF(B92="","",INDEX(XU_LY_LENH!$F$2:$F$61,INT((ROW()-1)/2))),IF(B92="","",INDEX(XU_LY_LENH!$D$2:$D$61,INT((ROW()-1)/2))))</x:f>
      </x:c>
      <x:c r="F92" t="str">
        <x:f>IF(MOD(ROW(),2)=1,IF(B92="","",IF(INDEX(XU_LY_LENH!$G$2:$G$61,INT((ROW()-1)/2))="HOLD",E92,IF(D92&gt;=INDEX(XU_LY_LENH!$I$2:$I$61,INT((ROW()-1)/2)),INDEX(XU_LY_LENH!$D$2:$D$61,INT((ROW()-1)/2)),INDEX(XU_LY_LENH!$F$2:$F$61,INT((ROW()-1)/2))+(INDEX(XU_LY_LENH!$D$2:$D$61,INT((ROW()-1)/2))-INDEX(XU_LY_LENH!$F$2:$F$61,INT((ROW()-1)/2)))*(D92-INDEX(XU_LY_LENH!$B$2:$B$61,INT((ROW()-1)/2)))/MAX(INDEX(XU_LY_LENH!$I$2:$I$61,INT((ROW()-1)/2))-INDEX(XU_LY_LENH!$B$2:$B$61,INT((ROW()-1)/2)),0.000001)))),IF(B92="","",INDEX(XU_LY_LENH!$D$2:$D$61,INT((ROW()-1)/2))))</x:f>
      </x:c>
      <x:c r="G92" t="str">
        <x:f>IF(B92="","",D92-C92)</x:f>
      </x:c>
      <x:c r="H92" t="str">
        <x:f>IF(B92="","",IF(MOD(ROW(),2)=1,"Ramp lệnh "&amp;INT((ROW()-1)/2),"Giữ sau lệnh "&amp;INT((ROW()-1)/2)))</x:f>
      </x:c>
    </x:row>
    <x:row r="93">
      <x:c r="A93" t="n">
        <x:f>ROW()-1</x:f>
        <x:v>92</x:v>
      </x:c>
      <x:c r="B9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3" t="str">
        <x:f>IF(MOD(ROW(),2)=1,IF(B93="","",INDEX(XU_LY_LENH!$B$2:$B$61,INT((ROW()-1)/2))),IF(B93="","",INDEX(XU_LY_LENH!$I$2:$I$61,INT((ROW()-1)/2))))</x:f>
      </x:c>
      <x:c r="D93" t="str">
        <x:f>IF(MOD(ROW(),2)=1,IF(B93="","",IF(INDEX(XU_LY_LENH!$G$2:$G$61,INT((ROW()-1)/2))="HOLD",C93,MIN(INDEX(XU_LY_LENH!$I$2:$I$61,INT((ROW()-1)/2)),IF(IFERROR(INDEX(XU_LY_LENH!$C$2:$C$61,INT((ROW()-1)/2)+1),"")="",86400,IFERROR(INDEX(XU_LY_LENH!$B$2:$B$61,INT((ROW()-1)/2)+1),"")),86400))),IF(B93="","",MIN(IF(IFERROR(INDEX(XU_LY_LENH!$C$2:$C$61,INT((ROW()-1)/2)+1),"")="",86400,IFERROR(INDEX(XU_LY_LENH!$B$2:$B$61,INT((ROW()-1)/2)+1),"")),86400)))</x:f>
      </x:c>
      <x:c r="E93" t="str">
        <x:f>IF(MOD(ROW(),2)=1,IF(B93="","",INDEX(XU_LY_LENH!$F$2:$F$61,INT((ROW()-1)/2))),IF(B93="","",INDEX(XU_LY_LENH!$D$2:$D$61,INT((ROW()-1)/2))))</x:f>
      </x:c>
      <x:c r="F93" t="str">
        <x:f>IF(MOD(ROW(),2)=1,IF(B93="","",IF(INDEX(XU_LY_LENH!$G$2:$G$61,INT((ROW()-1)/2))="HOLD",E93,IF(D93&gt;=INDEX(XU_LY_LENH!$I$2:$I$61,INT((ROW()-1)/2)),INDEX(XU_LY_LENH!$D$2:$D$61,INT((ROW()-1)/2)),INDEX(XU_LY_LENH!$F$2:$F$61,INT((ROW()-1)/2))+(INDEX(XU_LY_LENH!$D$2:$D$61,INT((ROW()-1)/2))-INDEX(XU_LY_LENH!$F$2:$F$61,INT((ROW()-1)/2)))*(D93-INDEX(XU_LY_LENH!$B$2:$B$61,INT((ROW()-1)/2)))/MAX(INDEX(XU_LY_LENH!$I$2:$I$61,INT((ROW()-1)/2))-INDEX(XU_LY_LENH!$B$2:$B$61,INT((ROW()-1)/2)),0.000001)))),IF(B93="","",INDEX(XU_LY_LENH!$D$2:$D$61,INT((ROW()-1)/2))))</x:f>
      </x:c>
      <x:c r="G93" t="str">
        <x:f>IF(B93="","",D93-C93)</x:f>
      </x:c>
      <x:c r="H93" t="str">
        <x:f>IF(B93="","",IF(MOD(ROW(),2)=1,"Ramp lệnh "&amp;INT((ROW()-1)/2),"Giữ sau lệnh "&amp;INT((ROW()-1)/2)))</x:f>
      </x:c>
    </x:row>
    <x:row r="94">
      <x:c r="A94" t="n">
        <x:f>ROW()-1</x:f>
        <x:v>93</x:v>
      </x:c>
      <x:c r="B9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4" t="str">
        <x:f>IF(MOD(ROW(),2)=1,IF(B94="","",INDEX(XU_LY_LENH!$B$2:$B$61,INT((ROW()-1)/2))),IF(B94="","",INDEX(XU_LY_LENH!$I$2:$I$61,INT((ROW()-1)/2))))</x:f>
      </x:c>
      <x:c r="D94" t="str">
        <x:f>IF(MOD(ROW(),2)=1,IF(B94="","",IF(INDEX(XU_LY_LENH!$G$2:$G$61,INT((ROW()-1)/2))="HOLD",C94,MIN(INDEX(XU_LY_LENH!$I$2:$I$61,INT((ROW()-1)/2)),IF(IFERROR(INDEX(XU_LY_LENH!$C$2:$C$61,INT((ROW()-1)/2)+1),"")="",86400,IFERROR(INDEX(XU_LY_LENH!$B$2:$B$61,INT((ROW()-1)/2)+1),"")),86400))),IF(B94="","",MIN(IF(IFERROR(INDEX(XU_LY_LENH!$C$2:$C$61,INT((ROW()-1)/2)+1),"")="",86400,IFERROR(INDEX(XU_LY_LENH!$B$2:$B$61,INT((ROW()-1)/2)+1),"")),86400)))</x:f>
      </x:c>
      <x:c r="E94" t="str">
        <x:f>IF(MOD(ROW(),2)=1,IF(B94="","",INDEX(XU_LY_LENH!$F$2:$F$61,INT((ROW()-1)/2))),IF(B94="","",INDEX(XU_LY_LENH!$D$2:$D$61,INT((ROW()-1)/2))))</x:f>
      </x:c>
      <x:c r="F94" t="str">
        <x:f>IF(MOD(ROW(),2)=1,IF(B94="","",IF(INDEX(XU_LY_LENH!$G$2:$G$61,INT((ROW()-1)/2))="HOLD",E94,IF(D94&gt;=INDEX(XU_LY_LENH!$I$2:$I$61,INT((ROW()-1)/2)),INDEX(XU_LY_LENH!$D$2:$D$61,INT((ROW()-1)/2)),INDEX(XU_LY_LENH!$F$2:$F$61,INT((ROW()-1)/2))+(INDEX(XU_LY_LENH!$D$2:$D$61,INT((ROW()-1)/2))-INDEX(XU_LY_LENH!$F$2:$F$61,INT((ROW()-1)/2)))*(D94-INDEX(XU_LY_LENH!$B$2:$B$61,INT((ROW()-1)/2)))/MAX(INDEX(XU_LY_LENH!$I$2:$I$61,INT((ROW()-1)/2))-INDEX(XU_LY_LENH!$B$2:$B$61,INT((ROW()-1)/2)),0.000001)))),IF(B94="","",INDEX(XU_LY_LENH!$D$2:$D$61,INT((ROW()-1)/2))))</x:f>
      </x:c>
      <x:c r="G94" t="str">
        <x:f>IF(B94="","",D94-C94)</x:f>
      </x:c>
      <x:c r="H94" t="str">
        <x:f>IF(B94="","",IF(MOD(ROW(),2)=1,"Ramp lệnh "&amp;INT((ROW()-1)/2),"Giữ sau lệnh "&amp;INT((ROW()-1)/2)))</x:f>
      </x:c>
    </x:row>
    <x:row r="95">
      <x:c r="A95" t="n">
        <x:f>ROW()-1</x:f>
        <x:v>94</x:v>
      </x:c>
      <x:c r="B9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5" t="str">
        <x:f>IF(MOD(ROW(),2)=1,IF(B95="","",INDEX(XU_LY_LENH!$B$2:$B$61,INT((ROW()-1)/2))),IF(B95="","",INDEX(XU_LY_LENH!$I$2:$I$61,INT((ROW()-1)/2))))</x:f>
      </x:c>
      <x:c r="D95" t="str">
        <x:f>IF(MOD(ROW(),2)=1,IF(B95="","",IF(INDEX(XU_LY_LENH!$G$2:$G$61,INT((ROW()-1)/2))="HOLD",C95,MIN(INDEX(XU_LY_LENH!$I$2:$I$61,INT((ROW()-1)/2)),IF(IFERROR(INDEX(XU_LY_LENH!$C$2:$C$61,INT((ROW()-1)/2)+1),"")="",86400,IFERROR(INDEX(XU_LY_LENH!$B$2:$B$61,INT((ROW()-1)/2)+1),"")),86400))),IF(B95="","",MIN(IF(IFERROR(INDEX(XU_LY_LENH!$C$2:$C$61,INT((ROW()-1)/2)+1),"")="",86400,IFERROR(INDEX(XU_LY_LENH!$B$2:$B$61,INT((ROW()-1)/2)+1),"")),86400)))</x:f>
      </x:c>
      <x:c r="E95" t="str">
        <x:f>IF(MOD(ROW(),2)=1,IF(B95="","",INDEX(XU_LY_LENH!$F$2:$F$61,INT((ROW()-1)/2))),IF(B95="","",INDEX(XU_LY_LENH!$D$2:$D$61,INT((ROW()-1)/2))))</x:f>
      </x:c>
      <x:c r="F95" t="str">
        <x:f>IF(MOD(ROW(),2)=1,IF(B95="","",IF(INDEX(XU_LY_LENH!$G$2:$G$61,INT((ROW()-1)/2))="HOLD",E95,IF(D95&gt;=INDEX(XU_LY_LENH!$I$2:$I$61,INT((ROW()-1)/2)),INDEX(XU_LY_LENH!$D$2:$D$61,INT((ROW()-1)/2)),INDEX(XU_LY_LENH!$F$2:$F$61,INT((ROW()-1)/2))+(INDEX(XU_LY_LENH!$D$2:$D$61,INT((ROW()-1)/2))-INDEX(XU_LY_LENH!$F$2:$F$61,INT((ROW()-1)/2)))*(D95-INDEX(XU_LY_LENH!$B$2:$B$61,INT((ROW()-1)/2)))/MAX(INDEX(XU_LY_LENH!$I$2:$I$61,INT((ROW()-1)/2))-INDEX(XU_LY_LENH!$B$2:$B$61,INT((ROW()-1)/2)),0.000001)))),IF(B95="","",INDEX(XU_LY_LENH!$D$2:$D$61,INT((ROW()-1)/2))))</x:f>
      </x:c>
      <x:c r="G95" t="str">
        <x:f>IF(B95="","",D95-C95)</x:f>
      </x:c>
      <x:c r="H95" t="str">
        <x:f>IF(B95="","",IF(MOD(ROW(),2)=1,"Ramp lệnh "&amp;INT((ROW()-1)/2),"Giữ sau lệnh "&amp;INT((ROW()-1)/2)))</x:f>
      </x:c>
    </x:row>
    <x:row r="96">
      <x:c r="A96" t="n">
        <x:f>ROW()-1</x:f>
        <x:v>95</x:v>
      </x:c>
      <x:c r="B9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6" t="str">
        <x:f>IF(MOD(ROW(),2)=1,IF(B96="","",INDEX(XU_LY_LENH!$B$2:$B$61,INT((ROW()-1)/2))),IF(B96="","",INDEX(XU_LY_LENH!$I$2:$I$61,INT((ROW()-1)/2))))</x:f>
      </x:c>
      <x:c r="D96" t="str">
        <x:f>IF(MOD(ROW(),2)=1,IF(B96="","",IF(INDEX(XU_LY_LENH!$G$2:$G$61,INT((ROW()-1)/2))="HOLD",C96,MIN(INDEX(XU_LY_LENH!$I$2:$I$61,INT((ROW()-1)/2)),IF(IFERROR(INDEX(XU_LY_LENH!$C$2:$C$61,INT((ROW()-1)/2)+1),"")="",86400,IFERROR(INDEX(XU_LY_LENH!$B$2:$B$61,INT((ROW()-1)/2)+1),"")),86400))),IF(B96="","",MIN(IF(IFERROR(INDEX(XU_LY_LENH!$C$2:$C$61,INT((ROW()-1)/2)+1),"")="",86400,IFERROR(INDEX(XU_LY_LENH!$B$2:$B$61,INT((ROW()-1)/2)+1),"")),86400)))</x:f>
      </x:c>
      <x:c r="E96" t="str">
        <x:f>IF(MOD(ROW(),2)=1,IF(B96="","",INDEX(XU_LY_LENH!$F$2:$F$61,INT((ROW()-1)/2))),IF(B96="","",INDEX(XU_LY_LENH!$D$2:$D$61,INT((ROW()-1)/2))))</x:f>
      </x:c>
      <x:c r="F96" t="str">
        <x:f>IF(MOD(ROW(),2)=1,IF(B96="","",IF(INDEX(XU_LY_LENH!$G$2:$G$61,INT((ROW()-1)/2))="HOLD",E96,IF(D96&gt;=INDEX(XU_LY_LENH!$I$2:$I$61,INT((ROW()-1)/2)),INDEX(XU_LY_LENH!$D$2:$D$61,INT((ROW()-1)/2)),INDEX(XU_LY_LENH!$F$2:$F$61,INT((ROW()-1)/2))+(INDEX(XU_LY_LENH!$D$2:$D$61,INT((ROW()-1)/2))-INDEX(XU_LY_LENH!$F$2:$F$61,INT((ROW()-1)/2)))*(D96-INDEX(XU_LY_LENH!$B$2:$B$61,INT((ROW()-1)/2)))/MAX(INDEX(XU_LY_LENH!$I$2:$I$61,INT((ROW()-1)/2))-INDEX(XU_LY_LENH!$B$2:$B$61,INT((ROW()-1)/2)),0.000001)))),IF(B96="","",INDEX(XU_LY_LENH!$D$2:$D$61,INT((ROW()-1)/2))))</x:f>
      </x:c>
      <x:c r="G96" t="str">
        <x:f>IF(B96="","",D96-C96)</x:f>
      </x:c>
      <x:c r="H96" t="str">
        <x:f>IF(B96="","",IF(MOD(ROW(),2)=1,"Ramp lệnh "&amp;INT((ROW()-1)/2),"Giữ sau lệnh "&amp;INT((ROW()-1)/2)))</x:f>
      </x:c>
    </x:row>
    <x:row r="97">
      <x:c r="A97" t="n">
        <x:f>ROW()-1</x:f>
        <x:v>96</x:v>
      </x:c>
      <x:c r="B9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7" t="str">
        <x:f>IF(MOD(ROW(),2)=1,IF(B97="","",INDEX(XU_LY_LENH!$B$2:$B$61,INT((ROW()-1)/2))),IF(B97="","",INDEX(XU_LY_LENH!$I$2:$I$61,INT((ROW()-1)/2))))</x:f>
      </x:c>
      <x:c r="D97" t="str">
        <x:f>IF(MOD(ROW(),2)=1,IF(B97="","",IF(INDEX(XU_LY_LENH!$G$2:$G$61,INT((ROW()-1)/2))="HOLD",C97,MIN(INDEX(XU_LY_LENH!$I$2:$I$61,INT((ROW()-1)/2)),IF(IFERROR(INDEX(XU_LY_LENH!$C$2:$C$61,INT((ROW()-1)/2)+1),"")="",86400,IFERROR(INDEX(XU_LY_LENH!$B$2:$B$61,INT((ROW()-1)/2)+1),"")),86400))),IF(B97="","",MIN(IF(IFERROR(INDEX(XU_LY_LENH!$C$2:$C$61,INT((ROW()-1)/2)+1),"")="",86400,IFERROR(INDEX(XU_LY_LENH!$B$2:$B$61,INT((ROW()-1)/2)+1),"")),86400)))</x:f>
      </x:c>
      <x:c r="E97" t="str">
        <x:f>IF(MOD(ROW(),2)=1,IF(B97="","",INDEX(XU_LY_LENH!$F$2:$F$61,INT((ROW()-1)/2))),IF(B97="","",INDEX(XU_LY_LENH!$D$2:$D$61,INT((ROW()-1)/2))))</x:f>
      </x:c>
      <x:c r="F97" t="str">
        <x:f>IF(MOD(ROW(),2)=1,IF(B97="","",IF(INDEX(XU_LY_LENH!$G$2:$G$61,INT((ROW()-1)/2))="HOLD",E97,IF(D97&gt;=INDEX(XU_LY_LENH!$I$2:$I$61,INT((ROW()-1)/2)),INDEX(XU_LY_LENH!$D$2:$D$61,INT((ROW()-1)/2)),INDEX(XU_LY_LENH!$F$2:$F$61,INT((ROW()-1)/2))+(INDEX(XU_LY_LENH!$D$2:$D$61,INT((ROW()-1)/2))-INDEX(XU_LY_LENH!$F$2:$F$61,INT((ROW()-1)/2)))*(D97-INDEX(XU_LY_LENH!$B$2:$B$61,INT((ROW()-1)/2)))/MAX(INDEX(XU_LY_LENH!$I$2:$I$61,INT((ROW()-1)/2))-INDEX(XU_LY_LENH!$B$2:$B$61,INT((ROW()-1)/2)),0.000001)))),IF(B97="","",INDEX(XU_LY_LENH!$D$2:$D$61,INT((ROW()-1)/2))))</x:f>
      </x:c>
      <x:c r="G97" t="str">
        <x:f>IF(B97="","",D97-C97)</x:f>
      </x:c>
      <x:c r="H97" t="str">
        <x:f>IF(B97="","",IF(MOD(ROW(),2)=1,"Ramp lệnh "&amp;INT((ROW()-1)/2),"Giữ sau lệnh "&amp;INT((ROW()-1)/2)))</x:f>
      </x:c>
    </x:row>
    <x:row r="98">
      <x:c r="A98" t="n">
        <x:f>ROW()-1</x:f>
        <x:v>97</x:v>
      </x:c>
      <x:c r="B9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8" t="str">
        <x:f>IF(MOD(ROW(),2)=1,IF(B98="","",INDEX(XU_LY_LENH!$B$2:$B$61,INT((ROW()-1)/2))),IF(B98="","",INDEX(XU_LY_LENH!$I$2:$I$61,INT((ROW()-1)/2))))</x:f>
      </x:c>
      <x:c r="D98" t="str">
        <x:f>IF(MOD(ROW(),2)=1,IF(B98="","",IF(INDEX(XU_LY_LENH!$G$2:$G$61,INT((ROW()-1)/2))="HOLD",C98,MIN(INDEX(XU_LY_LENH!$I$2:$I$61,INT((ROW()-1)/2)),IF(IFERROR(INDEX(XU_LY_LENH!$C$2:$C$61,INT((ROW()-1)/2)+1),"")="",86400,IFERROR(INDEX(XU_LY_LENH!$B$2:$B$61,INT((ROW()-1)/2)+1),"")),86400))),IF(B98="","",MIN(IF(IFERROR(INDEX(XU_LY_LENH!$C$2:$C$61,INT((ROW()-1)/2)+1),"")="",86400,IFERROR(INDEX(XU_LY_LENH!$B$2:$B$61,INT((ROW()-1)/2)+1),"")),86400)))</x:f>
      </x:c>
      <x:c r="E98" t="str">
        <x:f>IF(MOD(ROW(),2)=1,IF(B98="","",INDEX(XU_LY_LENH!$F$2:$F$61,INT((ROW()-1)/2))),IF(B98="","",INDEX(XU_LY_LENH!$D$2:$D$61,INT((ROW()-1)/2))))</x:f>
      </x:c>
      <x:c r="F98" t="str">
        <x:f>IF(MOD(ROW(),2)=1,IF(B98="","",IF(INDEX(XU_LY_LENH!$G$2:$G$61,INT((ROW()-1)/2))="HOLD",E98,IF(D98&gt;=INDEX(XU_LY_LENH!$I$2:$I$61,INT((ROW()-1)/2)),INDEX(XU_LY_LENH!$D$2:$D$61,INT((ROW()-1)/2)),INDEX(XU_LY_LENH!$F$2:$F$61,INT((ROW()-1)/2))+(INDEX(XU_LY_LENH!$D$2:$D$61,INT((ROW()-1)/2))-INDEX(XU_LY_LENH!$F$2:$F$61,INT((ROW()-1)/2)))*(D98-INDEX(XU_LY_LENH!$B$2:$B$61,INT((ROW()-1)/2)))/MAX(INDEX(XU_LY_LENH!$I$2:$I$61,INT((ROW()-1)/2))-INDEX(XU_LY_LENH!$B$2:$B$61,INT((ROW()-1)/2)),0.000001)))),IF(B98="","",INDEX(XU_LY_LENH!$D$2:$D$61,INT((ROW()-1)/2))))</x:f>
      </x:c>
      <x:c r="G98" t="str">
        <x:f>IF(B98="","",D98-C98)</x:f>
      </x:c>
      <x:c r="H98" t="str">
        <x:f>IF(B98="","",IF(MOD(ROW(),2)=1,"Ramp lệnh "&amp;INT((ROW()-1)/2),"Giữ sau lệnh "&amp;INT((ROW()-1)/2)))</x:f>
      </x:c>
    </x:row>
    <x:row r="99">
      <x:c r="A99" t="n">
        <x:f>ROW()-1</x:f>
        <x:v>98</x:v>
      </x:c>
      <x:c r="B9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99" t="str">
        <x:f>IF(MOD(ROW(),2)=1,IF(B99="","",INDEX(XU_LY_LENH!$B$2:$B$61,INT((ROW()-1)/2))),IF(B99="","",INDEX(XU_LY_LENH!$I$2:$I$61,INT((ROW()-1)/2))))</x:f>
      </x:c>
      <x:c r="D99" t="str">
        <x:f>IF(MOD(ROW(),2)=1,IF(B99="","",IF(INDEX(XU_LY_LENH!$G$2:$G$61,INT((ROW()-1)/2))="HOLD",C99,MIN(INDEX(XU_LY_LENH!$I$2:$I$61,INT((ROW()-1)/2)),IF(IFERROR(INDEX(XU_LY_LENH!$C$2:$C$61,INT((ROW()-1)/2)+1),"")="",86400,IFERROR(INDEX(XU_LY_LENH!$B$2:$B$61,INT((ROW()-1)/2)+1),"")),86400))),IF(B99="","",MIN(IF(IFERROR(INDEX(XU_LY_LENH!$C$2:$C$61,INT((ROW()-1)/2)+1),"")="",86400,IFERROR(INDEX(XU_LY_LENH!$B$2:$B$61,INT((ROW()-1)/2)+1),"")),86400)))</x:f>
      </x:c>
      <x:c r="E99" t="str">
        <x:f>IF(MOD(ROW(),2)=1,IF(B99="","",INDEX(XU_LY_LENH!$F$2:$F$61,INT((ROW()-1)/2))),IF(B99="","",INDEX(XU_LY_LENH!$D$2:$D$61,INT((ROW()-1)/2))))</x:f>
      </x:c>
      <x:c r="F99" t="str">
        <x:f>IF(MOD(ROW(),2)=1,IF(B99="","",IF(INDEX(XU_LY_LENH!$G$2:$G$61,INT((ROW()-1)/2))="HOLD",E99,IF(D99&gt;=INDEX(XU_LY_LENH!$I$2:$I$61,INT((ROW()-1)/2)),INDEX(XU_LY_LENH!$D$2:$D$61,INT((ROW()-1)/2)),INDEX(XU_LY_LENH!$F$2:$F$61,INT((ROW()-1)/2))+(INDEX(XU_LY_LENH!$D$2:$D$61,INT((ROW()-1)/2))-INDEX(XU_LY_LENH!$F$2:$F$61,INT((ROW()-1)/2)))*(D99-INDEX(XU_LY_LENH!$B$2:$B$61,INT((ROW()-1)/2)))/MAX(INDEX(XU_LY_LENH!$I$2:$I$61,INT((ROW()-1)/2))-INDEX(XU_LY_LENH!$B$2:$B$61,INT((ROW()-1)/2)),0.000001)))),IF(B99="","",INDEX(XU_LY_LENH!$D$2:$D$61,INT((ROW()-1)/2))))</x:f>
      </x:c>
      <x:c r="G99" t="str">
        <x:f>IF(B99="","",D99-C99)</x:f>
      </x:c>
      <x:c r="H99" t="str">
        <x:f>IF(B99="","",IF(MOD(ROW(),2)=1,"Ramp lệnh "&amp;INT((ROW()-1)/2),"Giữ sau lệnh "&amp;INT((ROW()-1)/2)))</x:f>
      </x:c>
    </x:row>
    <x:row r="100">
      <x:c r="A100" t="n">
        <x:f>ROW()-1</x:f>
        <x:v>99</x:v>
      </x:c>
      <x:c r="B10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0" t="str">
        <x:f>IF(MOD(ROW(),2)=1,IF(B100="","",INDEX(XU_LY_LENH!$B$2:$B$61,INT((ROW()-1)/2))),IF(B100="","",INDEX(XU_LY_LENH!$I$2:$I$61,INT((ROW()-1)/2))))</x:f>
      </x:c>
      <x:c r="D100" t="str">
        <x:f>IF(MOD(ROW(),2)=1,IF(B100="","",IF(INDEX(XU_LY_LENH!$G$2:$G$61,INT((ROW()-1)/2))="HOLD",C100,MIN(INDEX(XU_LY_LENH!$I$2:$I$61,INT((ROW()-1)/2)),IF(IFERROR(INDEX(XU_LY_LENH!$C$2:$C$61,INT((ROW()-1)/2)+1),"")="",86400,IFERROR(INDEX(XU_LY_LENH!$B$2:$B$61,INT((ROW()-1)/2)+1),"")),86400))),IF(B100="","",MIN(IF(IFERROR(INDEX(XU_LY_LENH!$C$2:$C$61,INT((ROW()-1)/2)+1),"")="",86400,IFERROR(INDEX(XU_LY_LENH!$B$2:$B$61,INT((ROW()-1)/2)+1),"")),86400)))</x:f>
      </x:c>
      <x:c r="E100" t="str">
        <x:f>IF(MOD(ROW(),2)=1,IF(B100="","",INDEX(XU_LY_LENH!$F$2:$F$61,INT((ROW()-1)/2))),IF(B100="","",INDEX(XU_LY_LENH!$D$2:$D$61,INT((ROW()-1)/2))))</x:f>
      </x:c>
      <x:c r="F100" t="str">
        <x:f>IF(MOD(ROW(),2)=1,IF(B100="","",IF(INDEX(XU_LY_LENH!$G$2:$G$61,INT((ROW()-1)/2))="HOLD",E100,IF(D100&gt;=INDEX(XU_LY_LENH!$I$2:$I$61,INT((ROW()-1)/2)),INDEX(XU_LY_LENH!$D$2:$D$61,INT((ROW()-1)/2)),INDEX(XU_LY_LENH!$F$2:$F$61,INT((ROW()-1)/2))+(INDEX(XU_LY_LENH!$D$2:$D$61,INT((ROW()-1)/2))-INDEX(XU_LY_LENH!$F$2:$F$61,INT((ROW()-1)/2)))*(D100-INDEX(XU_LY_LENH!$B$2:$B$61,INT((ROW()-1)/2)))/MAX(INDEX(XU_LY_LENH!$I$2:$I$61,INT((ROW()-1)/2))-INDEX(XU_LY_LENH!$B$2:$B$61,INT((ROW()-1)/2)),0.000001)))),IF(B100="","",INDEX(XU_LY_LENH!$D$2:$D$61,INT((ROW()-1)/2))))</x:f>
      </x:c>
      <x:c r="G100" t="str">
        <x:f>IF(B100="","",D100-C100)</x:f>
      </x:c>
      <x:c r="H100" t="str">
        <x:f>IF(B100="","",IF(MOD(ROW(),2)=1,"Ramp lệnh "&amp;INT((ROW()-1)/2),"Giữ sau lệnh "&amp;INT((ROW()-1)/2)))</x:f>
      </x:c>
    </x:row>
    <x:row r="101">
      <x:c r="A101" t="n">
        <x:f>ROW()-1</x:f>
        <x:v>100</x:v>
      </x:c>
      <x:c r="B10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1" t="str">
        <x:f>IF(MOD(ROW(),2)=1,IF(B101="","",INDEX(XU_LY_LENH!$B$2:$B$61,INT((ROW()-1)/2))),IF(B101="","",INDEX(XU_LY_LENH!$I$2:$I$61,INT((ROW()-1)/2))))</x:f>
      </x:c>
      <x:c r="D101" t="str">
        <x:f>IF(MOD(ROW(),2)=1,IF(B101="","",IF(INDEX(XU_LY_LENH!$G$2:$G$61,INT((ROW()-1)/2))="HOLD",C101,MIN(INDEX(XU_LY_LENH!$I$2:$I$61,INT((ROW()-1)/2)),IF(IFERROR(INDEX(XU_LY_LENH!$C$2:$C$61,INT((ROW()-1)/2)+1),"")="",86400,IFERROR(INDEX(XU_LY_LENH!$B$2:$B$61,INT((ROW()-1)/2)+1),"")),86400))),IF(B101="","",MIN(IF(IFERROR(INDEX(XU_LY_LENH!$C$2:$C$61,INT((ROW()-1)/2)+1),"")="",86400,IFERROR(INDEX(XU_LY_LENH!$B$2:$B$61,INT((ROW()-1)/2)+1),"")),86400)))</x:f>
      </x:c>
      <x:c r="E101" t="str">
        <x:f>IF(MOD(ROW(),2)=1,IF(B101="","",INDEX(XU_LY_LENH!$F$2:$F$61,INT((ROW()-1)/2))),IF(B101="","",INDEX(XU_LY_LENH!$D$2:$D$61,INT((ROW()-1)/2))))</x:f>
      </x:c>
      <x:c r="F101" t="str">
        <x:f>IF(MOD(ROW(),2)=1,IF(B101="","",IF(INDEX(XU_LY_LENH!$G$2:$G$61,INT((ROW()-1)/2))="HOLD",E101,IF(D101&gt;=INDEX(XU_LY_LENH!$I$2:$I$61,INT((ROW()-1)/2)),INDEX(XU_LY_LENH!$D$2:$D$61,INT((ROW()-1)/2)),INDEX(XU_LY_LENH!$F$2:$F$61,INT((ROW()-1)/2))+(INDEX(XU_LY_LENH!$D$2:$D$61,INT((ROW()-1)/2))-INDEX(XU_LY_LENH!$F$2:$F$61,INT((ROW()-1)/2)))*(D101-INDEX(XU_LY_LENH!$B$2:$B$61,INT((ROW()-1)/2)))/MAX(INDEX(XU_LY_LENH!$I$2:$I$61,INT((ROW()-1)/2))-INDEX(XU_LY_LENH!$B$2:$B$61,INT((ROW()-1)/2)),0.000001)))),IF(B101="","",INDEX(XU_LY_LENH!$D$2:$D$61,INT((ROW()-1)/2))))</x:f>
      </x:c>
      <x:c r="G101" t="str">
        <x:f>IF(B101="","",D101-C101)</x:f>
      </x:c>
      <x:c r="H101" t="str">
        <x:f>IF(B101="","",IF(MOD(ROW(),2)=1,"Ramp lệnh "&amp;INT((ROW()-1)/2),"Giữ sau lệnh "&amp;INT((ROW()-1)/2)))</x:f>
      </x:c>
    </x:row>
    <x:row r="102">
      <x:c r="A102" t="n">
        <x:f>ROW()-1</x:f>
        <x:v>101</x:v>
      </x:c>
      <x:c r="B10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2" t="str">
        <x:f>IF(MOD(ROW(),2)=1,IF(B102="","",INDEX(XU_LY_LENH!$B$2:$B$61,INT((ROW()-1)/2))),IF(B102="","",INDEX(XU_LY_LENH!$I$2:$I$61,INT((ROW()-1)/2))))</x:f>
      </x:c>
      <x:c r="D102" t="str">
        <x:f>IF(MOD(ROW(),2)=1,IF(B102="","",IF(INDEX(XU_LY_LENH!$G$2:$G$61,INT((ROW()-1)/2))="HOLD",C102,MIN(INDEX(XU_LY_LENH!$I$2:$I$61,INT((ROW()-1)/2)),IF(IFERROR(INDEX(XU_LY_LENH!$C$2:$C$61,INT((ROW()-1)/2)+1),"")="",86400,IFERROR(INDEX(XU_LY_LENH!$B$2:$B$61,INT((ROW()-1)/2)+1),"")),86400))),IF(B102="","",MIN(IF(IFERROR(INDEX(XU_LY_LENH!$C$2:$C$61,INT((ROW()-1)/2)+1),"")="",86400,IFERROR(INDEX(XU_LY_LENH!$B$2:$B$61,INT((ROW()-1)/2)+1),"")),86400)))</x:f>
      </x:c>
      <x:c r="E102" t="str">
        <x:f>IF(MOD(ROW(),2)=1,IF(B102="","",INDEX(XU_LY_LENH!$F$2:$F$61,INT((ROW()-1)/2))),IF(B102="","",INDEX(XU_LY_LENH!$D$2:$D$61,INT((ROW()-1)/2))))</x:f>
      </x:c>
      <x:c r="F102" t="str">
        <x:f>IF(MOD(ROW(),2)=1,IF(B102="","",IF(INDEX(XU_LY_LENH!$G$2:$G$61,INT((ROW()-1)/2))="HOLD",E102,IF(D102&gt;=INDEX(XU_LY_LENH!$I$2:$I$61,INT((ROW()-1)/2)),INDEX(XU_LY_LENH!$D$2:$D$61,INT((ROW()-1)/2)),INDEX(XU_LY_LENH!$F$2:$F$61,INT((ROW()-1)/2))+(INDEX(XU_LY_LENH!$D$2:$D$61,INT((ROW()-1)/2))-INDEX(XU_LY_LENH!$F$2:$F$61,INT((ROW()-1)/2)))*(D102-INDEX(XU_LY_LENH!$B$2:$B$61,INT((ROW()-1)/2)))/MAX(INDEX(XU_LY_LENH!$I$2:$I$61,INT((ROW()-1)/2))-INDEX(XU_LY_LENH!$B$2:$B$61,INT((ROW()-1)/2)),0.000001)))),IF(B102="","",INDEX(XU_LY_LENH!$D$2:$D$61,INT((ROW()-1)/2))))</x:f>
      </x:c>
      <x:c r="G102" t="str">
        <x:f>IF(B102="","",D102-C102)</x:f>
      </x:c>
      <x:c r="H102" t="str">
        <x:f>IF(B102="","",IF(MOD(ROW(),2)=1,"Ramp lệnh "&amp;INT((ROW()-1)/2),"Giữ sau lệnh "&amp;INT((ROW()-1)/2)))</x:f>
      </x:c>
    </x:row>
    <x:row r="103">
      <x:c r="A103" t="n">
        <x:f>ROW()-1</x:f>
        <x:v>102</x:v>
      </x:c>
      <x:c r="B10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3" t="str">
        <x:f>IF(MOD(ROW(),2)=1,IF(B103="","",INDEX(XU_LY_LENH!$B$2:$B$61,INT((ROW()-1)/2))),IF(B103="","",INDEX(XU_LY_LENH!$I$2:$I$61,INT((ROW()-1)/2))))</x:f>
      </x:c>
      <x:c r="D103" t="str">
        <x:f>IF(MOD(ROW(),2)=1,IF(B103="","",IF(INDEX(XU_LY_LENH!$G$2:$G$61,INT((ROW()-1)/2))="HOLD",C103,MIN(INDEX(XU_LY_LENH!$I$2:$I$61,INT((ROW()-1)/2)),IF(IFERROR(INDEX(XU_LY_LENH!$C$2:$C$61,INT((ROW()-1)/2)+1),"")="",86400,IFERROR(INDEX(XU_LY_LENH!$B$2:$B$61,INT((ROW()-1)/2)+1),"")),86400))),IF(B103="","",MIN(IF(IFERROR(INDEX(XU_LY_LENH!$C$2:$C$61,INT((ROW()-1)/2)+1),"")="",86400,IFERROR(INDEX(XU_LY_LENH!$B$2:$B$61,INT((ROW()-1)/2)+1),"")),86400)))</x:f>
      </x:c>
      <x:c r="E103" t="str">
        <x:f>IF(MOD(ROW(),2)=1,IF(B103="","",INDEX(XU_LY_LENH!$F$2:$F$61,INT((ROW()-1)/2))),IF(B103="","",INDEX(XU_LY_LENH!$D$2:$D$61,INT((ROW()-1)/2))))</x:f>
      </x:c>
      <x:c r="F103" t="str">
        <x:f>IF(MOD(ROW(),2)=1,IF(B103="","",IF(INDEX(XU_LY_LENH!$G$2:$G$61,INT((ROW()-1)/2))="HOLD",E103,IF(D103&gt;=INDEX(XU_LY_LENH!$I$2:$I$61,INT((ROW()-1)/2)),INDEX(XU_LY_LENH!$D$2:$D$61,INT((ROW()-1)/2)),INDEX(XU_LY_LENH!$F$2:$F$61,INT((ROW()-1)/2))+(INDEX(XU_LY_LENH!$D$2:$D$61,INT((ROW()-1)/2))-INDEX(XU_LY_LENH!$F$2:$F$61,INT((ROW()-1)/2)))*(D103-INDEX(XU_LY_LENH!$B$2:$B$61,INT((ROW()-1)/2)))/MAX(INDEX(XU_LY_LENH!$I$2:$I$61,INT((ROW()-1)/2))-INDEX(XU_LY_LENH!$B$2:$B$61,INT((ROW()-1)/2)),0.000001)))),IF(B103="","",INDEX(XU_LY_LENH!$D$2:$D$61,INT((ROW()-1)/2))))</x:f>
      </x:c>
      <x:c r="G103" t="str">
        <x:f>IF(B103="","",D103-C103)</x:f>
      </x:c>
      <x:c r="H103" t="str">
        <x:f>IF(B103="","",IF(MOD(ROW(),2)=1,"Ramp lệnh "&amp;INT((ROW()-1)/2),"Giữ sau lệnh "&amp;INT((ROW()-1)/2)))</x:f>
      </x:c>
    </x:row>
    <x:row r="104">
      <x:c r="A104" t="n">
        <x:f>ROW()-1</x:f>
        <x:v>103</x:v>
      </x:c>
      <x:c r="B10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4" t="str">
        <x:f>IF(MOD(ROW(),2)=1,IF(B104="","",INDEX(XU_LY_LENH!$B$2:$B$61,INT((ROW()-1)/2))),IF(B104="","",INDEX(XU_LY_LENH!$I$2:$I$61,INT((ROW()-1)/2))))</x:f>
      </x:c>
      <x:c r="D104" t="str">
        <x:f>IF(MOD(ROW(),2)=1,IF(B104="","",IF(INDEX(XU_LY_LENH!$G$2:$G$61,INT((ROW()-1)/2))="HOLD",C104,MIN(INDEX(XU_LY_LENH!$I$2:$I$61,INT((ROW()-1)/2)),IF(IFERROR(INDEX(XU_LY_LENH!$C$2:$C$61,INT((ROW()-1)/2)+1),"")="",86400,IFERROR(INDEX(XU_LY_LENH!$B$2:$B$61,INT((ROW()-1)/2)+1),"")),86400))),IF(B104="","",MIN(IF(IFERROR(INDEX(XU_LY_LENH!$C$2:$C$61,INT((ROW()-1)/2)+1),"")="",86400,IFERROR(INDEX(XU_LY_LENH!$B$2:$B$61,INT((ROW()-1)/2)+1),"")),86400)))</x:f>
      </x:c>
      <x:c r="E104" t="str">
        <x:f>IF(MOD(ROW(),2)=1,IF(B104="","",INDEX(XU_LY_LENH!$F$2:$F$61,INT((ROW()-1)/2))),IF(B104="","",INDEX(XU_LY_LENH!$D$2:$D$61,INT((ROW()-1)/2))))</x:f>
      </x:c>
      <x:c r="F104" t="str">
        <x:f>IF(MOD(ROW(),2)=1,IF(B104="","",IF(INDEX(XU_LY_LENH!$G$2:$G$61,INT((ROW()-1)/2))="HOLD",E104,IF(D104&gt;=INDEX(XU_LY_LENH!$I$2:$I$61,INT((ROW()-1)/2)),INDEX(XU_LY_LENH!$D$2:$D$61,INT((ROW()-1)/2)),INDEX(XU_LY_LENH!$F$2:$F$61,INT((ROW()-1)/2))+(INDEX(XU_LY_LENH!$D$2:$D$61,INT((ROW()-1)/2))-INDEX(XU_LY_LENH!$F$2:$F$61,INT((ROW()-1)/2)))*(D104-INDEX(XU_LY_LENH!$B$2:$B$61,INT((ROW()-1)/2)))/MAX(INDEX(XU_LY_LENH!$I$2:$I$61,INT((ROW()-1)/2))-INDEX(XU_LY_LENH!$B$2:$B$61,INT((ROW()-1)/2)),0.000001)))),IF(B104="","",INDEX(XU_LY_LENH!$D$2:$D$61,INT((ROW()-1)/2))))</x:f>
      </x:c>
      <x:c r="G104" t="str">
        <x:f>IF(B104="","",D104-C104)</x:f>
      </x:c>
      <x:c r="H104" t="str">
        <x:f>IF(B104="","",IF(MOD(ROW(),2)=1,"Ramp lệnh "&amp;INT((ROW()-1)/2),"Giữ sau lệnh "&amp;INT((ROW()-1)/2)))</x:f>
      </x:c>
    </x:row>
    <x:row r="105">
      <x:c r="A105" t="n">
        <x:f>ROW()-1</x:f>
        <x:v>104</x:v>
      </x:c>
      <x:c r="B10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5" t="str">
        <x:f>IF(MOD(ROW(),2)=1,IF(B105="","",INDEX(XU_LY_LENH!$B$2:$B$61,INT((ROW()-1)/2))),IF(B105="","",INDEX(XU_LY_LENH!$I$2:$I$61,INT((ROW()-1)/2))))</x:f>
      </x:c>
      <x:c r="D105" t="str">
        <x:f>IF(MOD(ROW(),2)=1,IF(B105="","",IF(INDEX(XU_LY_LENH!$G$2:$G$61,INT((ROW()-1)/2))="HOLD",C105,MIN(INDEX(XU_LY_LENH!$I$2:$I$61,INT((ROW()-1)/2)),IF(IFERROR(INDEX(XU_LY_LENH!$C$2:$C$61,INT((ROW()-1)/2)+1),"")="",86400,IFERROR(INDEX(XU_LY_LENH!$B$2:$B$61,INT((ROW()-1)/2)+1),"")),86400))),IF(B105="","",MIN(IF(IFERROR(INDEX(XU_LY_LENH!$C$2:$C$61,INT((ROW()-1)/2)+1),"")="",86400,IFERROR(INDEX(XU_LY_LENH!$B$2:$B$61,INT((ROW()-1)/2)+1),"")),86400)))</x:f>
      </x:c>
      <x:c r="E105" t="str">
        <x:f>IF(MOD(ROW(),2)=1,IF(B105="","",INDEX(XU_LY_LENH!$F$2:$F$61,INT((ROW()-1)/2))),IF(B105="","",INDEX(XU_LY_LENH!$D$2:$D$61,INT((ROW()-1)/2))))</x:f>
      </x:c>
      <x:c r="F105" t="str">
        <x:f>IF(MOD(ROW(),2)=1,IF(B105="","",IF(INDEX(XU_LY_LENH!$G$2:$G$61,INT((ROW()-1)/2))="HOLD",E105,IF(D105&gt;=INDEX(XU_LY_LENH!$I$2:$I$61,INT((ROW()-1)/2)),INDEX(XU_LY_LENH!$D$2:$D$61,INT((ROW()-1)/2)),INDEX(XU_LY_LENH!$F$2:$F$61,INT((ROW()-1)/2))+(INDEX(XU_LY_LENH!$D$2:$D$61,INT((ROW()-1)/2))-INDEX(XU_LY_LENH!$F$2:$F$61,INT((ROW()-1)/2)))*(D105-INDEX(XU_LY_LENH!$B$2:$B$61,INT((ROW()-1)/2)))/MAX(INDEX(XU_LY_LENH!$I$2:$I$61,INT((ROW()-1)/2))-INDEX(XU_LY_LENH!$B$2:$B$61,INT((ROW()-1)/2)),0.000001)))),IF(B105="","",INDEX(XU_LY_LENH!$D$2:$D$61,INT((ROW()-1)/2))))</x:f>
      </x:c>
      <x:c r="G105" t="str">
        <x:f>IF(B105="","",D105-C105)</x:f>
      </x:c>
      <x:c r="H105" t="str">
        <x:f>IF(B105="","",IF(MOD(ROW(),2)=1,"Ramp lệnh "&amp;INT((ROW()-1)/2),"Giữ sau lệnh "&amp;INT((ROW()-1)/2)))</x:f>
      </x:c>
    </x:row>
    <x:row r="106">
      <x:c r="A106" t="n">
        <x:f>ROW()-1</x:f>
        <x:v>105</x:v>
      </x:c>
      <x:c r="B10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6" t="str">
        <x:f>IF(MOD(ROW(),2)=1,IF(B106="","",INDEX(XU_LY_LENH!$B$2:$B$61,INT((ROW()-1)/2))),IF(B106="","",INDEX(XU_LY_LENH!$I$2:$I$61,INT((ROW()-1)/2))))</x:f>
      </x:c>
      <x:c r="D106" t="str">
        <x:f>IF(MOD(ROW(),2)=1,IF(B106="","",IF(INDEX(XU_LY_LENH!$G$2:$G$61,INT((ROW()-1)/2))="HOLD",C106,MIN(INDEX(XU_LY_LENH!$I$2:$I$61,INT((ROW()-1)/2)),IF(IFERROR(INDEX(XU_LY_LENH!$C$2:$C$61,INT((ROW()-1)/2)+1),"")="",86400,IFERROR(INDEX(XU_LY_LENH!$B$2:$B$61,INT((ROW()-1)/2)+1),"")),86400))),IF(B106="","",MIN(IF(IFERROR(INDEX(XU_LY_LENH!$C$2:$C$61,INT((ROW()-1)/2)+1),"")="",86400,IFERROR(INDEX(XU_LY_LENH!$B$2:$B$61,INT((ROW()-1)/2)+1),"")),86400)))</x:f>
      </x:c>
      <x:c r="E106" t="str">
        <x:f>IF(MOD(ROW(),2)=1,IF(B106="","",INDEX(XU_LY_LENH!$F$2:$F$61,INT((ROW()-1)/2))),IF(B106="","",INDEX(XU_LY_LENH!$D$2:$D$61,INT((ROW()-1)/2))))</x:f>
      </x:c>
      <x:c r="F106" t="str">
        <x:f>IF(MOD(ROW(),2)=1,IF(B106="","",IF(INDEX(XU_LY_LENH!$G$2:$G$61,INT((ROW()-1)/2))="HOLD",E106,IF(D106&gt;=INDEX(XU_LY_LENH!$I$2:$I$61,INT((ROW()-1)/2)),INDEX(XU_LY_LENH!$D$2:$D$61,INT((ROW()-1)/2)),INDEX(XU_LY_LENH!$F$2:$F$61,INT((ROW()-1)/2))+(INDEX(XU_LY_LENH!$D$2:$D$61,INT((ROW()-1)/2))-INDEX(XU_LY_LENH!$F$2:$F$61,INT((ROW()-1)/2)))*(D106-INDEX(XU_LY_LENH!$B$2:$B$61,INT((ROW()-1)/2)))/MAX(INDEX(XU_LY_LENH!$I$2:$I$61,INT((ROW()-1)/2))-INDEX(XU_LY_LENH!$B$2:$B$61,INT((ROW()-1)/2)),0.000001)))),IF(B106="","",INDEX(XU_LY_LENH!$D$2:$D$61,INT((ROW()-1)/2))))</x:f>
      </x:c>
      <x:c r="G106" t="str">
        <x:f>IF(B106="","",D106-C106)</x:f>
      </x:c>
      <x:c r="H106" t="str">
        <x:f>IF(B106="","",IF(MOD(ROW(),2)=1,"Ramp lệnh "&amp;INT((ROW()-1)/2),"Giữ sau lệnh "&amp;INT((ROW()-1)/2)))</x:f>
      </x:c>
    </x:row>
    <x:row r="107">
      <x:c r="A107" t="n">
        <x:f>ROW()-1</x:f>
        <x:v>106</x:v>
      </x:c>
      <x:c r="B10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7" t="str">
        <x:f>IF(MOD(ROW(),2)=1,IF(B107="","",INDEX(XU_LY_LENH!$B$2:$B$61,INT((ROW()-1)/2))),IF(B107="","",INDEX(XU_LY_LENH!$I$2:$I$61,INT((ROW()-1)/2))))</x:f>
      </x:c>
      <x:c r="D107" t="str">
        <x:f>IF(MOD(ROW(),2)=1,IF(B107="","",IF(INDEX(XU_LY_LENH!$G$2:$G$61,INT((ROW()-1)/2))="HOLD",C107,MIN(INDEX(XU_LY_LENH!$I$2:$I$61,INT((ROW()-1)/2)),IF(IFERROR(INDEX(XU_LY_LENH!$C$2:$C$61,INT((ROW()-1)/2)+1),"")="",86400,IFERROR(INDEX(XU_LY_LENH!$B$2:$B$61,INT((ROW()-1)/2)+1),"")),86400))),IF(B107="","",MIN(IF(IFERROR(INDEX(XU_LY_LENH!$C$2:$C$61,INT((ROW()-1)/2)+1),"")="",86400,IFERROR(INDEX(XU_LY_LENH!$B$2:$B$61,INT((ROW()-1)/2)+1),"")),86400)))</x:f>
      </x:c>
      <x:c r="E107" t="str">
        <x:f>IF(MOD(ROW(),2)=1,IF(B107="","",INDEX(XU_LY_LENH!$F$2:$F$61,INT((ROW()-1)/2))),IF(B107="","",INDEX(XU_LY_LENH!$D$2:$D$61,INT((ROW()-1)/2))))</x:f>
      </x:c>
      <x:c r="F107" t="str">
        <x:f>IF(MOD(ROW(),2)=1,IF(B107="","",IF(INDEX(XU_LY_LENH!$G$2:$G$61,INT((ROW()-1)/2))="HOLD",E107,IF(D107&gt;=INDEX(XU_LY_LENH!$I$2:$I$61,INT((ROW()-1)/2)),INDEX(XU_LY_LENH!$D$2:$D$61,INT((ROW()-1)/2)),INDEX(XU_LY_LENH!$F$2:$F$61,INT((ROW()-1)/2))+(INDEX(XU_LY_LENH!$D$2:$D$61,INT((ROW()-1)/2))-INDEX(XU_LY_LENH!$F$2:$F$61,INT((ROW()-1)/2)))*(D107-INDEX(XU_LY_LENH!$B$2:$B$61,INT((ROW()-1)/2)))/MAX(INDEX(XU_LY_LENH!$I$2:$I$61,INT((ROW()-1)/2))-INDEX(XU_LY_LENH!$B$2:$B$61,INT((ROW()-1)/2)),0.000001)))),IF(B107="","",INDEX(XU_LY_LENH!$D$2:$D$61,INT((ROW()-1)/2))))</x:f>
      </x:c>
      <x:c r="G107" t="str">
        <x:f>IF(B107="","",D107-C107)</x:f>
      </x:c>
      <x:c r="H107" t="str">
        <x:f>IF(B107="","",IF(MOD(ROW(),2)=1,"Ramp lệnh "&amp;INT((ROW()-1)/2),"Giữ sau lệnh "&amp;INT((ROW()-1)/2)))</x:f>
      </x:c>
    </x:row>
    <x:row r="108">
      <x:c r="A108" t="n">
        <x:f>ROW()-1</x:f>
        <x:v>107</x:v>
      </x:c>
      <x:c r="B10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8" t="str">
        <x:f>IF(MOD(ROW(),2)=1,IF(B108="","",INDEX(XU_LY_LENH!$B$2:$B$61,INT((ROW()-1)/2))),IF(B108="","",INDEX(XU_LY_LENH!$I$2:$I$61,INT((ROW()-1)/2))))</x:f>
      </x:c>
      <x:c r="D108" t="str">
        <x:f>IF(MOD(ROW(),2)=1,IF(B108="","",IF(INDEX(XU_LY_LENH!$G$2:$G$61,INT((ROW()-1)/2))="HOLD",C108,MIN(INDEX(XU_LY_LENH!$I$2:$I$61,INT((ROW()-1)/2)),IF(IFERROR(INDEX(XU_LY_LENH!$C$2:$C$61,INT((ROW()-1)/2)+1),"")="",86400,IFERROR(INDEX(XU_LY_LENH!$B$2:$B$61,INT((ROW()-1)/2)+1),"")),86400))),IF(B108="","",MIN(IF(IFERROR(INDEX(XU_LY_LENH!$C$2:$C$61,INT((ROW()-1)/2)+1),"")="",86400,IFERROR(INDEX(XU_LY_LENH!$B$2:$B$61,INT((ROW()-1)/2)+1),"")),86400)))</x:f>
      </x:c>
      <x:c r="E108" t="str">
        <x:f>IF(MOD(ROW(),2)=1,IF(B108="","",INDEX(XU_LY_LENH!$F$2:$F$61,INT((ROW()-1)/2))),IF(B108="","",INDEX(XU_LY_LENH!$D$2:$D$61,INT((ROW()-1)/2))))</x:f>
      </x:c>
      <x:c r="F108" t="str">
        <x:f>IF(MOD(ROW(),2)=1,IF(B108="","",IF(INDEX(XU_LY_LENH!$G$2:$G$61,INT((ROW()-1)/2))="HOLD",E108,IF(D108&gt;=INDEX(XU_LY_LENH!$I$2:$I$61,INT((ROW()-1)/2)),INDEX(XU_LY_LENH!$D$2:$D$61,INT((ROW()-1)/2)),INDEX(XU_LY_LENH!$F$2:$F$61,INT((ROW()-1)/2))+(INDEX(XU_LY_LENH!$D$2:$D$61,INT((ROW()-1)/2))-INDEX(XU_LY_LENH!$F$2:$F$61,INT((ROW()-1)/2)))*(D108-INDEX(XU_LY_LENH!$B$2:$B$61,INT((ROW()-1)/2)))/MAX(INDEX(XU_LY_LENH!$I$2:$I$61,INT((ROW()-1)/2))-INDEX(XU_LY_LENH!$B$2:$B$61,INT((ROW()-1)/2)),0.000001)))),IF(B108="","",INDEX(XU_LY_LENH!$D$2:$D$61,INT((ROW()-1)/2))))</x:f>
      </x:c>
      <x:c r="G108" t="str">
        <x:f>IF(B108="","",D108-C108)</x:f>
      </x:c>
      <x:c r="H108" t="str">
        <x:f>IF(B108="","",IF(MOD(ROW(),2)=1,"Ramp lệnh "&amp;INT((ROW()-1)/2),"Giữ sau lệnh "&amp;INT((ROW()-1)/2)))</x:f>
      </x:c>
    </x:row>
    <x:row r="109">
      <x:c r="A109" t="n">
        <x:f>ROW()-1</x:f>
        <x:v>108</x:v>
      </x:c>
      <x:c r="B10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09" t="str">
        <x:f>IF(MOD(ROW(),2)=1,IF(B109="","",INDEX(XU_LY_LENH!$B$2:$B$61,INT((ROW()-1)/2))),IF(B109="","",INDEX(XU_LY_LENH!$I$2:$I$61,INT((ROW()-1)/2))))</x:f>
      </x:c>
      <x:c r="D109" t="str">
        <x:f>IF(MOD(ROW(),2)=1,IF(B109="","",IF(INDEX(XU_LY_LENH!$G$2:$G$61,INT((ROW()-1)/2))="HOLD",C109,MIN(INDEX(XU_LY_LENH!$I$2:$I$61,INT((ROW()-1)/2)),IF(IFERROR(INDEX(XU_LY_LENH!$C$2:$C$61,INT((ROW()-1)/2)+1),"")="",86400,IFERROR(INDEX(XU_LY_LENH!$B$2:$B$61,INT((ROW()-1)/2)+1),"")),86400))),IF(B109="","",MIN(IF(IFERROR(INDEX(XU_LY_LENH!$C$2:$C$61,INT((ROW()-1)/2)+1),"")="",86400,IFERROR(INDEX(XU_LY_LENH!$B$2:$B$61,INT((ROW()-1)/2)+1),"")),86400)))</x:f>
      </x:c>
      <x:c r="E109" t="str">
        <x:f>IF(MOD(ROW(),2)=1,IF(B109="","",INDEX(XU_LY_LENH!$F$2:$F$61,INT((ROW()-1)/2))),IF(B109="","",INDEX(XU_LY_LENH!$D$2:$D$61,INT((ROW()-1)/2))))</x:f>
      </x:c>
      <x:c r="F109" t="str">
        <x:f>IF(MOD(ROW(),2)=1,IF(B109="","",IF(INDEX(XU_LY_LENH!$G$2:$G$61,INT((ROW()-1)/2))="HOLD",E109,IF(D109&gt;=INDEX(XU_LY_LENH!$I$2:$I$61,INT((ROW()-1)/2)),INDEX(XU_LY_LENH!$D$2:$D$61,INT((ROW()-1)/2)),INDEX(XU_LY_LENH!$F$2:$F$61,INT((ROW()-1)/2))+(INDEX(XU_LY_LENH!$D$2:$D$61,INT((ROW()-1)/2))-INDEX(XU_LY_LENH!$F$2:$F$61,INT((ROW()-1)/2)))*(D109-INDEX(XU_LY_LENH!$B$2:$B$61,INT((ROW()-1)/2)))/MAX(INDEX(XU_LY_LENH!$I$2:$I$61,INT((ROW()-1)/2))-INDEX(XU_LY_LENH!$B$2:$B$61,INT((ROW()-1)/2)),0.000001)))),IF(B109="","",INDEX(XU_LY_LENH!$D$2:$D$61,INT((ROW()-1)/2))))</x:f>
      </x:c>
      <x:c r="G109" t="str">
        <x:f>IF(B109="","",D109-C109)</x:f>
      </x:c>
      <x:c r="H109" t="str">
        <x:f>IF(B109="","",IF(MOD(ROW(),2)=1,"Ramp lệnh "&amp;INT((ROW()-1)/2),"Giữ sau lệnh "&amp;INT((ROW()-1)/2)))</x:f>
      </x:c>
    </x:row>
    <x:row r="110">
      <x:c r="A110" t="n">
        <x:f>ROW()-1</x:f>
        <x:v>109</x:v>
      </x:c>
      <x:c r="B11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0" t="str">
        <x:f>IF(MOD(ROW(),2)=1,IF(B110="","",INDEX(XU_LY_LENH!$B$2:$B$61,INT((ROW()-1)/2))),IF(B110="","",INDEX(XU_LY_LENH!$I$2:$I$61,INT((ROW()-1)/2))))</x:f>
      </x:c>
      <x:c r="D110" t="str">
        <x:f>IF(MOD(ROW(),2)=1,IF(B110="","",IF(INDEX(XU_LY_LENH!$G$2:$G$61,INT((ROW()-1)/2))="HOLD",C110,MIN(INDEX(XU_LY_LENH!$I$2:$I$61,INT((ROW()-1)/2)),IF(IFERROR(INDEX(XU_LY_LENH!$C$2:$C$61,INT((ROW()-1)/2)+1),"")="",86400,IFERROR(INDEX(XU_LY_LENH!$B$2:$B$61,INT((ROW()-1)/2)+1),"")),86400))),IF(B110="","",MIN(IF(IFERROR(INDEX(XU_LY_LENH!$C$2:$C$61,INT((ROW()-1)/2)+1),"")="",86400,IFERROR(INDEX(XU_LY_LENH!$B$2:$B$61,INT((ROW()-1)/2)+1),"")),86400)))</x:f>
      </x:c>
      <x:c r="E110" t="str">
        <x:f>IF(MOD(ROW(),2)=1,IF(B110="","",INDEX(XU_LY_LENH!$F$2:$F$61,INT((ROW()-1)/2))),IF(B110="","",INDEX(XU_LY_LENH!$D$2:$D$61,INT((ROW()-1)/2))))</x:f>
      </x:c>
      <x:c r="F110" t="str">
        <x:f>IF(MOD(ROW(),2)=1,IF(B110="","",IF(INDEX(XU_LY_LENH!$G$2:$G$61,INT((ROW()-1)/2))="HOLD",E110,IF(D110&gt;=INDEX(XU_LY_LENH!$I$2:$I$61,INT((ROW()-1)/2)),INDEX(XU_LY_LENH!$D$2:$D$61,INT((ROW()-1)/2)),INDEX(XU_LY_LENH!$F$2:$F$61,INT((ROW()-1)/2))+(INDEX(XU_LY_LENH!$D$2:$D$61,INT((ROW()-1)/2))-INDEX(XU_LY_LENH!$F$2:$F$61,INT((ROW()-1)/2)))*(D110-INDEX(XU_LY_LENH!$B$2:$B$61,INT((ROW()-1)/2)))/MAX(INDEX(XU_LY_LENH!$I$2:$I$61,INT((ROW()-1)/2))-INDEX(XU_LY_LENH!$B$2:$B$61,INT((ROW()-1)/2)),0.000001)))),IF(B110="","",INDEX(XU_LY_LENH!$D$2:$D$61,INT((ROW()-1)/2))))</x:f>
      </x:c>
      <x:c r="G110" t="str">
        <x:f>IF(B110="","",D110-C110)</x:f>
      </x:c>
      <x:c r="H110" t="str">
        <x:f>IF(B110="","",IF(MOD(ROW(),2)=1,"Ramp lệnh "&amp;INT((ROW()-1)/2),"Giữ sau lệnh "&amp;INT((ROW()-1)/2)))</x:f>
      </x:c>
    </x:row>
    <x:row r="111">
      <x:c r="A111" t="n">
        <x:f>ROW()-1</x:f>
        <x:v>110</x:v>
      </x:c>
      <x:c r="B11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1" t="str">
        <x:f>IF(MOD(ROW(),2)=1,IF(B111="","",INDEX(XU_LY_LENH!$B$2:$B$61,INT((ROW()-1)/2))),IF(B111="","",INDEX(XU_LY_LENH!$I$2:$I$61,INT((ROW()-1)/2))))</x:f>
      </x:c>
      <x:c r="D111" t="str">
        <x:f>IF(MOD(ROW(),2)=1,IF(B111="","",IF(INDEX(XU_LY_LENH!$G$2:$G$61,INT((ROW()-1)/2))="HOLD",C111,MIN(INDEX(XU_LY_LENH!$I$2:$I$61,INT((ROW()-1)/2)),IF(IFERROR(INDEX(XU_LY_LENH!$C$2:$C$61,INT((ROW()-1)/2)+1),"")="",86400,IFERROR(INDEX(XU_LY_LENH!$B$2:$B$61,INT((ROW()-1)/2)+1),"")),86400))),IF(B111="","",MIN(IF(IFERROR(INDEX(XU_LY_LENH!$C$2:$C$61,INT((ROW()-1)/2)+1),"")="",86400,IFERROR(INDEX(XU_LY_LENH!$B$2:$B$61,INT((ROW()-1)/2)+1),"")),86400)))</x:f>
      </x:c>
      <x:c r="E111" t="str">
        <x:f>IF(MOD(ROW(),2)=1,IF(B111="","",INDEX(XU_LY_LENH!$F$2:$F$61,INT((ROW()-1)/2))),IF(B111="","",INDEX(XU_LY_LENH!$D$2:$D$61,INT((ROW()-1)/2))))</x:f>
      </x:c>
      <x:c r="F111" t="str">
        <x:f>IF(MOD(ROW(),2)=1,IF(B111="","",IF(INDEX(XU_LY_LENH!$G$2:$G$61,INT((ROW()-1)/2))="HOLD",E111,IF(D111&gt;=INDEX(XU_LY_LENH!$I$2:$I$61,INT((ROW()-1)/2)),INDEX(XU_LY_LENH!$D$2:$D$61,INT((ROW()-1)/2)),INDEX(XU_LY_LENH!$F$2:$F$61,INT((ROW()-1)/2))+(INDEX(XU_LY_LENH!$D$2:$D$61,INT((ROW()-1)/2))-INDEX(XU_LY_LENH!$F$2:$F$61,INT((ROW()-1)/2)))*(D111-INDEX(XU_LY_LENH!$B$2:$B$61,INT((ROW()-1)/2)))/MAX(INDEX(XU_LY_LENH!$I$2:$I$61,INT((ROW()-1)/2))-INDEX(XU_LY_LENH!$B$2:$B$61,INT((ROW()-1)/2)),0.000001)))),IF(B111="","",INDEX(XU_LY_LENH!$D$2:$D$61,INT((ROW()-1)/2))))</x:f>
      </x:c>
      <x:c r="G111" t="str">
        <x:f>IF(B111="","",D111-C111)</x:f>
      </x:c>
      <x:c r="H111" t="str">
        <x:f>IF(B111="","",IF(MOD(ROW(),2)=1,"Ramp lệnh "&amp;INT((ROW()-1)/2),"Giữ sau lệnh "&amp;INT((ROW()-1)/2)))</x:f>
      </x:c>
    </x:row>
    <x:row r="112">
      <x:c r="A112" t="n">
        <x:f>ROW()-1</x:f>
        <x:v>111</x:v>
      </x:c>
      <x:c r="B11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2" t="str">
        <x:f>IF(MOD(ROW(),2)=1,IF(B112="","",INDEX(XU_LY_LENH!$B$2:$B$61,INT((ROW()-1)/2))),IF(B112="","",INDEX(XU_LY_LENH!$I$2:$I$61,INT((ROW()-1)/2))))</x:f>
      </x:c>
      <x:c r="D112" t="str">
        <x:f>IF(MOD(ROW(),2)=1,IF(B112="","",IF(INDEX(XU_LY_LENH!$G$2:$G$61,INT((ROW()-1)/2))="HOLD",C112,MIN(INDEX(XU_LY_LENH!$I$2:$I$61,INT((ROW()-1)/2)),IF(IFERROR(INDEX(XU_LY_LENH!$C$2:$C$61,INT((ROW()-1)/2)+1),"")="",86400,IFERROR(INDEX(XU_LY_LENH!$B$2:$B$61,INT((ROW()-1)/2)+1),"")),86400))),IF(B112="","",MIN(IF(IFERROR(INDEX(XU_LY_LENH!$C$2:$C$61,INT((ROW()-1)/2)+1),"")="",86400,IFERROR(INDEX(XU_LY_LENH!$B$2:$B$61,INT((ROW()-1)/2)+1),"")),86400)))</x:f>
      </x:c>
      <x:c r="E112" t="str">
        <x:f>IF(MOD(ROW(),2)=1,IF(B112="","",INDEX(XU_LY_LENH!$F$2:$F$61,INT((ROW()-1)/2))),IF(B112="","",INDEX(XU_LY_LENH!$D$2:$D$61,INT((ROW()-1)/2))))</x:f>
      </x:c>
      <x:c r="F112" t="str">
        <x:f>IF(MOD(ROW(),2)=1,IF(B112="","",IF(INDEX(XU_LY_LENH!$G$2:$G$61,INT((ROW()-1)/2))="HOLD",E112,IF(D112&gt;=INDEX(XU_LY_LENH!$I$2:$I$61,INT((ROW()-1)/2)),INDEX(XU_LY_LENH!$D$2:$D$61,INT((ROW()-1)/2)),INDEX(XU_LY_LENH!$F$2:$F$61,INT((ROW()-1)/2))+(INDEX(XU_LY_LENH!$D$2:$D$61,INT((ROW()-1)/2))-INDEX(XU_LY_LENH!$F$2:$F$61,INT((ROW()-1)/2)))*(D112-INDEX(XU_LY_LENH!$B$2:$B$61,INT((ROW()-1)/2)))/MAX(INDEX(XU_LY_LENH!$I$2:$I$61,INT((ROW()-1)/2))-INDEX(XU_LY_LENH!$B$2:$B$61,INT((ROW()-1)/2)),0.000001)))),IF(B112="","",INDEX(XU_LY_LENH!$D$2:$D$61,INT((ROW()-1)/2))))</x:f>
      </x:c>
      <x:c r="G112" t="str">
        <x:f>IF(B112="","",D112-C112)</x:f>
      </x:c>
      <x:c r="H112" t="str">
        <x:f>IF(B112="","",IF(MOD(ROW(),2)=1,"Ramp lệnh "&amp;INT((ROW()-1)/2),"Giữ sau lệnh "&amp;INT((ROW()-1)/2)))</x:f>
      </x:c>
    </x:row>
    <x:row r="113">
      <x:c r="A113" t="n">
        <x:f>ROW()-1</x:f>
        <x:v>112</x:v>
      </x:c>
      <x:c r="B113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3" t="str">
        <x:f>IF(MOD(ROW(),2)=1,IF(B113="","",INDEX(XU_LY_LENH!$B$2:$B$61,INT((ROW()-1)/2))),IF(B113="","",INDEX(XU_LY_LENH!$I$2:$I$61,INT((ROW()-1)/2))))</x:f>
      </x:c>
      <x:c r="D113" t="str">
        <x:f>IF(MOD(ROW(),2)=1,IF(B113="","",IF(INDEX(XU_LY_LENH!$G$2:$G$61,INT((ROW()-1)/2))="HOLD",C113,MIN(INDEX(XU_LY_LENH!$I$2:$I$61,INT((ROW()-1)/2)),IF(IFERROR(INDEX(XU_LY_LENH!$C$2:$C$61,INT((ROW()-1)/2)+1),"")="",86400,IFERROR(INDEX(XU_LY_LENH!$B$2:$B$61,INT((ROW()-1)/2)+1),"")),86400))),IF(B113="","",MIN(IF(IFERROR(INDEX(XU_LY_LENH!$C$2:$C$61,INT((ROW()-1)/2)+1),"")="",86400,IFERROR(INDEX(XU_LY_LENH!$B$2:$B$61,INT((ROW()-1)/2)+1),"")),86400)))</x:f>
      </x:c>
      <x:c r="E113" t="str">
        <x:f>IF(MOD(ROW(),2)=1,IF(B113="","",INDEX(XU_LY_LENH!$F$2:$F$61,INT((ROW()-1)/2))),IF(B113="","",INDEX(XU_LY_LENH!$D$2:$D$61,INT((ROW()-1)/2))))</x:f>
      </x:c>
      <x:c r="F113" t="str">
        <x:f>IF(MOD(ROW(),2)=1,IF(B113="","",IF(INDEX(XU_LY_LENH!$G$2:$G$61,INT((ROW()-1)/2))="HOLD",E113,IF(D113&gt;=INDEX(XU_LY_LENH!$I$2:$I$61,INT((ROW()-1)/2)),INDEX(XU_LY_LENH!$D$2:$D$61,INT((ROW()-1)/2)),INDEX(XU_LY_LENH!$F$2:$F$61,INT((ROW()-1)/2))+(INDEX(XU_LY_LENH!$D$2:$D$61,INT((ROW()-1)/2))-INDEX(XU_LY_LENH!$F$2:$F$61,INT((ROW()-1)/2)))*(D113-INDEX(XU_LY_LENH!$B$2:$B$61,INT((ROW()-1)/2)))/MAX(INDEX(XU_LY_LENH!$I$2:$I$61,INT((ROW()-1)/2))-INDEX(XU_LY_LENH!$B$2:$B$61,INT((ROW()-1)/2)),0.000001)))),IF(B113="","",INDEX(XU_LY_LENH!$D$2:$D$61,INT((ROW()-1)/2))))</x:f>
      </x:c>
      <x:c r="G113" t="str">
        <x:f>IF(B113="","",D113-C113)</x:f>
      </x:c>
      <x:c r="H113" t="str">
        <x:f>IF(B113="","",IF(MOD(ROW(),2)=1,"Ramp lệnh "&amp;INT((ROW()-1)/2),"Giữ sau lệnh "&amp;INT((ROW()-1)/2)))</x:f>
      </x:c>
    </x:row>
    <x:row r="114">
      <x:c r="A114" t="n">
        <x:f>ROW()-1</x:f>
        <x:v>113</x:v>
      </x:c>
      <x:c r="B114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4" t="str">
        <x:f>IF(MOD(ROW(),2)=1,IF(B114="","",INDEX(XU_LY_LENH!$B$2:$B$61,INT((ROW()-1)/2))),IF(B114="","",INDEX(XU_LY_LENH!$I$2:$I$61,INT((ROW()-1)/2))))</x:f>
      </x:c>
      <x:c r="D114" t="str">
        <x:f>IF(MOD(ROW(),2)=1,IF(B114="","",IF(INDEX(XU_LY_LENH!$G$2:$G$61,INT((ROW()-1)/2))="HOLD",C114,MIN(INDEX(XU_LY_LENH!$I$2:$I$61,INT((ROW()-1)/2)),IF(IFERROR(INDEX(XU_LY_LENH!$C$2:$C$61,INT((ROW()-1)/2)+1),"")="",86400,IFERROR(INDEX(XU_LY_LENH!$B$2:$B$61,INT((ROW()-1)/2)+1),"")),86400))),IF(B114="","",MIN(IF(IFERROR(INDEX(XU_LY_LENH!$C$2:$C$61,INT((ROW()-1)/2)+1),"")="",86400,IFERROR(INDEX(XU_LY_LENH!$B$2:$B$61,INT((ROW()-1)/2)+1),"")),86400)))</x:f>
      </x:c>
      <x:c r="E114" t="str">
        <x:f>IF(MOD(ROW(),2)=1,IF(B114="","",INDEX(XU_LY_LENH!$F$2:$F$61,INT((ROW()-1)/2))),IF(B114="","",INDEX(XU_LY_LENH!$D$2:$D$61,INT((ROW()-1)/2))))</x:f>
      </x:c>
      <x:c r="F114" t="str">
        <x:f>IF(MOD(ROW(),2)=1,IF(B114="","",IF(INDEX(XU_LY_LENH!$G$2:$G$61,INT((ROW()-1)/2))="HOLD",E114,IF(D114&gt;=INDEX(XU_LY_LENH!$I$2:$I$61,INT((ROW()-1)/2)),INDEX(XU_LY_LENH!$D$2:$D$61,INT((ROW()-1)/2)),INDEX(XU_LY_LENH!$F$2:$F$61,INT((ROW()-1)/2))+(INDEX(XU_LY_LENH!$D$2:$D$61,INT((ROW()-1)/2))-INDEX(XU_LY_LENH!$F$2:$F$61,INT((ROW()-1)/2)))*(D114-INDEX(XU_LY_LENH!$B$2:$B$61,INT((ROW()-1)/2)))/MAX(INDEX(XU_LY_LENH!$I$2:$I$61,INT((ROW()-1)/2))-INDEX(XU_LY_LENH!$B$2:$B$61,INT((ROW()-1)/2)),0.000001)))),IF(B114="","",INDEX(XU_LY_LENH!$D$2:$D$61,INT((ROW()-1)/2))))</x:f>
      </x:c>
      <x:c r="G114" t="str">
        <x:f>IF(B114="","",D114-C114)</x:f>
      </x:c>
      <x:c r="H114" t="str">
        <x:f>IF(B114="","",IF(MOD(ROW(),2)=1,"Ramp lệnh "&amp;INT((ROW()-1)/2),"Giữ sau lệnh "&amp;INT((ROW()-1)/2)))</x:f>
      </x:c>
    </x:row>
    <x:row r="115">
      <x:c r="A115" t="n">
        <x:f>ROW()-1</x:f>
        <x:v>114</x:v>
      </x:c>
      <x:c r="B115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5" t="str">
        <x:f>IF(MOD(ROW(),2)=1,IF(B115="","",INDEX(XU_LY_LENH!$B$2:$B$61,INT((ROW()-1)/2))),IF(B115="","",INDEX(XU_LY_LENH!$I$2:$I$61,INT((ROW()-1)/2))))</x:f>
      </x:c>
      <x:c r="D115" t="str">
        <x:f>IF(MOD(ROW(),2)=1,IF(B115="","",IF(INDEX(XU_LY_LENH!$G$2:$G$61,INT((ROW()-1)/2))="HOLD",C115,MIN(INDEX(XU_LY_LENH!$I$2:$I$61,INT((ROW()-1)/2)),IF(IFERROR(INDEX(XU_LY_LENH!$C$2:$C$61,INT((ROW()-1)/2)+1),"")="",86400,IFERROR(INDEX(XU_LY_LENH!$B$2:$B$61,INT((ROW()-1)/2)+1),"")),86400))),IF(B115="","",MIN(IF(IFERROR(INDEX(XU_LY_LENH!$C$2:$C$61,INT((ROW()-1)/2)+1),"")="",86400,IFERROR(INDEX(XU_LY_LENH!$B$2:$B$61,INT((ROW()-1)/2)+1),"")),86400)))</x:f>
      </x:c>
      <x:c r="E115" t="str">
        <x:f>IF(MOD(ROW(),2)=1,IF(B115="","",INDEX(XU_LY_LENH!$F$2:$F$61,INT((ROW()-1)/2))),IF(B115="","",INDEX(XU_LY_LENH!$D$2:$D$61,INT((ROW()-1)/2))))</x:f>
      </x:c>
      <x:c r="F115" t="str">
        <x:f>IF(MOD(ROW(),2)=1,IF(B115="","",IF(INDEX(XU_LY_LENH!$G$2:$G$61,INT((ROW()-1)/2))="HOLD",E115,IF(D115&gt;=INDEX(XU_LY_LENH!$I$2:$I$61,INT((ROW()-1)/2)),INDEX(XU_LY_LENH!$D$2:$D$61,INT((ROW()-1)/2)),INDEX(XU_LY_LENH!$F$2:$F$61,INT((ROW()-1)/2))+(INDEX(XU_LY_LENH!$D$2:$D$61,INT((ROW()-1)/2))-INDEX(XU_LY_LENH!$F$2:$F$61,INT((ROW()-1)/2)))*(D115-INDEX(XU_LY_LENH!$B$2:$B$61,INT((ROW()-1)/2)))/MAX(INDEX(XU_LY_LENH!$I$2:$I$61,INT((ROW()-1)/2))-INDEX(XU_LY_LENH!$B$2:$B$61,INT((ROW()-1)/2)),0.000001)))),IF(B115="","",INDEX(XU_LY_LENH!$D$2:$D$61,INT((ROW()-1)/2))))</x:f>
      </x:c>
      <x:c r="G115" t="str">
        <x:f>IF(B115="","",D115-C115)</x:f>
      </x:c>
      <x:c r="H115" t="str">
        <x:f>IF(B115="","",IF(MOD(ROW(),2)=1,"Ramp lệnh "&amp;INT((ROW()-1)/2),"Giữ sau lệnh "&amp;INT((ROW()-1)/2)))</x:f>
      </x:c>
    </x:row>
    <x:row r="116">
      <x:c r="A116" t="n">
        <x:f>ROW()-1</x:f>
        <x:v>115</x:v>
      </x:c>
      <x:c r="B116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6" t="str">
        <x:f>IF(MOD(ROW(),2)=1,IF(B116="","",INDEX(XU_LY_LENH!$B$2:$B$61,INT((ROW()-1)/2))),IF(B116="","",INDEX(XU_LY_LENH!$I$2:$I$61,INT((ROW()-1)/2))))</x:f>
      </x:c>
      <x:c r="D116" t="str">
        <x:f>IF(MOD(ROW(),2)=1,IF(B116="","",IF(INDEX(XU_LY_LENH!$G$2:$G$61,INT((ROW()-1)/2))="HOLD",C116,MIN(INDEX(XU_LY_LENH!$I$2:$I$61,INT((ROW()-1)/2)),IF(IFERROR(INDEX(XU_LY_LENH!$C$2:$C$61,INT((ROW()-1)/2)+1),"")="",86400,IFERROR(INDEX(XU_LY_LENH!$B$2:$B$61,INT((ROW()-1)/2)+1),"")),86400))),IF(B116="","",MIN(IF(IFERROR(INDEX(XU_LY_LENH!$C$2:$C$61,INT((ROW()-1)/2)+1),"")="",86400,IFERROR(INDEX(XU_LY_LENH!$B$2:$B$61,INT((ROW()-1)/2)+1),"")),86400)))</x:f>
      </x:c>
      <x:c r="E116" t="str">
        <x:f>IF(MOD(ROW(),2)=1,IF(B116="","",INDEX(XU_LY_LENH!$F$2:$F$61,INT((ROW()-1)/2))),IF(B116="","",INDEX(XU_LY_LENH!$D$2:$D$61,INT((ROW()-1)/2))))</x:f>
      </x:c>
      <x:c r="F116" t="str">
        <x:f>IF(MOD(ROW(),2)=1,IF(B116="","",IF(INDEX(XU_LY_LENH!$G$2:$G$61,INT((ROW()-1)/2))="HOLD",E116,IF(D116&gt;=INDEX(XU_LY_LENH!$I$2:$I$61,INT((ROW()-1)/2)),INDEX(XU_LY_LENH!$D$2:$D$61,INT((ROW()-1)/2)),INDEX(XU_LY_LENH!$F$2:$F$61,INT((ROW()-1)/2))+(INDEX(XU_LY_LENH!$D$2:$D$61,INT((ROW()-1)/2))-INDEX(XU_LY_LENH!$F$2:$F$61,INT((ROW()-1)/2)))*(D116-INDEX(XU_LY_LENH!$B$2:$B$61,INT((ROW()-1)/2)))/MAX(INDEX(XU_LY_LENH!$I$2:$I$61,INT((ROW()-1)/2))-INDEX(XU_LY_LENH!$B$2:$B$61,INT((ROW()-1)/2)),0.000001)))),IF(B116="","",INDEX(XU_LY_LENH!$D$2:$D$61,INT((ROW()-1)/2))))</x:f>
      </x:c>
      <x:c r="G116" t="str">
        <x:f>IF(B116="","",D116-C116)</x:f>
      </x:c>
      <x:c r="H116" t="str">
        <x:f>IF(B116="","",IF(MOD(ROW(),2)=1,"Ramp lệnh "&amp;INT((ROW()-1)/2),"Giữ sau lệnh "&amp;INT((ROW()-1)/2)))</x:f>
      </x:c>
    </x:row>
    <x:row r="117">
      <x:c r="A117" t="n">
        <x:f>ROW()-1</x:f>
        <x:v>116</x:v>
      </x:c>
      <x:c r="B117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7" t="str">
        <x:f>IF(MOD(ROW(),2)=1,IF(B117="","",INDEX(XU_LY_LENH!$B$2:$B$61,INT((ROW()-1)/2))),IF(B117="","",INDEX(XU_LY_LENH!$I$2:$I$61,INT((ROW()-1)/2))))</x:f>
      </x:c>
      <x:c r="D117" t="str">
        <x:f>IF(MOD(ROW(),2)=1,IF(B117="","",IF(INDEX(XU_LY_LENH!$G$2:$G$61,INT((ROW()-1)/2))="HOLD",C117,MIN(INDEX(XU_LY_LENH!$I$2:$I$61,INT((ROW()-1)/2)),IF(IFERROR(INDEX(XU_LY_LENH!$C$2:$C$61,INT((ROW()-1)/2)+1),"")="",86400,IFERROR(INDEX(XU_LY_LENH!$B$2:$B$61,INT((ROW()-1)/2)+1),"")),86400))),IF(B117="","",MIN(IF(IFERROR(INDEX(XU_LY_LENH!$C$2:$C$61,INT((ROW()-1)/2)+1),"")="",86400,IFERROR(INDEX(XU_LY_LENH!$B$2:$B$61,INT((ROW()-1)/2)+1),"")),86400)))</x:f>
      </x:c>
      <x:c r="E117" t="str">
        <x:f>IF(MOD(ROW(),2)=1,IF(B117="","",INDEX(XU_LY_LENH!$F$2:$F$61,INT((ROW()-1)/2))),IF(B117="","",INDEX(XU_LY_LENH!$D$2:$D$61,INT((ROW()-1)/2))))</x:f>
      </x:c>
      <x:c r="F117" t="str">
        <x:f>IF(MOD(ROW(),2)=1,IF(B117="","",IF(INDEX(XU_LY_LENH!$G$2:$G$61,INT((ROW()-1)/2))="HOLD",E117,IF(D117&gt;=INDEX(XU_LY_LENH!$I$2:$I$61,INT((ROW()-1)/2)),INDEX(XU_LY_LENH!$D$2:$D$61,INT((ROW()-1)/2)),INDEX(XU_LY_LENH!$F$2:$F$61,INT((ROW()-1)/2))+(INDEX(XU_LY_LENH!$D$2:$D$61,INT((ROW()-1)/2))-INDEX(XU_LY_LENH!$F$2:$F$61,INT((ROW()-1)/2)))*(D117-INDEX(XU_LY_LENH!$B$2:$B$61,INT((ROW()-1)/2)))/MAX(INDEX(XU_LY_LENH!$I$2:$I$61,INT((ROW()-1)/2))-INDEX(XU_LY_LENH!$B$2:$B$61,INT((ROW()-1)/2)),0.000001)))),IF(B117="","",INDEX(XU_LY_LENH!$D$2:$D$61,INT((ROW()-1)/2))))</x:f>
      </x:c>
      <x:c r="G117" t="str">
        <x:f>IF(B117="","",D117-C117)</x:f>
      </x:c>
      <x:c r="H117" t="str">
        <x:f>IF(B117="","",IF(MOD(ROW(),2)=1,"Ramp lệnh "&amp;INT((ROW()-1)/2),"Giữ sau lệnh "&amp;INT((ROW()-1)/2)))</x:f>
      </x:c>
    </x:row>
    <x:row r="118">
      <x:c r="A118" t="n">
        <x:f>ROW()-1</x:f>
        <x:v>117</x:v>
      </x:c>
      <x:c r="B118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8" t="str">
        <x:f>IF(MOD(ROW(),2)=1,IF(B118="","",INDEX(XU_LY_LENH!$B$2:$B$61,INT((ROW()-1)/2))),IF(B118="","",INDEX(XU_LY_LENH!$I$2:$I$61,INT((ROW()-1)/2))))</x:f>
      </x:c>
      <x:c r="D118" t="str">
        <x:f>IF(MOD(ROW(),2)=1,IF(B118="","",IF(INDEX(XU_LY_LENH!$G$2:$G$61,INT((ROW()-1)/2))="HOLD",C118,MIN(INDEX(XU_LY_LENH!$I$2:$I$61,INT((ROW()-1)/2)),IF(IFERROR(INDEX(XU_LY_LENH!$C$2:$C$61,INT((ROW()-1)/2)+1),"")="",86400,IFERROR(INDEX(XU_LY_LENH!$B$2:$B$61,INT((ROW()-1)/2)+1),"")),86400))),IF(B118="","",MIN(IF(IFERROR(INDEX(XU_LY_LENH!$C$2:$C$61,INT((ROW()-1)/2)+1),"")="",86400,IFERROR(INDEX(XU_LY_LENH!$B$2:$B$61,INT((ROW()-1)/2)+1),"")),86400)))</x:f>
      </x:c>
      <x:c r="E118" t="str">
        <x:f>IF(MOD(ROW(),2)=1,IF(B118="","",INDEX(XU_LY_LENH!$F$2:$F$61,INT((ROW()-1)/2))),IF(B118="","",INDEX(XU_LY_LENH!$D$2:$D$61,INT((ROW()-1)/2))))</x:f>
      </x:c>
      <x:c r="F118" t="str">
        <x:f>IF(MOD(ROW(),2)=1,IF(B118="","",IF(INDEX(XU_LY_LENH!$G$2:$G$61,INT((ROW()-1)/2))="HOLD",E118,IF(D118&gt;=INDEX(XU_LY_LENH!$I$2:$I$61,INT((ROW()-1)/2)),INDEX(XU_LY_LENH!$D$2:$D$61,INT((ROW()-1)/2)),INDEX(XU_LY_LENH!$F$2:$F$61,INT((ROW()-1)/2))+(INDEX(XU_LY_LENH!$D$2:$D$61,INT((ROW()-1)/2))-INDEX(XU_LY_LENH!$F$2:$F$61,INT((ROW()-1)/2)))*(D118-INDEX(XU_LY_LENH!$B$2:$B$61,INT((ROW()-1)/2)))/MAX(INDEX(XU_LY_LENH!$I$2:$I$61,INT((ROW()-1)/2))-INDEX(XU_LY_LENH!$B$2:$B$61,INT((ROW()-1)/2)),0.000001)))),IF(B118="","",INDEX(XU_LY_LENH!$D$2:$D$61,INT((ROW()-1)/2))))</x:f>
      </x:c>
      <x:c r="G118" t="str">
        <x:f>IF(B118="","",D118-C118)</x:f>
      </x:c>
      <x:c r="H118" t="str">
        <x:f>IF(B118="","",IF(MOD(ROW(),2)=1,"Ramp lệnh "&amp;INT((ROW()-1)/2),"Giữ sau lệnh "&amp;INT((ROW()-1)/2)))</x:f>
      </x:c>
    </x:row>
    <x:row r="119">
      <x:c r="A119" t="n">
        <x:f>ROW()-1</x:f>
        <x:v>118</x:v>
      </x:c>
      <x:c r="B119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19" t="str">
        <x:f>IF(MOD(ROW(),2)=1,IF(B119="","",INDEX(XU_LY_LENH!$B$2:$B$61,INT((ROW()-1)/2))),IF(B119="","",INDEX(XU_LY_LENH!$I$2:$I$61,INT((ROW()-1)/2))))</x:f>
      </x:c>
      <x:c r="D119" t="str">
        <x:f>IF(MOD(ROW(),2)=1,IF(B119="","",IF(INDEX(XU_LY_LENH!$G$2:$G$61,INT((ROW()-1)/2))="HOLD",C119,MIN(INDEX(XU_LY_LENH!$I$2:$I$61,INT((ROW()-1)/2)),IF(IFERROR(INDEX(XU_LY_LENH!$C$2:$C$61,INT((ROW()-1)/2)+1),"")="",86400,IFERROR(INDEX(XU_LY_LENH!$B$2:$B$61,INT((ROW()-1)/2)+1),"")),86400))),IF(B119="","",MIN(IF(IFERROR(INDEX(XU_LY_LENH!$C$2:$C$61,INT((ROW()-1)/2)+1),"")="",86400,IFERROR(INDEX(XU_LY_LENH!$B$2:$B$61,INT((ROW()-1)/2)+1),"")),86400)))</x:f>
      </x:c>
      <x:c r="E119" t="str">
        <x:f>IF(MOD(ROW(),2)=1,IF(B119="","",INDEX(XU_LY_LENH!$F$2:$F$61,INT((ROW()-1)/2))),IF(B119="","",INDEX(XU_LY_LENH!$D$2:$D$61,INT((ROW()-1)/2))))</x:f>
      </x:c>
      <x:c r="F119" t="str">
        <x:f>IF(MOD(ROW(),2)=1,IF(B119="","",IF(INDEX(XU_LY_LENH!$G$2:$G$61,INT((ROW()-1)/2))="HOLD",E119,IF(D119&gt;=INDEX(XU_LY_LENH!$I$2:$I$61,INT((ROW()-1)/2)),INDEX(XU_LY_LENH!$D$2:$D$61,INT((ROW()-1)/2)),INDEX(XU_LY_LENH!$F$2:$F$61,INT((ROW()-1)/2))+(INDEX(XU_LY_LENH!$D$2:$D$61,INT((ROW()-1)/2))-INDEX(XU_LY_LENH!$F$2:$F$61,INT((ROW()-1)/2)))*(D119-INDEX(XU_LY_LENH!$B$2:$B$61,INT((ROW()-1)/2)))/MAX(INDEX(XU_LY_LENH!$I$2:$I$61,INT((ROW()-1)/2))-INDEX(XU_LY_LENH!$B$2:$B$61,INT((ROW()-1)/2)),0.000001)))),IF(B119="","",INDEX(XU_LY_LENH!$D$2:$D$61,INT((ROW()-1)/2))))</x:f>
      </x:c>
      <x:c r="G119" t="str">
        <x:f>IF(B119="","",D119-C119)</x:f>
      </x:c>
      <x:c r="H119" t="str">
        <x:f>IF(B119="","",IF(MOD(ROW(),2)=1,"Ramp lệnh "&amp;INT((ROW()-1)/2),"Giữ sau lệnh "&amp;INT((ROW()-1)/2)))</x:f>
      </x:c>
    </x:row>
    <x:row r="120">
      <x:c r="A120" t="n">
        <x:f>ROW()-1</x:f>
        <x:v>119</x:v>
      </x:c>
      <x:c r="B120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20" t="str">
        <x:f>IF(MOD(ROW(),2)=1,IF(B120="","",INDEX(XU_LY_LENH!$B$2:$B$61,INT((ROW()-1)/2))),IF(B120="","",INDEX(XU_LY_LENH!$I$2:$I$61,INT((ROW()-1)/2))))</x:f>
      </x:c>
      <x:c r="D120" t="str">
        <x:f>IF(MOD(ROW(),2)=1,IF(B120="","",IF(INDEX(XU_LY_LENH!$G$2:$G$61,INT((ROW()-1)/2))="HOLD",C120,MIN(INDEX(XU_LY_LENH!$I$2:$I$61,INT((ROW()-1)/2)),IF(IFERROR(INDEX(XU_LY_LENH!$C$2:$C$61,INT((ROW()-1)/2)+1),"")="",86400,IFERROR(INDEX(XU_LY_LENH!$B$2:$B$61,INT((ROW()-1)/2)+1),"")),86400))),IF(B120="","",MIN(IF(IFERROR(INDEX(XU_LY_LENH!$C$2:$C$61,INT((ROW()-1)/2)+1),"")="",86400,IFERROR(INDEX(XU_LY_LENH!$B$2:$B$61,INT((ROW()-1)/2)+1),"")),86400)))</x:f>
      </x:c>
      <x:c r="E120" t="str">
        <x:f>IF(MOD(ROW(),2)=1,IF(B120="","",INDEX(XU_LY_LENH!$F$2:$F$61,INT((ROW()-1)/2))),IF(B120="","",INDEX(XU_LY_LENH!$D$2:$D$61,INT((ROW()-1)/2))))</x:f>
      </x:c>
      <x:c r="F120" t="str">
        <x:f>IF(MOD(ROW(),2)=1,IF(B120="","",IF(INDEX(XU_LY_LENH!$G$2:$G$61,INT((ROW()-1)/2))="HOLD",E120,IF(D120&gt;=INDEX(XU_LY_LENH!$I$2:$I$61,INT((ROW()-1)/2)),INDEX(XU_LY_LENH!$D$2:$D$61,INT((ROW()-1)/2)),INDEX(XU_LY_LENH!$F$2:$F$61,INT((ROW()-1)/2))+(INDEX(XU_LY_LENH!$D$2:$D$61,INT((ROW()-1)/2))-INDEX(XU_LY_LENH!$F$2:$F$61,INT((ROW()-1)/2)))*(D120-INDEX(XU_LY_LENH!$B$2:$B$61,INT((ROW()-1)/2)))/MAX(INDEX(XU_LY_LENH!$I$2:$I$61,INT((ROW()-1)/2))-INDEX(XU_LY_LENH!$B$2:$B$61,INT((ROW()-1)/2)),0.000001)))),IF(B120="","",INDEX(XU_LY_LENH!$D$2:$D$61,INT((ROW()-1)/2))))</x:f>
      </x:c>
      <x:c r="G120" t="str">
        <x:f>IF(B120="","",D120-C120)</x:f>
      </x:c>
      <x:c r="H120" t="str">
        <x:f>IF(B120="","",IF(MOD(ROW(),2)=1,"Ramp lệnh "&amp;INT((ROW()-1)/2),"Giữ sau lệnh "&amp;INT((ROW()-1)/2)))</x:f>
      </x:c>
    </x:row>
    <x:row r="121">
      <x:c r="A121" t="n">
        <x:f>ROW()-1</x:f>
        <x:v>120</x:v>
      </x:c>
      <x:c r="B121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21" t="str">
        <x:f>IF(MOD(ROW(),2)=1,IF(B121="","",INDEX(XU_LY_LENH!$B$2:$B$61,INT((ROW()-1)/2))),IF(B121="","",INDEX(XU_LY_LENH!$I$2:$I$61,INT((ROW()-1)/2))))</x:f>
      </x:c>
      <x:c r="D121" t="str">
        <x:f>IF(MOD(ROW(),2)=1,IF(B121="","",IF(INDEX(XU_LY_LENH!$G$2:$G$61,INT((ROW()-1)/2))="HOLD",C121,MIN(INDEX(XU_LY_LENH!$I$2:$I$61,INT((ROW()-1)/2)),IF(IFERROR(INDEX(XU_LY_LENH!$C$2:$C$61,INT((ROW()-1)/2)+1),"")="",86400,IFERROR(INDEX(XU_LY_LENH!$B$2:$B$61,INT((ROW()-1)/2)+1),"")),86400))),IF(B121="","",MIN(IF(IFERROR(INDEX(XU_LY_LENH!$C$2:$C$61,INT((ROW()-1)/2)+1),"")="",86400,IFERROR(INDEX(XU_LY_LENH!$B$2:$B$61,INT((ROW()-1)/2)+1),"")),86400)))</x:f>
      </x:c>
      <x:c r="E121" t="str">
        <x:f>IF(MOD(ROW(),2)=1,IF(B121="","",INDEX(XU_LY_LENH!$F$2:$F$61,INT((ROW()-1)/2))),IF(B121="","",INDEX(XU_LY_LENH!$D$2:$D$61,INT((ROW()-1)/2))))</x:f>
      </x:c>
      <x:c r="F121" t="str">
        <x:f>IF(MOD(ROW(),2)=1,IF(B121="","",IF(INDEX(XU_LY_LENH!$G$2:$G$61,INT((ROW()-1)/2))="HOLD",E121,IF(D121&gt;=INDEX(XU_LY_LENH!$I$2:$I$61,INT((ROW()-1)/2)),INDEX(XU_LY_LENH!$D$2:$D$61,INT((ROW()-1)/2)),INDEX(XU_LY_LENH!$F$2:$F$61,INT((ROW()-1)/2))+(INDEX(XU_LY_LENH!$D$2:$D$61,INT((ROW()-1)/2))-INDEX(XU_LY_LENH!$F$2:$F$61,INT((ROW()-1)/2)))*(D121-INDEX(XU_LY_LENH!$B$2:$B$61,INT((ROW()-1)/2)))/MAX(INDEX(XU_LY_LENH!$I$2:$I$61,INT((ROW()-1)/2))-INDEX(XU_LY_LENH!$B$2:$B$61,INT((ROW()-1)/2)),0.000001)))),IF(B121="","",INDEX(XU_LY_LENH!$D$2:$D$61,INT((ROW()-1)/2))))</x:f>
      </x:c>
      <x:c r="G121" t="str">
        <x:f>IF(B121="","",D121-C121)</x:f>
      </x:c>
      <x:c r="H121" t="str">
        <x:f>IF(B121="","",IF(MOD(ROW(),2)=1,"Ramp lệnh "&amp;INT((ROW()-1)/2),"Giữ sau lệnh "&amp;INT((ROW()-1)/2)))</x:f>
      </x:c>
    </x:row>
    <x:row r="122">
      <x:c r="A122" t="n">
        <x:f>ROW()-1</x:f>
        <x:v>121</x:v>
      </x:c>
      <x:c r="B122" t="str">
        <x:f>IF(MOD(ROW(),2)=1,IF(INDEX(XU_LY_LENH!$C$2:$C$61,INT((ROW()-1)/2))="","",INDEX(XU_LY_LENH!$G$2:$G$61,INT((ROW()-1)/2))),IF(INDEX(XU_LY_LENH!$C$2:$C$61,INT((ROW()-1)/2))="","",IF(AND(INDEX(XU_LY_LENH!$I$2:$I$61,INT((ROW()-1)/2))&lt;IF(IFERROR(INDEX(XU_LY_LENH!$C$2:$C$61,INT((ROW()-1)/2)+1),"")="",86400,IFERROR(INDEX(XU_LY_LENH!$B$2:$B$61,INT((ROW()-1)/2)+1),"")),INDEX(XU_LY_LENH!$I$2:$I$61,INT((ROW()-1)/2))&lt;86400),"HOLD","")))</x:f>
      </x:c>
      <x:c r="C122" t="str">
        <x:f>IF(MOD(ROW(),2)=1,IF(B122="","",INDEX(XU_LY_LENH!$B$2:$B$61,INT((ROW()-1)/2))),IF(B122="","",INDEX(XU_LY_LENH!$I$2:$I$61,INT((ROW()-1)/2))))</x:f>
      </x:c>
      <x:c r="D122" t="str">
        <x:f>IF(MOD(ROW(),2)=1,IF(B122="","",IF(INDEX(XU_LY_LENH!$G$2:$G$61,INT((ROW()-1)/2))="HOLD",C122,MIN(INDEX(XU_LY_LENH!$I$2:$I$61,INT((ROW()-1)/2)),IF(IFERROR(INDEX(XU_LY_LENH!$C$2:$C$61,INT((ROW()-1)/2)+1),"")="",86400,IFERROR(INDEX(XU_LY_LENH!$B$2:$B$61,INT((ROW()-1)/2)+1),"")),86400))),IF(B122="","",MIN(IF(IFERROR(INDEX(XU_LY_LENH!$C$2:$C$61,INT((ROW()-1)/2)+1),"")="",86400,IFERROR(INDEX(XU_LY_LENH!$B$2:$B$61,INT((ROW()-1)/2)+1),"")),86400)))</x:f>
      </x:c>
      <x:c r="E122" t="str">
        <x:f>IF(MOD(ROW(),2)=1,IF(B122="","",INDEX(XU_LY_LENH!$F$2:$F$61,INT((ROW()-1)/2))),IF(B122="","",INDEX(XU_LY_LENH!$D$2:$D$61,INT((ROW()-1)/2))))</x:f>
      </x:c>
      <x:c r="F122" t="str">
        <x:f>IF(MOD(ROW(),2)=1,IF(B122="","",IF(INDEX(XU_LY_LENH!$G$2:$G$61,INT((ROW()-1)/2))="HOLD",E122,IF(D122&gt;=INDEX(XU_LY_LENH!$I$2:$I$61,INT((ROW()-1)/2)),INDEX(XU_LY_LENH!$D$2:$D$61,INT((ROW()-1)/2)),INDEX(XU_LY_LENH!$F$2:$F$61,INT((ROW()-1)/2))+(INDEX(XU_LY_LENH!$D$2:$D$61,INT((ROW()-1)/2))-INDEX(XU_LY_LENH!$F$2:$F$61,INT((ROW()-1)/2)))*(D122-INDEX(XU_LY_LENH!$B$2:$B$61,INT((ROW()-1)/2)))/MAX(INDEX(XU_LY_LENH!$I$2:$I$61,INT((ROW()-1)/2))-INDEX(XU_LY_LENH!$B$2:$B$61,INT((ROW()-1)/2)),0.000001)))),IF(B122="","",INDEX(XU_LY_LENH!$D$2:$D$61,INT((ROW()-1)/2))))</x:f>
      </x:c>
      <x:c r="G122" t="str">
        <x:f>IF(B122="","",D122-C122)</x:f>
      </x:c>
      <x:c r="H122" t="str">
        <x:f>IF(B122="","",IF(MOD(ROW(),2)=1,"Ramp lệnh "&amp;INT((ROW()-1)/2),"Giữ sau lệnh "&amp;INT((ROW()-1)/2)))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</x:cols>
  <x:sheetData>
    <x:row r="1">
      <x:c r="A1" s="18" t="str">
        <x:v>Chu kỳ</x:v>
      </x:c>
      <x:c r="B1" s="129" t="str">
        <x:v>Bắt đầu giây</x:v>
      </x:c>
      <x:c r="C1" s="19" t="str">
        <x:v>Kết thúc giây</x:v>
      </x:c>
      <x:c r="D1" s="199" t="str">
        <x:v>Đoạn 1</x:v>
      </x:c>
      <x:c r="E1" s="199" t="str">
        <x:v>Đoạn 2</x:v>
      </x:c>
      <x:c r="F1" s="199" t="str">
        <x:v>Đoạn 3</x:v>
      </x:c>
      <x:c r="G1" s="199" t="str">
        <x:v>Đoạn 4</x:v>
      </x:c>
      <x:c r="H1" s="199" t="str">
        <x:v>Đoạn 5</x:v>
      </x:c>
      <x:c r="I1" s="199" t="str">
        <x:v>Đoạn 6</x:v>
      </x:c>
      <x:c r="J1" s="199" t="str">
        <x:v>Đoạn 7</x:v>
      </x:c>
      <x:c r="K1" s="199" t="str">
        <x:v>Đoạn 8</x:v>
      </x:c>
      <x:c r="L1" s="199" t="str">
        <x:v>Đoạn 9</x:v>
      </x:c>
      <x:c r="M1" s="199" t="str">
        <x:v>Đoạn 10</x:v>
      </x:c>
      <x:c r="N1" s="199" t="str">
        <x:v>Đoạn 11</x:v>
      </x:c>
      <x:c r="O1" s="199" t="str">
        <x:v>Đoạn 12</x:v>
      </x:c>
      <x:c r="P1" s="199" t="str">
        <x:v>Đoạn 13</x:v>
      </x:c>
      <x:c r="Q1" s="199" t="str">
        <x:v>Đoạn 14</x:v>
      </x:c>
      <x:c r="R1" s="199" t="str">
        <x:v>Đoạn 15</x:v>
      </x:c>
      <x:c r="S1" s="199" t="str">
        <x:v>Đoạn 16</x:v>
      </x:c>
      <x:c r="T1" s="199" t="str">
        <x:v>Đoạn 17</x:v>
      </x:c>
      <x:c r="U1" s="199" t="str">
        <x:v>Đoạn 18</x:v>
      </x:c>
      <x:c r="V1" s="199" t="str">
        <x:v>Đoạn 19</x:v>
      </x:c>
      <x:c r="W1" s="199" t="str">
        <x:v>Đoạn 20</x:v>
      </x:c>
      <x:c r="X1" s="199" t="str">
        <x:v>Đoạn 21</x:v>
      </x:c>
      <x:c r="Y1" s="199" t="str">
        <x:v>Đoạn 22</x:v>
      </x:c>
      <x:c r="Z1" s="199" t="str">
        <x:v>Đoạn 23</x:v>
      </x:c>
      <x:c r="AA1" s="199" t="str">
        <x:v>Đoạn 24</x:v>
      </x:c>
      <x:c r="AB1" s="199" t="str">
        <x:v>Đoạn 25</x:v>
      </x:c>
      <x:c r="AC1" s="199" t="str">
        <x:v>Đoạn 26</x:v>
      </x:c>
      <x:c r="AD1" s="199" t="str">
        <x:v>Đoạn 27</x:v>
      </x:c>
      <x:c r="AE1" s="199" t="str">
        <x:v>Đoạn 28</x:v>
      </x:c>
      <x:c r="AF1" s="199" t="str">
        <x:v>Đoạn 29</x:v>
      </x:c>
      <x:c r="AG1" s="199" t="str">
        <x:v>Đoạn 30</x:v>
      </x:c>
      <x:c r="AH1" s="199" t="str">
        <x:v>Đoạn 31</x:v>
      </x:c>
      <x:c r="AI1" s="199" t="str">
        <x:v>Đoạn 32</x:v>
      </x:c>
      <x:c r="AJ1" s="199" t="str">
        <x:v>Đoạn 33</x:v>
      </x:c>
      <x:c r="AK1" s="199" t="str">
        <x:v>Đoạn 34</x:v>
      </x:c>
      <x:c r="AL1" s="199" t="str">
        <x:v>Đoạn 35</x:v>
      </x:c>
      <x:c r="AM1" s="199" t="str">
        <x:v>Đoạn 36</x:v>
      </x:c>
      <x:c r="AN1" s="199" t="str">
        <x:v>Đoạn 37</x:v>
      </x:c>
      <x:c r="AO1" s="199" t="str">
        <x:v>Đoạn 38</x:v>
      </x:c>
      <x:c r="AP1" s="199" t="str">
        <x:v>Đoạn 39</x:v>
      </x:c>
      <x:c r="AQ1" s="199" t="str">
        <x:v>Đoạn 40</x:v>
      </x:c>
      <x:c r="AR1" s="199" t="str">
        <x:v>Đoạn 41</x:v>
      </x:c>
      <x:c r="AS1" s="199" t="str">
        <x:v>Đoạn 42</x:v>
      </x:c>
      <x:c r="AT1" s="199" t="str">
        <x:v>Đoạn 43</x:v>
      </x:c>
      <x:c r="AU1" s="199" t="str">
        <x:v>Đoạn 44</x:v>
      </x:c>
      <x:c r="AV1" s="199" t="str">
        <x:v>Đoạn 45</x:v>
      </x:c>
      <x:c r="AW1" s="199" t="str">
        <x:v>Đoạn 46</x:v>
      </x:c>
      <x:c r="AX1" s="199" t="str">
        <x:v>Đoạn 47</x:v>
      </x:c>
      <x:c r="AY1" s="199" t="str">
        <x:v>Đoạn 48</x:v>
      </x:c>
      <x:c r="AZ1" s="199" t="str">
        <x:v>Đoạn 49</x:v>
      </x:c>
      <x:c r="BA1" s="199" t="str">
        <x:v>Đoạn 50</x:v>
      </x:c>
      <x:c r="BB1" s="199" t="str">
        <x:v>Đoạn 51</x:v>
      </x:c>
      <x:c r="BC1" s="199" t="str">
        <x:v>Đoạn 52</x:v>
      </x:c>
      <x:c r="BD1" s="199" t="str">
        <x:v>Đoạn 53</x:v>
      </x:c>
      <x:c r="BE1" s="199" t="str">
        <x:v>Đoạn 54</x:v>
      </x:c>
      <x:c r="BF1" s="199" t="str">
        <x:v>Đoạn 55</x:v>
      </x:c>
      <x:c r="BG1" s="199" t="str">
        <x:v>Đoạn 56</x:v>
      </x:c>
      <x:c r="BH1" s="199" t="str">
        <x:v>Đoạn 57</x:v>
      </x:c>
      <x:c r="BI1" s="199" t="str">
        <x:v>Đoạn 58</x:v>
      </x:c>
      <x:c r="BJ1" s="199" t="str">
        <x:v>Đoạn 59</x:v>
      </x:c>
      <x:c r="BK1" s="199" t="str">
        <x:v>Đoạn 60</x:v>
      </x:c>
      <x:c r="BL1" s="199" t="str">
        <x:v>Đoạn 61</x:v>
      </x:c>
      <x:c r="BM1" s="18" t="str">
        <x:v>Đoạn 62</x:v>
      </x:c>
      <x:c r="BN1" s="19" t="str">
        <x:v>Đoạn 63</x:v>
      </x:c>
      <x:c r="BO1" t="str">
        <x:v>Đoạn 64</x:v>
      </x:c>
      <x:c r="BP1" t="str">
        <x:v>Đoạn 65</x:v>
      </x:c>
      <x:c r="BQ1" t="str">
        <x:v>Đoạn 66</x:v>
      </x:c>
      <x:c r="BR1" t="str">
        <x:v>Đoạn 67</x:v>
      </x:c>
      <x:c r="BS1" t="str">
        <x:v>Đoạn 68</x:v>
      </x:c>
      <x:c r="BT1" t="str">
        <x:v>Đoạn 69</x:v>
      </x:c>
      <x:c r="BU1" t="str">
        <x:v>Đoạn 70</x:v>
      </x:c>
      <x:c r="BV1" t="str">
        <x:v>Đoạn 71</x:v>
      </x:c>
      <x:c r="BW1" t="str">
        <x:v>Đoạn 72</x:v>
      </x:c>
      <x:c r="BX1" t="str">
        <x:v>Đoạn 73</x:v>
      </x:c>
      <x:c r="BY1" t="str">
        <x:v>Đoạn 74</x:v>
      </x:c>
      <x:c r="BZ1" t="str">
        <x:v>Đoạn 75</x:v>
      </x:c>
      <x:c r="CA1" t="str">
        <x:v>Đoạn 76</x:v>
      </x:c>
      <x:c r="CB1" t="str">
        <x:v>Đoạn 77</x:v>
      </x:c>
      <x:c r="CC1" t="str">
        <x:v>Đoạn 78</x:v>
      </x:c>
      <x:c r="CD1" t="str">
        <x:v>Đoạn 79</x:v>
      </x:c>
      <x:c r="CE1" t="str">
        <x:v>Đoạn 80</x:v>
      </x:c>
      <x:c r="CF1" t="str">
        <x:v>Đoạn 81</x:v>
      </x:c>
      <x:c r="CG1" t="str">
        <x:v>Đoạn 82</x:v>
      </x:c>
      <x:c r="CH1" t="str">
        <x:v>Đoạn 83</x:v>
      </x:c>
      <x:c r="CI1" t="str">
        <x:v>Đoạn 84</x:v>
      </x:c>
      <x:c r="CJ1" t="str">
        <x:v>Đoạn 85</x:v>
      </x:c>
      <x:c r="CK1" t="str">
        <x:v>Đoạn 86</x:v>
      </x:c>
      <x:c r="CL1" t="str">
        <x:v>Đoạn 87</x:v>
      </x:c>
      <x:c r="CM1" t="str">
        <x:v>Đoạn 88</x:v>
      </x:c>
      <x:c r="CN1" t="str">
        <x:v>Đoạn 89</x:v>
      </x:c>
      <x:c r="CO1" t="str">
        <x:v>Đoạn 90</x:v>
      </x:c>
      <x:c r="CP1" t="str">
        <x:v>Đoạn 91</x:v>
      </x:c>
      <x:c r="CQ1" t="str">
        <x:v>Đoạn 92</x:v>
      </x:c>
      <x:c r="CR1" t="str">
        <x:v>Đoạn 93</x:v>
      </x:c>
      <x:c r="CS1" t="str">
        <x:v>Đoạn 94</x:v>
      </x:c>
      <x:c r="CT1" t="str">
        <x:v>Đoạn 95</x:v>
      </x:c>
      <x:c r="CU1" t="str">
        <x:v>Đoạn 96</x:v>
      </x:c>
      <x:c r="CV1" t="str">
        <x:v>Đoạn 97</x:v>
      </x:c>
      <x:c r="CW1" t="str">
        <x:v>Đoạn 98</x:v>
      </x:c>
      <x:c r="CX1" t="str">
        <x:v>Đoạn 99</x:v>
      </x:c>
      <x:c r="CY1" t="str">
        <x:v>Đoạn 100</x:v>
      </x:c>
      <x:c r="CZ1" t="str">
        <x:v>Đoạn 101</x:v>
      </x:c>
      <x:c r="DA1" t="str">
        <x:v>Đoạn 102</x:v>
      </x:c>
      <x:c r="DB1" t="str">
        <x:v>Đoạn 103</x:v>
      </x:c>
      <x:c r="DC1" t="str">
        <x:v>Đoạn 104</x:v>
      </x:c>
      <x:c r="DD1" t="str">
        <x:v>Đoạn 105</x:v>
      </x:c>
      <x:c r="DE1" t="str">
        <x:v>Đoạn 106</x:v>
      </x:c>
      <x:c r="DF1" t="str">
        <x:v>Đoạn 107</x:v>
      </x:c>
      <x:c r="DG1" t="str">
        <x:v>Đoạn 108</x:v>
      </x:c>
      <x:c r="DH1" t="str">
        <x:v>Đoạn 109</x:v>
      </x:c>
      <x:c r="DI1" t="str">
        <x:v>Đoạn 110</x:v>
      </x:c>
      <x:c r="DJ1" t="str">
        <x:v>Đoạn 111</x:v>
      </x:c>
      <x:c r="DK1" t="str">
        <x:v>Đoạn 112</x:v>
      </x:c>
      <x:c r="DL1" t="str">
        <x:v>Đoạn 113</x:v>
      </x:c>
      <x:c r="DM1" t="str">
        <x:v>Đoạn 114</x:v>
      </x:c>
      <x:c r="DN1" t="str">
        <x:v>Đoạn 115</x:v>
      </x:c>
      <x:c r="DO1" t="str">
        <x:v>Đoạn 116</x:v>
      </x:c>
      <x:c r="DP1" t="str">
        <x:v>Đoạn 117</x:v>
      </x:c>
      <x:c r="DQ1" t="str">
        <x:v>Đoạn 118</x:v>
      </x:c>
      <x:c r="DR1" t="str">
        <x:v>Đoạn 119</x:v>
      </x:c>
      <x:c r="DS1" t="str">
        <x:v>Đoạn 120</x:v>
      </x:c>
      <x:c r="DT1" t="str">
        <x:v>Đoạn 121</x:v>
      </x:c>
      <x:c r="DU1" t="str">
        <x:v>Tổng MW.s</x:v>
      </x:c>
      <x:c r="DV1" t="str">
        <x:v>Qdd MW</x:v>
      </x:c>
    </x:row>
    <x:row r="2">
      <x:c r="A2" s="36" t="n">
        <x:v>1</x:v>
      </x:c>
      <x:c r="B2" s="140" t="n">
        <x:v>0</x:v>
      </x:c>
      <x:c r="C2" s="140" t="n">
        <x:v>1800</x:v>
      </x:c>
      <x:c r="D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E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F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G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H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I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J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K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L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M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N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O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P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Q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R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S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T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U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V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W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X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Y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Z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A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B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C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D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E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F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G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H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I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J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K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L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M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N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O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P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Q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R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S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T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U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V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W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X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Y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AZ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A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B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C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D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E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F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G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H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I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J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K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L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M2" s="190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N2" s="204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O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P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Q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R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S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T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U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V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W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X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Y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BZ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A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B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C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D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E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F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G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H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I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J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K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L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M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N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O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P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Q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R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S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T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U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V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W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X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Y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CZ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A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B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C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D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E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F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G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H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I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J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K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L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M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N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O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P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Q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R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S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T2" t="n">
        <x:f>IF(OR(INDEX(DOAN_CONG_SUAT!$B$2:$B$122,COLUMN()-3)="",INDEX(DOAN_CONG_SUAT!$D$2:$D$122,COLUMN()-3)&lt;=$B2,INDEX(DOAN_CONG_SUAT!$C$2:$C$122,COLUMN()-3)&gt;=$C2,INDEX(DOAN_CONG_SUAT!$D$2:$D$122,COLUMN()-3)=INDEX(DOAN_CONG_SUAT!$C$2:$C$122,COLUMN()-3)),0,((INDEX(DOAN_CONG_SUAT!$E$2:$E$122,COLUMN()-3)+(INDEX(DOAN_CONG_SUAT!$F$2:$F$122,COLUMN()-3)-INDEX(DOAN_CONG_SUAT!$E$2:$E$122,COLUMN()-3))*(MAX($B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,INDEX(DOAN_CONG_SUAT!$D$2:$D$122,COLUMN()-3))-INDEX(DOAN_CONG_SUAT!$C$2:$C$122,COLUMN()-3))/(INDEX(DOAN_CONG_SUAT!$D$2:$D$122,COLUMN()-3)-INDEX(DOAN_CONG_SUAT!$C$2:$C$122,COLUMN()-3))))/2*(MIN($C2,INDEX(DOAN_CONG_SUAT!$D$2:$D$122,COLUMN()-3))-MAX($B2,INDEX(DOAN_CONG_SUAT!$C$2:$C$122,COLUMN()-3))))</x:f>
        <x:v>0</x:v>
      </x:c>
      <x:c r="DU2" t="n">
        <x:f>SUM(D2:DT2)</x:f>
        <x:v>0</x:v>
      </x:c>
      <x:c r="DV2" t="n">
        <x:f>DU2/1800</x:f>
        <x:v>0</x:v>
      </x:c>
    </x:row>
    <x:row r="3">
      <x:c r="A3" s="38" t="n">
        <x:v>2</x:v>
      </x:c>
      <x:c r="B3" s="142" t="n">
        <x:v>1800</x:v>
      </x:c>
      <x:c r="C3" s="142" t="n">
        <x:v>3600</x:v>
      </x:c>
      <x:c r="D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E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F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G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H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I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J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K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L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M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N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O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P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Q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R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S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T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U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V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W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X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Y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Z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A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B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C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D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E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F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G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H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I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J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K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L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M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N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O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P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Q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R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S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T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U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V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W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X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Y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AZ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A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B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C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D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E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F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G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H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I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J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K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L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M3" s="191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N3" s="205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O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P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Q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R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S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T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U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V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W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X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Y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BZ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A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B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C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D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E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F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G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H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I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J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K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L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M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N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O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P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Q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R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S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T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U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V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W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X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Y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CZ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A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B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C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D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E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F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G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H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I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J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K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L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M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N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O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P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Q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R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S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T3" t="n">
        <x:f>IF(OR(INDEX(DOAN_CONG_SUAT!$B$2:$B$122,COLUMN()-3)="",INDEX(DOAN_CONG_SUAT!$D$2:$D$122,COLUMN()-3)&lt;=$B3,INDEX(DOAN_CONG_SUAT!$C$2:$C$122,COLUMN()-3)&gt;=$C3,INDEX(DOAN_CONG_SUAT!$D$2:$D$122,COLUMN()-3)=INDEX(DOAN_CONG_SUAT!$C$2:$C$122,COLUMN()-3)),0,((INDEX(DOAN_CONG_SUAT!$E$2:$E$122,COLUMN()-3)+(INDEX(DOAN_CONG_SUAT!$F$2:$F$122,COLUMN()-3)-INDEX(DOAN_CONG_SUAT!$E$2:$E$122,COLUMN()-3))*(MAX($B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,INDEX(DOAN_CONG_SUAT!$D$2:$D$122,COLUMN()-3))-INDEX(DOAN_CONG_SUAT!$C$2:$C$122,COLUMN()-3))/(INDEX(DOAN_CONG_SUAT!$D$2:$D$122,COLUMN()-3)-INDEX(DOAN_CONG_SUAT!$C$2:$C$122,COLUMN()-3))))/2*(MIN($C3,INDEX(DOAN_CONG_SUAT!$D$2:$D$122,COLUMN()-3))-MAX($B3,INDEX(DOAN_CONG_SUAT!$C$2:$C$122,COLUMN()-3))))</x:f>
        <x:v>0</x:v>
      </x:c>
      <x:c r="DU3" t="n">
        <x:f>SUM(D3:DT3)</x:f>
        <x:v>0</x:v>
      </x:c>
      <x:c r="DV3" t="n">
        <x:f>DU3/1800</x:f>
        <x:v>0</x:v>
      </x:c>
    </x:row>
    <x:row r="4">
      <x:c r="A4" s="38" t="n">
        <x:v>3</x:v>
      </x:c>
      <x:c r="B4" s="142" t="n">
        <x:v>3600</x:v>
      </x:c>
      <x:c r="C4" s="142" t="n">
        <x:v>5400</x:v>
      </x:c>
      <x:c r="D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E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F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G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H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I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J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K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L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M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N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O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P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Q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R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S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T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U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V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W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X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Y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Z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A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B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C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D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E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F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G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H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I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J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K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L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M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N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O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P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Q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R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S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T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U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V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W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X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Y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AZ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A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B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C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D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E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F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G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H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I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J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K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L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M4" s="191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N4" s="205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O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P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Q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R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S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T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U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V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W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X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Y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BZ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A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B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C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D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E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F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G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H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I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J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K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L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M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N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O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P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Q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R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S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T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U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V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W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X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Y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CZ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A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B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C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D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E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F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G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H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I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J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K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L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M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N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O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P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Q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R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S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T4" t="n">
        <x:f>IF(OR(INDEX(DOAN_CONG_SUAT!$B$2:$B$122,COLUMN()-3)="",INDEX(DOAN_CONG_SUAT!$D$2:$D$122,COLUMN()-3)&lt;=$B4,INDEX(DOAN_CONG_SUAT!$C$2:$C$122,COLUMN()-3)&gt;=$C4,INDEX(DOAN_CONG_SUAT!$D$2:$D$122,COLUMN()-3)=INDEX(DOAN_CONG_SUAT!$C$2:$C$122,COLUMN()-3)),0,((INDEX(DOAN_CONG_SUAT!$E$2:$E$122,COLUMN()-3)+(INDEX(DOAN_CONG_SUAT!$F$2:$F$122,COLUMN()-3)-INDEX(DOAN_CONG_SUAT!$E$2:$E$122,COLUMN()-3))*(MAX($B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,INDEX(DOAN_CONG_SUAT!$D$2:$D$122,COLUMN()-3))-INDEX(DOAN_CONG_SUAT!$C$2:$C$122,COLUMN()-3))/(INDEX(DOAN_CONG_SUAT!$D$2:$D$122,COLUMN()-3)-INDEX(DOAN_CONG_SUAT!$C$2:$C$122,COLUMN()-3))))/2*(MIN($C4,INDEX(DOAN_CONG_SUAT!$D$2:$D$122,COLUMN()-3))-MAX($B4,INDEX(DOAN_CONG_SUAT!$C$2:$C$122,COLUMN()-3))))</x:f>
        <x:v>0</x:v>
      </x:c>
      <x:c r="DU4" t="n">
        <x:f>SUM(D4:DT4)</x:f>
        <x:v>0</x:v>
      </x:c>
      <x:c r="DV4" t="n">
        <x:f>DU4/1800</x:f>
        <x:v>0</x:v>
      </x:c>
    </x:row>
    <x:row r="5">
      <x:c r="A5" s="38" t="n">
        <x:v>4</x:v>
      </x:c>
      <x:c r="B5" s="142" t="n">
        <x:v>5400</x:v>
      </x:c>
      <x:c r="C5" s="142" t="n">
        <x:v>7200</x:v>
      </x:c>
      <x:c r="D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E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F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G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H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I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J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K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L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M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N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O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P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Q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R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S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T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U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V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W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X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Y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Z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A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B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C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D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E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F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G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H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I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J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K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L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M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N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O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P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Q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R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S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T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U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V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W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X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Y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AZ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A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B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C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D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E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F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G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H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I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J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K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L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M5" s="191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N5" s="20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O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P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Q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R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S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T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U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V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W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X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Y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BZ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A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B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C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D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E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F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G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H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I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J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K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L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M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N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O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P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Q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R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S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T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U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V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W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X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Y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CZ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A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B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C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D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E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F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G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H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I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J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K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L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M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N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O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P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Q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R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S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T5" t="n">
        <x:f>IF(OR(INDEX(DOAN_CONG_SUAT!$B$2:$B$122,COLUMN()-3)="",INDEX(DOAN_CONG_SUAT!$D$2:$D$122,COLUMN()-3)&lt;=$B5,INDEX(DOAN_CONG_SUAT!$C$2:$C$122,COLUMN()-3)&gt;=$C5,INDEX(DOAN_CONG_SUAT!$D$2:$D$122,COLUMN()-3)=INDEX(DOAN_CONG_SUAT!$C$2:$C$122,COLUMN()-3)),0,((INDEX(DOAN_CONG_SUAT!$E$2:$E$122,COLUMN()-3)+(INDEX(DOAN_CONG_SUAT!$F$2:$F$122,COLUMN()-3)-INDEX(DOAN_CONG_SUAT!$E$2:$E$122,COLUMN()-3))*(MAX($B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5,INDEX(DOAN_CONG_SUAT!$D$2:$D$122,COLUMN()-3))-INDEX(DOAN_CONG_SUAT!$C$2:$C$122,COLUMN()-3))/(INDEX(DOAN_CONG_SUAT!$D$2:$D$122,COLUMN()-3)-INDEX(DOAN_CONG_SUAT!$C$2:$C$122,COLUMN()-3))))/2*(MIN($C5,INDEX(DOAN_CONG_SUAT!$D$2:$D$122,COLUMN()-3))-MAX($B5,INDEX(DOAN_CONG_SUAT!$C$2:$C$122,COLUMN()-3))))</x:f>
        <x:v>0</x:v>
      </x:c>
      <x:c r="DU5" t="n">
        <x:f>SUM(D5:DT5)</x:f>
        <x:v>0</x:v>
      </x:c>
      <x:c r="DV5" t="n">
        <x:f>DU5/1800</x:f>
        <x:v>0</x:v>
      </x:c>
    </x:row>
    <x:row r="6">
      <x:c r="A6" s="38" t="n">
        <x:v>5</x:v>
      </x:c>
      <x:c r="B6" s="142" t="n">
        <x:v>7200</x:v>
      </x:c>
      <x:c r="C6" s="142" t="n">
        <x:v>9000</x:v>
      </x:c>
      <x:c r="D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E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F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G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H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I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J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K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L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M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N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O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P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Q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R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S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T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U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V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W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X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Y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Z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A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B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C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D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E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F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G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H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I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J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K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L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M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N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O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P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Q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R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S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T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U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V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W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X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Y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AZ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A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B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C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D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E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F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G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H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I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J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K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L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M6" s="191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N6" s="205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O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P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Q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R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S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T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U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V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W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X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Y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BZ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A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B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C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D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E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F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G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H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I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J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K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L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M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N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O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P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Q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R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S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T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U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V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W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X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Y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CZ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A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B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C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D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E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F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G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H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I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J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K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L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M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N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O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P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Q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R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S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T6" t="n">
        <x:f>IF(OR(INDEX(DOAN_CONG_SUAT!$B$2:$B$122,COLUMN()-3)="",INDEX(DOAN_CONG_SUAT!$D$2:$D$122,COLUMN()-3)&lt;=$B6,INDEX(DOAN_CONG_SUAT!$C$2:$C$122,COLUMN()-3)&gt;=$C6,INDEX(DOAN_CONG_SUAT!$D$2:$D$122,COLUMN()-3)=INDEX(DOAN_CONG_SUAT!$C$2:$C$122,COLUMN()-3)),0,((INDEX(DOAN_CONG_SUAT!$E$2:$E$122,COLUMN()-3)+(INDEX(DOAN_CONG_SUAT!$F$2:$F$122,COLUMN()-3)-INDEX(DOAN_CONG_SUAT!$E$2:$E$122,COLUMN()-3))*(MAX($B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6,INDEX(DOAN_CONG_SUAT!$D$2:$D$122,COLUMN()-3))-INDEX(DOAN_CONG_SUAT!$C$2:$C$122,COLUMN()-3))/(INDEX(DOAN_CONG_SUAT!$D$2:$D$122,COLUMN()-3)-INDEX(DOAN_CONG_SUAT!$C$2:$C$122,COLUMN()-3))))/2*(MIN($C6,INDEX(DOAN_CONG_SUAT!$D$2:$D$122,COLUMN()-3))-MAX($B6,INDEX(DOAN_CONG_SUAT!$C$2:$C$122,COLUMN()-3))))</x:f>
        <x:v>0</x:v>
      </x:c>
      <x:c r="DU6" t="n">
        <x:f>SUM(D6:DT6)</x:f>
        <x:v>0</x:v>
      </x:c>
      <x:c r="DV6" t="n">
        <x:f>DU6/1800</x:f>
        <x:v>0</x:v>
      </x:c>
    </x:row>
    <x:row r="7">
      <x:c r="A7" s="38" t="n">
        <x:v>6</x:v>
      </x:c>
      <x:c r="B7" s="142" t="n">
        <x:v>9000</x:v>
      </x:c>
      <x:c r="C7" s="142" t="n">
        <x:v>10800</x:v>
      </x:c>
      <x:c r="D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E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F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G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H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I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J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K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L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M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N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O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P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Q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R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S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T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U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V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W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X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Y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Z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A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B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C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D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E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F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G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H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I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J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K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L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M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N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O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P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Q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R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S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T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U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V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W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X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Y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AZ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A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B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C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D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E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F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G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H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I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J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K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L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M7" s="191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N7" s="205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O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P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Q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R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S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T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U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V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W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X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Y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BZ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A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B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C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D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E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F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G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H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I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J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K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L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M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N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O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P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Q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R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S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T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U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V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W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X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Y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CZ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A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B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C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D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E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F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G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H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I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J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K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L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M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N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O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P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Q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R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S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T7" t="n">
        <x:f>IF(OR(INDEX(DOAN_CONG_SUAT!$B$2:$B$122,COLUMN()-3)="",INDEX(DOAN_CONG_SUAT!$D$2:$D$122,COLUMN()-3)&lt;=$B7,INDEX(DOAN_CONG_SUAT!$C$2:$C$122,COLUMN()-3)&gt;=$C7,INDEX(DOAN_CONG_SUAT!$D$2:$D$122,COLUMN()-3)=INDEX(DOAN_CONG_SUAT!$C$2:$C$122,COLUMN()-3)),0,((INDEX(DOAN_CONG_SUAT!$E$2:$E$122,COLUMN()-3)+(INDEX(DOAN_CONG_SUAT!$F$2:$F$122,COLUMN()-3)-INDEX(DOAN_CONG_SUAT!$E$2:$E$122,COLUMN()-3))*(MAX($B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7,INDEX(DOAN_CONG_SUAT!$D$2:$D$122,COLUMN()-3))-INDEX(DOAN_CONG_SUAT!$C$2:$C$122,COLUMN()-3))/(INDEX(DOAN_CONG_SUAT!$D$2:$D$122,COLUMN()-3)-INDEX(DOAN_CONG_SUAT!$C$2:$C$122,COLUMN()-3))))/2*(MIN($C7,INDEX(DOAN_CONG_SUAT!$D$2:$D$122,COLUMN()-3))-MAX($B7,INDEX(DOAN_CONG_SUAT!$C$2:$C$122,COLUMN()-3))))</x:f>
        <x:v>0</x:v>
      </x:c>
      <x:c r="DU7" t="n">
        <x:f>SUM(D7:DT7)</x:f>
        <x:v>0</x:v>
      </x:c>
      <x:c r="DV7" t="n">
        <x:f>DU7/1800</x:f>
        <x:v>0</x:v>
      </x:c>
    </x:row>
    <x:row r="8">
      <x:c r="A8" s="38" t="n">
        <x:v>7</x:v>
      </x:c>
      <x:c r="B8" s="142" t="n">
        <x:v>10800</x:v>
      </x:c>
      <x:c r="C8" s="142" t="n">
        <x:v>12600</x:v>
      </x:c>
      <x:c r="D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E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F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G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H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I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J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K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L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M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N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O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P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Q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R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S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T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U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V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W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X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Y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Z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A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B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C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D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E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F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G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H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I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J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K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L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M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N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O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P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Q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R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S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T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U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V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W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X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Y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AZ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A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B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C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D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E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F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G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H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I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J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K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L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M8" s="191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N8" s="205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O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P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Q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R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S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T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U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V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W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X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Y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BZ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A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B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C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D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E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F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G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H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I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J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K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L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M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N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O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P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Q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R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S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T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U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V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W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X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Y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CZ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A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B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C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D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E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F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G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H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I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J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K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L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M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N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O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P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Q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R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S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T8" t="n">
        <x:f>IF(OR(INDEX(DOAN_CONG_SUAT!$B$2:$B$122,COLUMN()-3)="",INDEX(DOAN_CONG_SUAT!$D$2:$D$122,COLUMN()-3)&lt;=$B8,INDEX(DOAN_CONG_SUAT!$C$2:$C$122,COLUMN()-3)&gt;=$C8,INDEX(DOAN_CONG_SUAT!$D$2:$D$122,COLUMN()-3)=INDEX(DOAN_CONG_SUAT!$C$2:$C$122,COLUMN()-3)),0,((INDEX(DOAN_CONG_SUAT!$E$2:$E$122,COLUMN()-3)+(INDEX(DOAN_CONG_SUAT!$F$2:$F$122,COLUMN()-3)-INDEX(DOAN_CONG_SUAT!$E$2:$E$122,COLUMN()-3))*(MAX($B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8,INDEX(DOAN_CONG_SUAT!$D$2:$D$122,COLUMN()-3))-INDEX(DOAN_CONG_SUAT!$C$2:$C$122,COLUMN()-3))/(INDEX(DOAN_CONG_SUAT!$D$2:$D$122,COLUMN()-3)-INDEX(DOAN_CONG_SUAT!$C$2:$C$122,COLUMN()-3))))/2*(MIN($C8,INDEX(DOAN_CONG_SUAT!$D$2:$D$122,COLUMN()-3))-MAX($B8,INDEX(DOAN_CONG_SUAT!$C$2:$C$122,COLUMN()-3))))</x:f>
        <x:v>0</x:v>
      </x:c>
      <x:c r="DU8" t="n">
        <x:f>SUM(D8:DT8)</x:f>
        <x:v>0</x:v>
      </x:c>
      <x:c r="DV8" t="n">
        <x:f>DU8/1800</x:f>
        <x:v>0</x:v>
      </x:c>
    </x:row>
    <x:row r="9">
      <x:c r="A9" s="38" t="n">
        <x:v>8</x:v>
      </x:c>
      <x:c r="B9" s="142" t="n">
        <x:v>12600</x:v>
      </x:c>
      <x:c r="C9" s="142" t="n">
        <x:v>14400</x:v>
      </x:c>
      <x:c r="D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E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F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G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H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I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J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K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L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M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N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O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P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Q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R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S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T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U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V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W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X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Y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Z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A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B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C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D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E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F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G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H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I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J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K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L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M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N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O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P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Q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R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S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T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U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V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W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X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Y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AZ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A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B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C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D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E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F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G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H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I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J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K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L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M9" s="191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N9" s="205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O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P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Q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R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S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T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U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V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W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X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Y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BZ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A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B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C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D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E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F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G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H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I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J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K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L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M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N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O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P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Q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R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S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T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U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V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W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X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Y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CZ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A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B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C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D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E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F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G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H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I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J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K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L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M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N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O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P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Q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R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S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T9" t="n">
        <x:f>IF(OR(INDEX(DOAN_CONG_SUAT!$B$2:$B$122,COLUMN()-3)="",INDEX(DOAN_CONG_SUAT!$D$2:$D$122,COLUMN()-3)&lt;=$B9,INDEX(DOAN_CONG_SUAT!$C$2:$C$122,COLUMN()-3)&gt;=$C9,INDEX(DOAN_CONG_SUAT!$D$2:$D$122,COLUMN()-3)=INDEX(DOAN_CONG_SUAT!$C$2:$C$122,COLUMN()-3)),0,((INDEX(DOAN_CONG_SUAT!$E$2:$E$122,COLUMN()-3)+(INDEX(DOAN_CONG_SUAT!$F$2:$F$122,COLUMN()-3)-INDEX(DOAN_CONG_SUAT!$E$2:$E$122,COLUMN()-3))*(MAX($B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9,INDEX(DOAN_CONG_SUAT!$D$2:$D$122,COLUMN()-3))-INDEX(DOAN_CONG_SUAT!$C$2:$C$122,COLUMN()-3))/(INDEX(DOAN_CONG_SUAT!$D$2:$D$122,COLUMN()-3)-INDEX(DOAN_CONG_SUAT!$C$2:$C$122,COLUMN()-3))))/2*(MIN($C9,INDEX(DOAN_CONG_SUAT!$D$2:$D$122,COLUMN()-3))-MAX($B9,INDEX(DOAN_CONG_SUAT!$C$2:$C$122,COLUMN()-3))))</x:f>
        <x:v>0</x:v>
      </x:c>
      <x:c r="DU9" t="n">
        <x:f>SUM(D9:DT9)</x:f>
        <x:v>0</x:v>
      </x:c>
      <x:c r="DV9" t="n">
        <x:f>DU9/1800</x:f>
        <x:v>0</x:v>
      </x:c>
    </x:row>
    <x:row r="10">
      <x:c r="A10" s="38" t="n">
        <x:v>9</x:v>
      </x:c>
      <x:c r="B10" s="142" t="n">
        <x:v>14400</x:v>
      </x:c>
      <x:c r="C10" s="142" t="n">
        <x:v>16200</x:v>
      </x:c>
      <x:c r="D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E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F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G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H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I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J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K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L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M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N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O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P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Q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R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S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T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U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V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W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X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Y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Z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A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B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C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D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E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F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G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H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I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J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K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L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M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N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O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P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Q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R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S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T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U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V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W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X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Y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AZ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A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B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C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D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E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F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G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H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I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J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K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L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M10" s="191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N10" s="205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O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P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Q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R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S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T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U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V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W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X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Y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BZ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A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B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C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D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E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F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G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H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I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J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K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L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M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N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O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P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Q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R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S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T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U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V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W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X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Y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CZ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A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B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C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D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E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F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G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H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I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J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K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L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M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N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O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P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Q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R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S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T10" t="n">
        <x:f>IF(OR(INDEX(DOAN_CONG_SUAT!$B$2:$B$122,COLUMN()-3)="",INDEX(DOAN_CONG_SUAT!$D$2:$D$122,COLUMN()-3)&lt;=$B10,INDEX(DOAN_CONG_SUAT!$C$2:$C$122,COLUMN()-3)&gt;=$C10,INDEX(DOAN_CONG_SUAT!$D$2:$D$122,COLUMN()-3)=INDEX(DOAN_CONG_SUAT!$C$2:$C$122,COLUMN()-3)),0,((INDEX(DOAN_CONG_SUAT!$E$2:$E$122,COLUMN()-3)+(INDEX(DOAN_CONG_SUAT!$F$2:$F$122,COLUMN()-3)-INDEX(DOAN_CONG_SUAT!$E$2:$E$122,COLUMN()-3))*(MAX($B10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10,INDEX(DOAN_CONG_SUAT!$D$2:$D$122,COLUMN()-3))-INDEX(DOAN_CONG_SUAT!$C$2:$C$122,COLUMN()-3))/(INDEX(DOAN_CONG_SUAT!$D$2:$D$122,COLUMN()-3)-INDEX(DOAN_CONG_SUAT!$C$2:$C$122,COLUMN()-3))))/2*(MIN($C10,INDEX(DOAN_CONG_SUAT!$D$2:$D$122,COLUMN()-3))-MAX($B10,INDEX(DOAN_CONG_SUAT!$C$2:$C$122,COLUMN()-3))))</x:f>
        <x:v>0</x:v>
      </x:c>
      <x:c r="DU10" t="n">
        <x:f>SUM(D10:DT10)</x:f>
        <x:v>0</x:v>
      </x:c>
      <x:c r="DV10" t="n">
        <x:f>DU10/1800</x:f>
        <x:v>0</x:v>
      </x:c>
    </x:row>
    <x:row r="11">
      <x:c r="A11" s="38" t="n">
        <x:v>10</x:v>
      </x:c>
      <x:c r="B11" s="142" t="n">
        <x:v>16200</x:v>
      </x:c>
      <x:c r="C11" s="142" t="n">
        <x:v>18000</x:v>
      </x:c>
      <x:c r="D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E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F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G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H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I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J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K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L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M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N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O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P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Q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R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S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T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U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V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W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X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Y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Z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A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B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C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D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E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F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G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H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I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J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K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L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M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N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O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P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Q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R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S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T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U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V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W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X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Y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AZ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A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B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C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D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E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F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G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H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I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J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K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L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M11" s="19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N11" s="205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O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P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Q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R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S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T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U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V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W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X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Y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BZ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A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B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C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D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E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F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G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H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I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J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K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L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M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N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O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P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Q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R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S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T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U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V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W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X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Y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CZ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A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B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C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D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E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F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G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H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I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J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K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L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M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N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O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P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Q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R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S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T11" t="n">
        <x:f>IF(OR(INDEX(DOAN_CONG_SUAT!$B$2:$B$122,COLUMN()-3)="",INDEX(DOAN_CONG_SUAT!$D$2:$D$122,COLUMN()-3)&lt;=$B11,INDEX(DOAN_CONG_SUAT!$C$2:$C$122,COLUMN()-3)&gt;=$C11,INDEX(DOAN_CONG_SUAT!$D$2:$D$122,COLUMN()-3)=INDEX(DOAN_CONG_SUAT!$C$2:$C$122,COLUMN()-3)),0,((INDEX(DOAN_CONG_SUAT!$E$2:$E$122,COLUMN()-3)+(INDEX(DOAN_CONG_SUAT!$F$2:$F$122,COLUMN()-3)-INDEX(DOAN_CONG_SUAT!$E$2:$E$122,COLUMN()-3))*(MAX($B11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11,INDEX(DOAN_CONG_SUAT!$D$2:$D$122,COLUMN()-3))-INDEX(DOAN_CONG_SUAT!$C$2:$C$122,COLUMN()-3))/(INDEX(DOAN_CONG_SUAT!$D$2:$D$122,COLUMN()-3)-INDEX(DOAN_CONG_SUAT!$C$2:$C$122,COLUMN()-3))))/2*(MIN($C11,INDEX(DOAN_CONG_SUAT!$D$2:$D$122,COLUMN()-3))-MAX($B11,INDEX(DOAN_CONG_SUAT!$C$2:$C$122,COLUMN()-3))))</x:f>
        <x:v>0</x:v>
      </x:c>
      <x:c r="DU11" t="n">
        <x:f>SUM(D11:DT11)</x:f>
        <x:v>0</x:v>
      </x:c>
      <x:c r="DV11" t="n">
        <x:f>DU11/1800</x:f>
        <x:v>0</x:v>
      </x:c>
    </x:row>
    <x:row r="12">
      <x:c r="A12" s="38" t="n">
        <x:v>11</x:v>
      </x:c>
      <x:c r="B12" s="142" t="n">
        <x:v>18000</x:v>
      </x:c>
      <x:c r="C12" s="142" t="n">
        <x:v>19800</x:v>
      </x:c>
      <x:c r="D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E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F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G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H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I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J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K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L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M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N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O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P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Q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R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S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T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U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V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W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X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Y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Z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A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B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C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D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E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F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G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H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I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J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K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L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M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N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O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P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Q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R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S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T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U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V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W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X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Y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AZ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A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B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C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D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E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F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G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H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I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J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K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L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M12" s="191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N12" s="205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O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P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Q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R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S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T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U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V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W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X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Y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BZ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A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B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C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D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E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F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G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H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I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J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K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L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M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N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O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P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Q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R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S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T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U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V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W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X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Y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CZ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A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B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C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D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E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F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G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H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I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J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K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L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M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N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O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P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Q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R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S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T12" t="n">
        <x:f>IF(OR(INDEX(DOAN_CONG_SUAT!$B$2:$B$122,COLUMN()-3)="",INDEX(DOAN_CONG_SUAT!$D$2:$D$122,COLUMN()-3)&lt;=$B12,INDEX(DOAN_CONG_SUAT!$C$2:$C$122,COLUMN()-3)&gt;=$C12,INDEX(DOAN_CONG_SUAT!$D$2:$D$122,COLUMN()-3)=INDEX(DOAN_CONG_SUAT!$C$2:$C$122,COLUMN()-3)),0,((INDEX(DOAN_CONG_SUAT!$E$2:$E$122,COLUMN()-3)+(INDEX(DOAN_CONG_SUAT!$F$2:$F$122,COLUMN()-3)-INDEX(DOAN_CONG_SUAT!$E$2:$E$122,COLUMN()-3))*(MAX($B12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12,INDEX(DOAN_CONG_SUAT!$D$2:$D$122,COLUMN()-3))-INDEX(DOAN_CONG_SUAT!$C$2:$C$122,COLUMN()-3))/(INDEX(DOAN_CONG_SUAT!$D$2:$D$122,COLUMN()-3)-INDEX(DOAN_CONG_SUAT!$C$2:$C$122,COLUMN()-3))))/2*(MIN($C12,INDEX(DOAN_CONG_SUAT!$D$2:$D$122,COLUMN()-3))-MAX($B12,INDEX(DOAN_CONG_SUAT!$C$2:$C$122,COLUMN()-3))))</x:f>
        <x:v>0</x:v>
      </x:c>
      <x:c r="DU12" t="n">
        <x:f>SUM(D12:DT12)</x:f>
        <x:v>0</x:v>
      </x:c>
      <x:c r="DV12" t="n">
        <x:f>DU12/1800</x:f>
        <x:v>0</x:v>
      </x:c>
    </x:row>
    <x:row r="13">
      <x:c r="A13" s="38" t="n">
        <x:v>12</x:v>
      </x:c>
      <x:c r="B13" s="142" t="n">
        <x:v>19800</x:v>
      </x:c>
      <x:c r="C13" s="142" t="n">
        <x:v>21600</x:v>
      </x:c>
      <x:c r="D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E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F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G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H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I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J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K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L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M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N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O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P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Q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R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S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T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U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V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W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X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Y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Z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A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B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C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D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E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F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G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H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I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J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K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L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M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N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O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P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Q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R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S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T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U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V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W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X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Y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AZ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A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B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C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D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E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F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G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H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I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J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K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L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M13" s="191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N13" s="205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O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P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Q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R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S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T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U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V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W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X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Y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BZ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A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B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C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D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E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F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G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H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I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J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K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L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M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N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O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P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Q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R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S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T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U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V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W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X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Y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CZ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A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B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C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D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E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F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G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H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I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J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K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L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M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N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O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P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Q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R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S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T13" t="n">
        <x:f>IF(OR(INDEX(DOAN_CONG_SUAT!$B$2:$B$122,COLUMN()-3)="",INDEX(DOAN_CONG_SUAT!$D$2:$D$122,COLUMN()-3)&lt;=$B13,INDEX(DOAN_CONG_SUAT!$C$2:$C$122,COLUMN()-3)&gt;=$C13,INDEX(DOAN_CONG_SUAT!$D$2:$D$122,COLUMN()-3)=INDEX(DOAN_CONG_SUAT!$C$2:$C$122,COLUMN()-3)),0,((INDEX(DOAN_CONG_SUAT!$E$2:$E$122,COLUMN()-3)+(INDEX(DOAN_CONG_SUAT!$F$2:$F$122,COLUMN()-3)-INDEX(DOAN_CONG_SUAT!$E$2:$E$122,COLUMN()-3))*(MAX($B13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13,INDEX(DOAN_CONG_SUAT!$D$2:$D$122,COLUMN()-3))-INDEX(DOAN_CONG_SUAT!$C$2:$C$122,COLUMN()-3))/(INDEX(DOAN_CONG_SUAT!$D$2:$D$122,COLUMN()-3)-INDEX(DOAN_CONG_SUAT!$C$2:$C$122,COLUMN()-3))))/2*(MIN($C13,INDEX(DOAN_CONG_SUAT!$D$2:$D$122,COLUMN()-3))-MAX($B13,INDEX(DOAN_CONG_SUAT!$C$2:$C$122,COLUMN()-3))))</x:f>
        <x:v>0</x:v>
      </x:c>
      <x:c r="DU13" t="n">
        <x:f>SUM(D13:DT13)</x:f>
        <x:v>0</x:v>
      </x:c>
      <x:c r="DV13" t="n">
        <x:f>DU13/1800</x:f>
        <x:v>0</x:v>
      </x:c>
    </x:row>
    <x:row r="14">
      <x:c r="A14" s="38" t="n">
        <x:v>13</x:v>
      </x:c>
      <x:c r="B14" s="142" t="n">
        <x:v>21600</x:v>
      </x:c>
      <x:c r="C14" s="142" t="n">
        <x:v>23400</x:v>
      </x:c>
      <x:c r="D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E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F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G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H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I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J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K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L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M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N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O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P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Q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R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S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T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U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V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W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X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Y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Z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A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B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C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D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E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F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G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H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I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J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K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L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M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N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O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P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Q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R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S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T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U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V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W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X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Y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AZ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A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B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C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D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E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F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G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H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I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J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K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L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M14" s="191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N14" s="205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O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P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Q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R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S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T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U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V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W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X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Y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BZ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A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B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C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D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E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F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G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H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I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J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K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L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M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N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O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P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Q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R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S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T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U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V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W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X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Y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CZ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A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B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C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D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E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F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G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H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I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J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K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L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M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N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O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P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Q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R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S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T14" t="n">
        <x:f>IF(OR(INDEX(DOAN_CONG_SUAT!$B$2:$B$122,COLUMN()-3)="",INDEX(DOAN_CONG_SUAT!$D$2:$D$122,COLUMN()-3)&lt;=$B14,INDEX(DOAN_CONG_SUAT!$C$2:$C$122,COLUMN()-3)&gt;=$C14,INDEX(DOAN_CONG_SUAT!$D$2:$D$122,COLUMN()-3)=INDEX(DOAN_CONG_SUAT!$C$2:$C$122,COLUMN()-3)),0,((INDEX(DOAN_CONG_SUAT!$E$2:$E$122,COLUMN()-3)+(INDEX(DOAN_CONG_SUAT!$F$2:$F$122,COLUMN()-3)-INDEX(DOAN_CONG_SUAT!$E$2:$E$122,COLUMN()-3))*(MAX($B14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14,INDEX(DOAN_CONG_SUAT!$D$2:$D$122,COLUMN()-3))-INDEX(DOAN_CONG_SUAT!$C$2:$C$122,COLUMN()-3))/(INDEX(DOAN_CONG_SUAT!$D$2:$D$122,COLUMN()-3)-INDEX(DOAN_CONG_SUAT!$C$2:$C$122,COLUMN()-3))))/2*(MIN($C14,INDEX(DOAN_CONG_SUAT!$D$2:$D$122,COLUMN()-3))-MAX($B14,INDEX(DOAN_CONG_SUAT!$C$2:$C$122,COLUMN()-3))))</x:f>
        <x:v>0</x:v>
      </x:c>
      <x:c r="DU14" t="n">
        <x:f>SUM(D14:DT14)</x:f>
        <x:v>0</x:v>
      </x:c>
      <x:c r="DV14" t="n">
        <x:f>DU14/1800</x:f>
        <x:v>0</x:v>
      </x:c>
    </x:row>
    <x:row r="15">
      <x:c r="A15" s="38" t="n">
        <x:v>14</x:v>
      </x:c>
      <x:c r="B15" s="142" t="n">
        <x:v>23400</x:v>
      </x:c>
      <x:c r="C15" s="142" t="n">
        <x:v>25200</x:v>
      </x:c>
      <x:c r="D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E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F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G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H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I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J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K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L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M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N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O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P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Q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R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S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T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U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V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W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X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Y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Z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A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B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C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D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E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F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G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H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I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J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K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L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M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N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O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P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Q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R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S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T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U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V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W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X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Y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AZ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A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B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C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D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E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F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G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H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I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J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K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L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M15" s="191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N15" s="20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O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P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Q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R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S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T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U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V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W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X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Y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BZ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A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B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C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D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E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F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G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H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I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J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K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L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M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N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O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P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Q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R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S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T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U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V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W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X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Y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CZ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A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B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C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D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E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F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G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H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I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J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K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L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M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N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O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P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Q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R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S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T15" t="n">
        <x:f>IF(OR(INDEX(DOAN_CONG_SUAT!$B$2:$B$122,COLUMN()-3)="",INDEX(DOAN_CONG_SUAT!$D$2:$D$122,COLUMN()-3)&lt;=$B15,INDEX(DOAN_CONG_SUAT!$C$2:$C$122,COLUMN()-3)&gt;=$C15,INDEX(DOAN_CONG_SUAT!$D$2:$D$122,COLUMN()-3)=INDEX(DOAN_CONG_SUAT!$C$2:$C$122,COLUMN()-3)),0,((INDEX(DOAN_CONG_SUAT!$E$2:$E$122,COLUMN()-3)+(INDEX(DOAN_CONG_SUAT!$F$2:$F$122,COLUMN()-3)-INDEX(DOAN_CONG_SUAT!$E$2:$E$122,COLUMN()-3))*(MAX($B15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15,INDEX(DOAN_CONG_SUAT!$D$2:$D$122,COLUMN()-3))-INDEX(DOAN_CONG_SUAT!$C$2:$C$122,COLUMN()-3))/(INDEX(DOAN_CONG_SUAT!$D$2:$D$122,COLUMN()-3)-INDEX(DOAN_CONG_SUAT!$C$2:$C$122,COLUMN()-3))))/2*(MIN($C15,INDEX(DOAN_CONG_SUAT!$D$2:$D$122,COLUMN()-3))-MAX($B15,INDEX(DOAN_CONG_SUAT!$C$2:$C$122,COLUMN()-3))))</x:f>
        <x:v>0</x:v>
      </x:c>
      <x:c r="DU15" t="n">
        <x:f>SUM(D15:DT15)</x:f>
        <x:v>0</x:v>
      </x:c>
      <x:c r="DV15" t="n">
        <x:f>DU15/1800</x:f>
        <x:v>0</x:v>
      </x:c>
    </x:row>
    <x:row r="16">
      <x:c r="A16" s="38" t="n">
        <x:v>15</x:v>
      </x:c>
      <x:c r="B16" s="142" t="n">
        <x:v>25200</x:v>
      </x:c>
      <x:c r="C16" s="142" t="n">
        <x:v>27000</x:v>
      </x:c>
      <x:c r="D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E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F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G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H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I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J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K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L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M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N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O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P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Q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R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S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T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U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V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W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X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Y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Z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A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B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C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D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E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F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G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H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I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J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K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L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M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N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O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P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Q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R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S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T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U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V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W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X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Y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AZ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A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B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C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D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E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F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G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H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I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J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K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L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M16" s="191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N16" s="205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O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P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Q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R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S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T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U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V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W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X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Y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BZ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A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B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C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D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E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F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G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H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I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J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K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L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M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N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O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P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Q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R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S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T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U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V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W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X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Y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CZ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A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B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C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D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E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F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G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H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I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J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K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L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M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N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O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P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Q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R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S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T16" t="n">
        <x:f>IF(OR(INDEX(DOAN_CONG_SUAT!$B$2:$B$122,COLUMN()-3)="",INDEX(DOAN_CONG_SUAT!$D$2:$D$122,COLUMN()-3)&lt;=$B16,INDEX(DOAN_CONG_SUAT!$C$2:$C$122,COLUMN()-3)&gt;=$C16,INDEX(DOAN_CONG_SUAT!$D$2:$D$122,COLUMN()-3)=INDEX(DOAN_CONG_SUAT!$C$2:$C$122,COLUMN()-3)),0,((INDEX(DOAN_CONG_SUAT!$E$2:$E$122,COLUMN()-3)+(INDEX(DOAN_CONG_SUAT!$F$2:$F$122,COLUMN()-3)-INDEX(DOAN_CONG_SUAT!$E$2:$E$122,COLUMN()-3))*(MAX($B16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16,INDEX(DOAN_CONG_SUAT!$D$2:$D$122,COLUMN()-3))-INDEX(DOAN_CONG_SUAT!$C$2:$C$122,COLUMN()-3))/(INDEX(DOAN_CONG_SUAT!$D$2:$D$122,COLUMN()-3)-INDEX(DOAN_CONG_SUAT!$C$2:$C$122,COLUMN()-3))))/2*(MIN($C16,INDEX(DOAN_CONG_SUAT!$D$2:$D$122,COLUMN()-3))-MAX($B16,INDEX(DOAN_CONG_SUAT!$C$2:$C$122,COLUMN()-3))))</x:f>
        <x:v>0</x:v>
      </x:c>
      <x:c r="DU16" t="n">
        <x:f>SUM(D16:DT16)</x:f>
        <x:v>0</x:v>
      </x:c>
      <x:c r="DV16" t="n">
        <x:f>DU16/1800</x:f>
        <x:v>0</x:v>
      </x:c>
    </x:row>
    <x:row r="17">
      <x:c r="A17" s="38" t="n">
        <x:v>16</x:v>
      </x:c>
      <x:c r="B17" s="142" t="n">
        <x:v>27000</x:v>
      </x:c>
      <x:c r="C17" s="142" t="n">
        <x:v>28800</x:v>
      </x:c>
      <x:c r="D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E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F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G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H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I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J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K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L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M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N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O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P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Q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R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S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T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U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V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W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X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Y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Z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A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B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C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D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E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F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G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H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I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J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K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L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M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N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O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P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Q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R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S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T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U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V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W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X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Y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AZ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A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B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C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D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E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F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G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H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I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J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K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L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M17" s="191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N17" s="205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O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P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Q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R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S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T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U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V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W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X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Y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BZ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A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B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C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D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E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F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G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H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I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J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K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L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M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N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O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P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Q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R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S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T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U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V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W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X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Y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CZ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A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B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C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D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E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F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G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H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I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J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K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L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M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N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O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P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Q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R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S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T17" t="n">
        <x:f>IF(OR(INDEX(DOAN_CONG_SUAT!$B$2:$B$122,COLUMN()-3)="",INDEX(DOAN_CONG_SUAT!$D$2:$D$122,COLUMN()-3)&lt;=$B17,INDEX(DOAN_CONG_SUAT!$C$2:$C$122,COLUMN()-3)&gt;=$C17,INDEX(DOAN_CONG_SUAT!$D$2:$D$122,COLUMN()-3)=INDEX(DOAN_CONG_SUAT!$C$2:$C$122,COLUMN()-3)),0,((INDEX(DOAN_CONG_SUAT!$E$2:$E$122,COLUMN()-3)+(INDEX(DOAN_CONG_SUAT!$F$2:$F$122,COLUMN()-3)-INDEX(DOAN_CONG_SUAT!$E$2:$E$122,COLUMN()-3))*(MAX($B17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17,INDEX(DOAN_CONG_SUAT!$D$2:$D$122,COLUMN()-3))-INDEX(DOAN_CONG_SUAT!$C$2:$C$122,COLUMN()-3))/(INDEX(DOAN_CONG_SUAT!$D$2:$D$122,COLUMN()-3)-INDEX(DOAN_CONG_SUAT!$C$2:$C$122,COLUMN()-3))))/2*(MIN($C17,INDEX(DOAN_CONG_SUAT!$D$2:$D$122,COLUMN()-3))-MAX($B17,INDEX(DOAN_CONG_SUAT!$C$2:$C$122,COLUMN()-3))))</x:f>
        <x:v>0</x:v>
      </x:c>
      <x:c r="DU17" t="n">
        <x:f>SUM(D17:DT17)</x:f>
        <x:v>0</x:v>
      </x:c>
      <x:c r="DV17" t="n">
        <x:f>DU17/1800</x:f>
        <x:v>0</x:v>
      </x:c>
    </x:row>
    <x:row r="18">
      <x:c r="A18" s="38" t="n">
        <x:v>17</x:v>
      </x:c>
      <x:c r="B18" s="142" t="n">
        <x:v>28800</x:v>
      </x:c>
      <x:c r="C18" s="142" t="n">
        <x:v>30600</x:v>
      </x:c>
      <x:c r="D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E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F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G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H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I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J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K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L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M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N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O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P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Q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R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S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T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U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V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W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X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Y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Z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A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B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C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D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E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F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G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H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I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J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K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L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M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N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O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P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Q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R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S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T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U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V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W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X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Y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AZ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A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B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C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D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E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F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G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H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I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J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K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L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M18" s="191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N18" s="205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O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P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Q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R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S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T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U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V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W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X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Y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BZ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A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B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C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D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E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F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G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H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I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J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K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L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M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N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O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P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Q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R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S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T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U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V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W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X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Y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CZ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A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B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C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D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E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F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G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H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I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J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K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L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M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N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O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P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Q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R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S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T18" t="n">
        <x:f>IF(OR(INDEX(DOAN_CONG_SUAT!$B$2:$B$122,COLUMN()-3)="",INDEX(DOAN_CONG_SUAT!$D$2:$D$122,COLUMN()-3)&lt;=$B18,INDEX(DOAN_CONG_SUAT!$C$2:$C$122,COLUMN()-3)&gt;=$C18,INDEX(DOAN_CONG_SUAT!$D$2:$D$122,COLUMN()-3)=INDEX(DOAN_CONG_SUAT!$C$2:$C$122,COLUMN()-3)),0,((INDEX(DOAN_CONG_SUAT!$E$2:$E$122,COLUMN()-3)+(INDEX(DOAN_CONG_SUAT!$F$2:$F$122,COLUMN()-3)-INDEX(DOAN_CONG_SUAT!$E$2:$E$122,COLUMN()-3))*(MAX($B18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18,INDEX(DOAN_CONG_SUAT!$D$2:$D$122,COLUMN()-3))-INDEX(DOAN_CONG_SUAT!$C$2:$C$122,COLUMN()-3))/(INDEX(DOAN_CONG_SUAT!$D$2:$D$122,COLUMN()-3)-INDEX(DOAN_CONG_SUAT!$C$2:$C$122,COLUMN()-3))))/2*(MIN($C18,INDEX(DOAN_CONG_SUAT!$D$2:$D$122,COLUMN()-3))-MAX($B18,INDEX(DOAN_CONG_SUAT!$C$2:$C$122,COLUMN()-3))))</x:f>
        <x:v>0</x:v>
      </x:c>
      <x:c r="DU18" t="n">
        <x:f>SUM(D18:DT18)</x:f>
        <x:v>0</x:v>
      </x:c>
      <x:c r="DV18" t="n">
        <x:f>DU18/1800</x:f>
        <x:v>0</x:v>
      </x:c>
    </x:row>
    <x:row r="19">
      <x:c r="A19" s="38" t="n">
        <x:v>18</x:v>
      </x:c>
      <x:c r="B19" s="142" t="n">
        <x:v>30600</x:v>
      </x:c>
      <x:c r="C19" s="142" t="n">
        <x:v>32400</x:v>
      </x:c>
      <x:c r="D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E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F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G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H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I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J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K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L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M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N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O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P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Q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R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S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T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U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V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W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X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Y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Z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A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B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C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D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E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F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G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H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I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J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K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L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M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N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O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P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Q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R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S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T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U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V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W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X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Y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AZ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A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B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C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D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E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F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G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H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I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J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K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L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M19" s="191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N19" s="205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O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P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Q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R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S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T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U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V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W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X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Y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BZ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A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B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C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D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E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F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G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H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I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J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K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L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M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N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O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P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Q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R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S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T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U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V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W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X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Y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CZ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A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B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C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D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E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F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G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H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I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J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K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L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M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N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O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P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Q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R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S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T19" t="n">
        <x:f>IF(OR(INDEX(DOAN_CONG_SUAT!$B$2:$B$122,COLUMN()-3)="",INDEX(DOAN_CONG_SUAT!$D$2:$D$122,COLUMN()-3)&lt;=$B19,INDEX(DOAN_CONG_SUAT!$C$2:$C$122,COLUMN()-3)&gt;=$C19,INDEX(DOAN_CONG_SUAT!$D$2:$D$122,COLUMN()-3)=INDEX(DOAN_CONG_SUAT!$C$2:$C$122,COLUMN()-3)),0,((INDEX(DOAN_CONG_SUAT!$E$2:$E$122,COLUMN()-3)+(INDEX(DOAN_CONG_SUAT!$F$2:$F$122,COLUMN()-3)-INDEX(DOAN_CONG_SUAT!$E$2:$E$122,COLUMN()-3))*(MAX($B19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19,INDEX(DOAN_CONG_SUAT!$D$2:$D$122,COLUMN()-3))-INDEX(DOAN_CONG_SUAT!$C$2:$C$122,COLUMN()-3))/(INDEX(DOAN_CONG_SUAT!$D$2:$D$122,COLUMN()-3)-INDEX(DOAN_CONG_SUAT!$C$2:$C$122,COLUMN()-3))))/2*(MIN($C19,INDEX(DOAN_CONG_SUAT!$D$2:$D$122,COLUMN()-3))-MAX($B19,INDEX(DOAN_CONG_SUAT!$C$2:$C$122,COLUMN()-3))))</x:f>
        <x:v>0</x:v>
      </x:c>
      <x:c r="DU19" t="n">
        <x:f>SUM(D19:DT19)</x:f>
        <x:v>0</x:v>
      </x:c>
      <x:c r="DV19" t="n">
        <x:f>DU19/1800</x:f>
        <x:v>0</x:v>
      </x:c>
    </x:row>
    <x:row r="20">
      <x:c r="A20" s="38" t="n">
        <x:v>19</x:v>
      </x:c>
      <x:c r="B20" s="142" t="n">
        <x:v>32400</x:v>
      </x:c>
      <x:c r="C20" s="142" t="n">
        <x:v>34200</x:v>
      </x:c>
      <x:c r="D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E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F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G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H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I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J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K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L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M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N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O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P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Q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R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S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T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U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V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W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X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Y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Z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A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B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C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D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E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F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G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H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I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J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K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L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M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N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O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P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Q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R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S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T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U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V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W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X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Y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AZ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A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B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C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D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E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F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G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H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I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J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K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L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M20" s="191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N20" s="205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O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P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Q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R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S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T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U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V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W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X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Y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BZ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A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B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C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D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E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F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G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H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I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J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K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L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M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N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O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P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Q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R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S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T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U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V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W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X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Y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CZ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A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B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C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D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E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F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G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H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I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J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K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L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M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N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O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P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Q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R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S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T20" t="n">
        <x:f>IF(OR(INDEX(DOAN_CONG_SUAT!$B$2:$B$122,COLUMN()-3)="",INDEX(DOAN_CONG_SUAT!$D$2:$D$122,COLUMN()-3)&lt;=$B20,INDEX(DOAN_CONG_SUAT!$C$2:$C$122,COLUMN()-3)&gt;=$C20,INDEX(DOAN_CONG_SUAT!$D$2:$D$122,COLUMN()-3)=INDEX(DOAN_CONG_SUAT!$C$2:$C$122,COLUMN()-3)),0,((INDEX(DOAN_CONG_SUAT!$E$2:$E$122,COLUMN()-3)+(INDEX(DOAN_CONG_SUAT!$F$2:$F$122,COLUMN()-3)-INDEX(DOAN_CONG_SUAT!$E$2:$E$122,COLUMN()-3))*(MAX($B20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20,INDEX(DOAN_CONG_SUAT!$D$2:$D$122,COLUMN()-3))-INDEX(DOAN_CONG_SUAT!$C$2:$C$122,COLUMN()-3))/(INDEX(DOAN_CONG_SUAT!$D$2:$D$122,COLUMN()-3)-INDEX(DOAN_CONG_SUAT!$C$2:$C$122,COLUMN()-3))))/2*(MIN($C20,INDEX(DOAN_CONG_SUAT!$D$2:$D$122,COLUMN()-3))-MAX($B20,INDEX(DOAN_CONG_SUAT!$C$2:$C$122,COLUMN()-3))))</x:f>
        <x:v>0</x:v>
      </x:c>
      <x:c r="DU20" t="n">
        <x:f>SUM(D20:DT20)</x:f>
        <x:v>0</x:v>
      </x:c>
      <x:c r="DV20" t="n">
        <x:f>DU20/1800</x:f>
        <x:v>0</x:v>
      </x:c>
    </x:row>
    <x:row r="21">
      <x:c r="A21" s="38" t="n">
        <x:v>20</x:v>
      </x:c>
      <x:c r="B21" s="142" t="n">
        <x:v>34200</x:v>
      </x:c>
      <x:c r="C21" s="142" t="n">
        <x:v>36000</x:v>
      </x:c>
      <x:c r="D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E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F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G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H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I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J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K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L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M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N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O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P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Q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R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S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T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U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V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W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X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Y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Z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A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B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C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D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E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F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G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H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I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J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K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L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M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N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O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P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Q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R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S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T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U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V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W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X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Y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AZ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A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B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C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D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E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F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G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H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I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J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K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L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M21" s="19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N21" s="205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O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P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Q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R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S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T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U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V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W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X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Y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BZ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A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B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C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D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E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F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G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H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I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J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K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L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M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N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O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P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Q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R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S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T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U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V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W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X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Y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CZ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A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B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C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D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E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F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G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H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I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J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K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L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M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N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O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P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Q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R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S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T21" t="n">
        <x:f>IF(OR(INDEX(DOAN_CONG_SUAT!$B$2:$B$122,COLUMN()-3)="",INDEX(DOAN_CONG_SUAT!$D$2:$D$122,COLUMN()-3)&lt;=$B21,INDEX(DOAN_CONG_SUAT!$C$2:$C$122,COLUMN()-3)&gt;=$C21,INDEX(DOAN_CONG_SUAT!$D$2:$D$122,COLUMN()-3)=INDEX(DOAN_CONG_SUAT!$C$2:$C$122,COLUMN()-3)),0,((INDEX(DOAN_CONG_SUAT!$E$2:$E$122,COLUMN()-3)+(INDEX(DOAN_CONG_SUAT!$F$2:$F$122,COLUMN()-3)-INDEX(DOAN_CONG_SUAT!$E$2:$E$122,COLUMN()-3))*(MAX($B21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21,INDEX(DOAN_CONG_SUAT!$D$2:$D$122,COLUMN()-3))-INDEX(DOAN_CONG_SUAT!$C$2:$C$122,COLUMN()-3))/(INDEX(DOAN_CONG_SUAT!$D$2:$D$122,COLUMN()-3)-INDEX(DOAN_CONG_SUAT!$C$2:$C$122,COLUMN()-3))))/2*(MIN($C21,INDEX(DOAN_CONG_SUAT!$D$2:$D$122,COLUMN()-3))-MAX($B21,INDEX(DOAN_CONG_SUAT!$C$2:$C$122,COLUMN()-3))))</x:f>
        <x:v>0</x:v>
      </x:c>
      <x:c r="DU21" t="n">
        <x:f>SUM(D21:DT21)</x:f>
        <x:v>0</x:v>
      </x:c>
      <x:c r="DV21" t="n">
        <x:f>DU21/1800</x:f>
        <x:v>0</x:v>
      </x:c>
    </x:row>
    <x:row r="22">
      <x:c r="A22" s="38" t="n">
        <x:v>21</x:v>
      </x:c>
      <x:c r="B22" s="142" t="n">
        <x:v>36000</x:v>
      </x:c>
      <x:c r="C22" s="142" t="n">
        <x:v>37800</x:v>
      </x:c>
      <x:c r="D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E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F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G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H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I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J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K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L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M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N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O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P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Q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R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S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T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U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V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W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X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Y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Z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A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B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C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D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E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F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G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H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I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J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K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L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M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N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O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P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Q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R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S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T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U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V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W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X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Y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AZ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A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B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C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D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E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F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G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H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I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J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K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L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M22" s="191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N22" s="205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O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P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Q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R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S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T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U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V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W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X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Y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BZ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A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B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C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D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E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F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G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H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I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J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K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L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M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N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O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P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Q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R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S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T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U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V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W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X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Y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CZ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A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B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C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D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E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F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G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H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I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J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K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L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M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N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O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P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Q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R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S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T22" t="n">
        <x:f>IF(OR(INDEX(DOAN_CONG_SUAT!$B$2:$B$122,COLUMN()-3)="",INDEX(DOAN_CONG_SUAT!$D$2:$D$122,COLUMN()-3)&lt;=$B22,INDEX(DOAN_CONG_SUAT!$C$2:$C$122,COLUMN()-3)&gt;=$C22,INDEX(DOAN_CONG_SUAT!$D$2:$D$122,COLUMN()-3)=INDEX(DOAN_CONG_SUAT!$C$2:$C$122,COLUMN()-3)),0,((INDEX(DOAN_CONG_SUAT!$E$2:$E$122,COLUMN()-3)+(INDEX(DOAN_CONG_SUAT!$F$2:$F$122,COLUMN()-3)-INDEX(DOAN_CONG_SUAT!$E$2:$E$122,COLUMN()-3))*(MAX($B22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22,INDEX(DOAN_CONG_SUAT!$D$2:$D$122,COLUMN()-3))-INDEX(DOAN_CONG_SUAT!$C$2:$C$122,COLUMN()-3))/(INDEX(DOAN_CONG_SUAT!$D$2:$D$122,COLUMN()-3)-INDEX(DOAN_CONG_SUAT!$C$2:$C$122,COLUMN()-3))))/2*(MIN($C22,INDEX(DOAN_CONG_SUAT!$D$2:$D$122,COLUMN()-3))-MAX($B22,INDEX(DOAN_CONG_SUAT!$C$2:$C$122,COLUMN()-3))))</x:f>
        <x:v>0</x:v>
      </x:c>
      <x:c r="DU22" t="n">
        <x:f>SUM(D22:DT22)</x:f>
        <x:v>0</x:v>
      </x:c>
      <x:c r="DV22" t="n">
        <x:f>DU22/1800</x:f>
        <x:v>0</x:v>
      </x:c>
    </x:row>
    <x:row r="23">
      <x:c r="A23" s="38" t="n">
        <x:v>22</x:v>
      </x:c>
      <x:c r="B23" s="142" t="n">
        <x:v>37800</x:v>
      </x:c>
      <x:c r="C23" s="142" t="n">
        <x:v>39600</x:v>
      </x:c>
      <x:c r="D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E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F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G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H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I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J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K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L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M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N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O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P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Q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R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S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T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U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V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W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X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Y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Z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A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B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C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D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E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F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G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H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I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J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K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L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M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N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O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P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Q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R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S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T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U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V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W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X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Y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AZ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A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B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C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D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E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F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G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H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I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J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K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L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M23" s="191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N23" s="205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O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P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Q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R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S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T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U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V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W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X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Y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BZ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A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B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C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D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E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F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G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H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I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J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K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L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M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N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O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P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Q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R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S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T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U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V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W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X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Y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CZ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A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B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C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D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E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F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G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H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I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J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K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L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M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N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O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P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Q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R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S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T23" t="n">
        <x:f>IF(OR(INDEX(DOAN_CONG_SUAT!$B$2:$B$122,COLUMN()-3)="",INDEX(DOAN_CONG_SUAT!$D$2:$D$122,COLUMN()-3)&lt;=$B23,INDEX(DOAN_CONG_SUAT!$C$2:$C$122,COLUMN()-3)&gt;=$C23,INDEX(DOAN_CONG_SUAT!$D$2:$D$122,COLUMN()-3)=INDEX(DOAN_CONG_SUAT!$C$2:$C$122,COLUMN()-3)),0,((INDEX(DOAN_CONG_SUAT!$E$2:$E$122,COLUMN()-3)+(INDEX(DOAN_CONG_SUAT!$F$2:$F$122,COLUMN()-3)-INDEX(DOAN_CONG_SUAT!$E$2:$E$122,COLUMN()-3))*(MAX($B23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23,INDEX(DOAN_CONG_SUAT!$D$2:$D$122,COLUMN()-3))-INDEX(DOAN_CONG_SUAT!$C$2:$C$122,COLUMN()-3))/(INDEX(DOAN_CONG_SUAT!$D$2:$D$122,COLUMN()-3)-INDEX(DOAN_CONG_SUAT!$C$2:$C$122,COLUMN()-3))))/2*(MIN($C23,INDEX(DOAN_CONG_SUAT!$D$2:$D$122,COLUMN()-3))-MAX($B23,INDEX(DOAN_CONG_SUAT!$C$2:$C$122,COLUMN()-3))))</x:f>
        <x:v>0</x:v>
      </x:c>
      <x:c r="DU23" t="n">
        <x:f>SUM(D23:DT23)</x:f>
        <x:v>0</x:v>
      </x:c>
      <x:c r="DV23" t="n">
        <x:f>DU23/1800</x:f>
        <x:v>0</x:v>
      </x:c>
    </x:row>
    <x:row r="24">
      <x:c r="A24" s="38" t="n">
        <x:v>23</x:v>
      </x:c>
      <x:c r="B24" s="142" t="n">
        <x:v>39600</x:v>
      </x:c>
      <x:c r="C24" s="142" t="n">
        <x:v>41400</x:v>
      </x:c>
      <x:c r="D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E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F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G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H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I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J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K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L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M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N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O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P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Q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R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S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T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U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V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W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X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Y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Z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A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B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C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D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E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F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G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H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I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J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K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L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M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N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O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P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Q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R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S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T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U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V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W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X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Y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AZ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A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B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C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D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E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F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G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H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I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J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K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L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M24" s="191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N24" s="205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O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P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Q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R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S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T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U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V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W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X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Y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BZ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A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B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C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D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E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F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G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H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I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J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K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L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M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N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O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P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Q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R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S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T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U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V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W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X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Y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CZ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A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B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C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D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E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F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G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H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I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J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K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L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M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N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O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P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Q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R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S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T24" t="n">
        <x:f>IF(OR(INDEX(DOAN_CONG_SUAT!$B$2:$B$122,COLUMN()-3)="",INDEX(DOAN_CONG_SUAT!$D$2:$D$122,COLUMN()-3)&lt;=$B24,INDEX(DOAN_CONG_SUAT!$C$2:$C$122,COLUMN()-3)&gt;=$C24,INDEX(DOAN_CONG_SUAT!$D$2:$D$122,COLUMN()-3)=INDEX(DOAN_CONG_SUAT!$C$2:$C$122,COLUMN()-3)),0,((INDEX(DOAN_CONG_SUAT!$E$2:$E$122,COLUMN()-3)+(INDEX(DOAN_CONG_SUAT!$F$2:$F$122,COLUMN()-3)-INDEX(DOAN_CONG_SUAT!$E$2:$E$122,COLUMN()-3))*(MAX($B24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24,INDEX(DOAN_CONG_SUAT!$D$2:$D$122,COLUMN()-3))-INDEX(DOAN_CONG_SUAT!$C$2:$C$122,COLUMN()-3))/(INDEX(DOAN_CONG_SUAT!$D$2:$D$122,COLUMN()-3)-INDEX(DOAN_CONG_SUAT!$C$2:$C$122,COLUMN()-3))))/2*(MIN($C24,INDEX(DOAN_CONG_SUAT!$D$2:$D$122,COLUMN()-3))-MAX($B24,INDEX(DOAN_CONG_SUAT!$C$2:$C$122,COLUMN()-3))))</x:f>
        <x:v>0</x:v>
      </x:c>
      <x:c r="DU24" t="n">
        <x:f>SUM(D24:DT24)</x:f>
        <x:v>0</x:v>
      </x:c>
      <x:c r="DV24" t="n">
        <x:f>DU24/1800</x:f>
        <x:v>0</x:v>
      </x:c>
    </x:row>
    <x:row r="25">
      <x:c r="A25" s="38" t="n">
        <x:v>24</x:v>
      </x:c>
      <x:c r="B25" s="142" t="n">
        <x:v>41400</x:v>
      </x:c>
      <x:c r="C25" s="142" t="n">
        <x:v>43200</x:v>
      </x:c>
      <x:c r="D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E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F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G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H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I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J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K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L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M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N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O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P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Q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R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S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T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U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V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W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X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Y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Z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A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B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C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D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E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F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G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H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I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J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K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L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M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N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O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P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Q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R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S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T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U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V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W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X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Y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AZ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A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B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C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D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E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F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G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H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I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J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K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L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M25" s="191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N25" s="20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O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P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Q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R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S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T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U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V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W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X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Y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BZ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A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B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C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D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E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F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G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H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I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J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K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L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M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N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O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P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Q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R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S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T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U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V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W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X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Y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CZ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A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B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C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D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E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F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G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H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I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J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K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L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M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N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O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P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Q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R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S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T25" t="n">
        <x:f>IF(OR(INDEX(DOAN_CONG_SUAT!$B$2:$B$122,COLUMN()-3)="",INDEX(DOAN_CONG_SUAT!$D$2:$D$122,COLUMN()-3)&lt;=$B25,INDEX(DOAN_CONG_SUAT!$C$2:$C$122,COLUMN()-3)&gt;=$C25,INDEX(DOAN_CONG_SUAT!$D$2:$D$122,COLUMN()-3)=INDEX(DOAN_CONG_SUAT!$C$2:$C$122,COLUMN()-3)),0,((INDEX(DOAN_CONG_SUAT!$E$2:$E$122,COLUMN()-3)+(INDEX(DOAN_CONG_SUAT!$F$2:$F$122,COLUMN()-3)-INDEX(DOAN_CONG_SUAT!$E$2:$E$122,COLUMN()-3))*(MAX($B25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25,INDEX(DOAN_CONG_SUAT!$D$2:$D$122,COLUMN()-3))-INDEX(DOAN_CONG_SUAT!$C$2:$C$122,COLUMN()-3))/(INDEX(DOAN_CONG_SUAT!$D$2:$D$122,COLUMN()-3)-INDEX(DOAN_CONG_SUAT!$C$2:$C$122,COLUMN()-3))))/2*(MIN($C25,INDEX(DOAN_CONG_SUAT!$D$2:$D$122,COLUMN()-3))-MAX($B25,INDEX(DOAN_CONG_SUAT!$C$2:$C$122,COLUMN()-3))))</x:f>
        <x:v>0</x:v>
      </x:c>
      <x:c r="DU25" t="n">
        <x:f>SUM(D25:DT25)</x:f>
        <x:v>0</x:v>
      </x:c>
      <x:c r="DV25" t="n">
        <x:f>DU25/1800</x:f>
        <x:v>0</x:v>
      </x:c>
    </x:row>
    <x:row r="26">
      <x:c r="A26" s="38" t="n">
        <x:v>25</x:v>
      </x:c>
      <x:c r="B26" s="142" t="n">
        <x:v>43200</x:v>
      </x:c>
      <x:c r="C26" s="142" t="n">
        <x:v>45000</x:v>
      </x:c>
      <x:c r="D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E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F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G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H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I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J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K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L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M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N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O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P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Q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R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S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T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U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V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W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X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Y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Z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A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B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C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D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E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F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G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H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I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J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K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L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M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N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O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P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Q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R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S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T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U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V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W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X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Y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AZ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A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B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C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D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E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F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G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H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I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J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K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L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M26" s="191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N26" s="205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O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P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Q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R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S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T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U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V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W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X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Y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BZ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A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B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C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D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E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F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G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H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I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J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K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L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M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N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O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P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Q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R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S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T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U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V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W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X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Y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CZ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A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B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C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D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E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F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G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H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I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J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K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L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M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N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O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P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Q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R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S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T26" t="n">
        <x:f>IF(OR(INDEX(DOAN_CONG_SUAT!$B$2:$B$122,COLUMN()-3)="",INDEX(DOAN_CONG_SUAT!$D$2:$D$122,COLUMN()-3)&lt;=$B26,INDEX(DOAN_CONG_SUAT!$C$2:$C$122,COLUMN()-3)&gt;=$C26,INDEX(DOAN_CONG_SUAT!$D$2:$D$122,COLUMN()-3)=INDEX(DOAN_CONG_SUAT!$C$2:$C$122,COLUMN()-3)),0,((INDEX(DOAN_CONG_SUAT!$E$2:$E$122,COLUMN()-3)+(INDEX(DOAN_CONG_SUAT!$F$2:$F$122,COLUMN()-3)-INDEX(DOAN_CONG_SUAT!$E$2:$E$122,COLUMN()-3))*(MAX($B26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26,INDEX(DOAN_CONG_SUAT!$D$2:$D$122,COLUMN()-3))-INDEX(DOAN_CONG_SUAT!$C$2:$C$122,COLUMN()-3))/(INDEX(DOAN_CONG_SUAT!$D$2:$D$122,COLUMN()-3)-INDEX(DOAN_CONG_SUAT!$C$2:$C$122,COLUMN()-3))))/2*(MIN($C26,INDEX(DOAN_CONG_SUAT!$D$2:$D$122,COLUMN()-3))-MAX($B26,INDEX(DOAN_CONG_SUAT!$C$2:$C$122,COLUMN()-3))))</x:f>
        <x:v>0</x:v>
      </x:c>
      <x:c r="DU26" t="n">
        <x:f>SUM(D26:DT26)</x:f>
        <x:v>0</x:v>
      </x:c>
      <x:c r="DV26" t="n">
        <x:f>DU26/1800</x:f>
        <x:v>0</x:v>
      </x:c>
    </x:row>
    <x:row r="27">
      <x:c r="A27" s="38" t="n">
        <x:v>26</x:v>
      </x:c>
      <x:c r="B27" s="142" t="n">
        <x:v>45000</x:v>
      </x:c>
      <x:c r="C27" s="142" t="n">
        <x:v>46800</x:v>
      </x:c>
      <x:c r="D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E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F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G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H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I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J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K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L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M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N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O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P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Q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R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S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T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U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V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W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X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Y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Z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A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B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C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D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E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F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G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H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I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J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K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L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M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N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O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P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Q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R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S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T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U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V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W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X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Y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AZ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A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B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C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D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E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F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G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H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I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J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K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L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M27" s="191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N27" s="205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O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P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Q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R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S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T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U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V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W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X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Y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BZ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A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B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C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D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E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F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G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H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I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J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K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L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M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N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O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P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Q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R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S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T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U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V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W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X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Y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CZ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A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B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C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D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E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F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G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H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I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J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K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L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M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N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O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P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Q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R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S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T27" t="n">
        <x:f>IF(OR(INDEX(DOAN_CONG_SUAT!$B$2:$B$122,COLUMN()-3)="",INDEX(DOAN_CONG_SUAT!$D$2:$D$122,COLUMN()-3)&lt;=$B27,INDEX(DOAN_CONG_SUAT!$C$2:$C$122,COLUMN()-3)&gt;=$C27,INDEX(DOAN_CONG_SUAT!$D$2:$D$122,COLUMN()-3)=INDEX(DOAN_CONG_SUAT!$C$2:$C$122,COLUMN()-3)),0,((INDEX(DOAN_CONG_SUAT!$E$2:$E$122,COLUMN()-3)+(INDEX(DOAN_CONG_SUAT!$F$2:$F$122,COLUMN()-3)-INDEX(DOAN_CONG_SUAT!$E$2:$E$122,COLUMN()-3))*(MAX($B27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27,INDEX(DOAN_CONG_SUAT!$D$2:$D$122,COLUMN()-3))-INDEX(DOAN_CONG_SUAT!$C$2:$C$122,COLUMN()-3))/(INDEX(DOAN_CONG_SUAT!$D$2:$D$122,COLUMN()-3)-INDEX(DOAN_CONG_SUAT!$C$2:$C$122,COLUMN()-3))))/2*(MIN($C27,INDEX(DOAN_CONG_SUAT!$D$2:$D$122,COLUMN()-3))-MAX($B27,INDEX(DOAN_CONG_SUAT!$C$2:$C$122,COLUMN()-3))))</x:f>
        <x:v>0</x:v>
      </x:c>
      <x:c r="DU27" t="n">
        <x:f>SUM(D27:DT27)</x:f>
        <x:v>0</x:v>
      </x:c>
      <x:c r="DV27" t="n">
        <x:f>DU27/1800</x:f>
        <x:v>0</x:v>
      </x:c>
    </x:row>
    <x:row r="28">
      <x:c r="A28" s="38" t="n">
        <x:v>27</x:v>
      </x:c>
      <x:c r="B28" s="142" t="n">
        <x:v>46800</x:v>
      </x:c>
      <x:c r="C28" s="142" t="n">
        <x:v>48600</x:v>
      </x:c>
      <x:c r="D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E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F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G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H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I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J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K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L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M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N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O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P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Q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R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S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T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U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V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W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X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Y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Z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A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B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C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D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E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F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G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H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I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J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K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L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M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N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O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P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Q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R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S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T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U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V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W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X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Y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AZ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A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B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C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D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E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F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G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H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I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J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K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L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M28" s="191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N28" s="205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O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P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Q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R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S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T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U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V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W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X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Y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BZ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A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B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C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D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E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F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G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H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I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J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K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L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M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N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O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P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Q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R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S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T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U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V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W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X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Y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CZ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A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B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C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D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E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F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G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H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I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J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K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L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M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N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O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P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Q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R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S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T28" t="n">
        <x:f>IF(OR(INDEX(DOAN_CONG_SUAT!$B$2:$B$122,COLUMN()-3)="",INDEX(DOAN_CONG_SUAT!$D$2:$D$122,COLUMN()-3)&lt;=$B28,INDEX(DOAN_CONG_SUAT!$C$2:$C$122,COLUMN()-3)&gt;=$C28,INDEX(DOAN_CONG_SUAT!$D$2:$D$122,COLUMN()-3)=INDEX(DOAN_CONG_SUAT!$C$2:$C$122,COLUMN()-3)),0,((INDEX(DOAN_CONG_SUAT!$E$2:$E$122,COLUMN()-3)+(INDEX(DOAN_CONG_SUAT!$F$2:$F$122,COLUMN()-3)-INDEX(DOAN_CONG_SUAT!$E$2:$E$122,COLUMN()-3))*(MAX($B28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28,INDEX(DOAN_CONG_SUAT!$D$2:$D$122,COLUMN()-3))-INDEX(DOAN_CONG_SUAT!$C$2:$C$122,COLUMN()-3))/(INDEX(DOAN_CONG_SUAT!$D$2:$D$122,COLUMN()-3)-INDEX(DOAN_CONG_SUAT!$C$2:$C$122,COLUMN()-3))))/2*(MIN($C28,INDEX(DOAN_CONG_SUAT!$D$2:$D$122,COLUMN()-3))-MAX($B28,INDEX(DOAN_CONG_SUAT!$C$2:$C$122,COLUMN()-3))))</x:f>
        <x:v>0</x:v>
      </x:c>
      <x:c r="DU28" t="n">
        <x:f>SUM(D28:DT28)</x:f>
        <x:v>0</x:v>
      </x:c>
      <x:c r="DV28" t="n">
        <x:f>DU28/1800</x:f>
        <x:v>0</x:v>
      </x:c>
    </x:row>
    <x:row r="29">
      <x:c r="A29" s="38" t="n">
        <x:v>28</x:v>
      </x:c>
      <x:c r="B29" s="142" t="n">
        <x:v>48600</x:v>
      </x:c>
      <x:c r="C29" s="142" t="n">
        <x:v>50400</x:v>
      </x:c>
      <x:c r="D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E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F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G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H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I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J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K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L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M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N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O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P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Q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R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S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T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U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V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W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X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Y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Z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A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B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C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D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E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F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G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H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I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J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K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L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M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N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O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P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Q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R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S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T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U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V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W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X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Y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AZ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A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B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C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D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E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F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G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H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I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J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K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L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M29" s="191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N29" s="205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O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P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Q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R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S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T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U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V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W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X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Y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BZ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A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B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C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D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E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F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G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H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I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J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K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L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M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N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O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P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Q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R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S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T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U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V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W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X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Y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CZ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A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B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C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D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E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F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G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H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I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J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K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L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M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N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O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P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Q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R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S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T29" t="n">
        <x:f>IF(OR(INDEX(DOAN_CONG_SUAT!$B$2:$B$122,COLUMN()-3)="",INDEX(DOAN_CONG_SUAT!$D$2:$D$122,COLUMN()-3)&lt;=$B29,INDEX(DOAN_CONG_SUAT!$C$2:$C$122,COLUMN()-3)&gt;=$C29,INDEX(DOAN_CONG_SUAT!$D$2:$D$122,COLUMN()-3)=INDEX(DOAN_CONG_SUAT!$C$2:$C$122,COLUMN()-3)),0,((INDEX(DOAN_CONG_SUAT!$E$2:$E$122,COLUMN()-3)+(INDEX(DOAN_CONG_SUAT!$F$2:$F$122,COLUMN()-3)-INDEX(DOAN_CONG_SUAT!$E$2:$E$122,COLUMN()-3))*(MAX($B29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29,INDEX(DOAN_CONG_SUAT!$D$2:$D$122,COLUMN()-3))-INDEX(DOAN_CONG_SUAT!$C$2:$C$122,COLUMN()-3))/(INDEX(DOAN_CONG_SUAT!$D$2:$D$122,COLUMN()-3)-INDEX(DOAN_CONG_SUAT!$C$2:$C$122,COLUMN()-3))))/2*(MIN($C29,INDEX(DOAN_CONG_SUAT!$D$2:$D$122,COLUMN()-3))-MAX($B29,INDEX(DOAN_CONG_SUAT!$C$2:$C$122,COLUMN()-3))))</x:f>
        <x:v>0</x:v>
      </x:c>
      <x:c r="DU29" t="n">
        <x:f>SUM(D29:DT29)</x:f>
        <x:v>0</x:v>
      </x:c>
      <x:c r="DV29" t="n">
        <x:f>DU29/1800</x:f>
        <x:v>0</x:v>
      </x:c>
    </x:row>
    <x:row r="30">
      <x:c r="A30" s="38" t="n">
        <x:v>29</x:v>
      </x:c>
      <x:c r="B30" s="142" t="n">
        <x:v>50400</x:v>
      </x:c>
      <x:c r="C30" s="142" t="n">
        <x:v>52200</x:v>
      </x:c>
      <x:c r="D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E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F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G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H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I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J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K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L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M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N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O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P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Q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R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S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T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U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V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W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X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Y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Z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A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B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C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D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E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F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G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H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I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J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K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L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M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N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O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P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Q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R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S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T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U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V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W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X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Y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AZ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A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B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C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D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E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F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G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H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I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J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K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L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M30" s="191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N30" s="205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O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P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Q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R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S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T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U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V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W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X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Y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BZ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A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B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C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D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E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F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G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H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I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J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K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L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M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N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O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P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Q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R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S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T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U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V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W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X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Y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CZ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A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B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C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D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E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F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G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H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I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J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K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L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M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N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O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P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Q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R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S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T30" t="n">
        <x:f>IF(OR(INDEX(DOAN_CONG_SUAT!$B$2:$B$122,COLUMN()-3)="",INDEX(DOAN_CONG_SUAT!$D$2:$D$122,COLUMN()-3)&lt;=$B30,INDEX(DOAN_CONG_SUAT!$C$2:$C$122,COLUMN()-3)&gt;=$C30,INDEX(DOAN_CONG_SUAT!$D$2:$D$122,COLUMN()-3)=INDEX(DOAN_CONG_SUAT!$C$2:$C$122,COLUMN()-3)),0,((INDEX(DOAN_CONG_SUAT!$E$2:$E$122,COLUMN()-3)+(INDEX(DOAN_CONG_SUAT!$F$2:$F$122,COLUMN()-3)-INDEX(DOAN_CONG_SUAT!$E$2:$E$122,COLUMN()-3))*(MAX($B30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30,INDEX(DOAN_CONG_SUAT!$D$2:$D$122,COLUMN()-3))-INDEX(DOAN_CONG_SUAT!$C$2:$C$122,COLUMN()-3))/(INDEX(DOAN_CONG_SUAT!$D$2:$D$122,COLUMN()-3)-INDEX(DOAN_CONG_SUAT!$C$2:$C$122,COLUMN()-3))))/2*(MIN($C30,INDEX(DOAN_CONG_SUAT!$D$2:$D$122,COLUMN()-3))-MAX($B30,INDEX(DOAN_CONG_SUAT!$C$2:$C$122,COLUMN()-3))))</x:f>
        <x:v>0</x:v>
      </x:c>
      <x:c r="DU30" t="n">
        <x:f>SUM(D30:DT30)</x:f>
        <x:v>0</x:v>
      </x:c>
      <x:c r="DV30" t="n">
        <x:f>DU30/1800</x:f>
        <x:v>0</x:v>
      </x:c>
    </x:row>
    <x:row r="31">
      <x:c r="A31" s="38" t="n">
        <x:v>30</x:v>
      </x:c>
      <x:c r="B31" s="142" t="n">
        <x:v>52200</x:v>
      </x:c>
      <x:c r="C31" s="142" t="n">
        <x:v>54000</x:v>
      </x:c>
      <x:c r="D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E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F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G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H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I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J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K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L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M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N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O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P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Q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R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S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T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U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V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W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X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Y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Z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A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B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C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D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E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F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G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H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I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J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K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L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M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N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O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P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Q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R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S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T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U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V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W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X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Y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AZ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A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B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C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D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E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F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G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H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I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J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K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L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M31" s="19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N31" s="205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O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P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Q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R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S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T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U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V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W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X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Y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BZ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A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B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C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D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E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F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G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H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I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J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K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L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M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N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O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P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Q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R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S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T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U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V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W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X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Y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CZ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A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B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C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D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E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F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G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H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I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J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K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L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M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N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O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P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Q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R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S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T31" t="n">
        <x:f>IF(OR(INDEX(DOAN_CONG_SUAT!$B$2:$B$122,COLUMN()-3)="",INDEX(DOAN_CONG_SUAT!$D$2:$D$122,COLUMN()-3)&lt;=$B31,INDEX(DOAN_CONG_SUAT!$C$2:$C$122,COLUMN()-3)&gt;=$C31,INDEX(DOAN_CONG_SUAT!$D$2:$D$122,COLUMN()-3)=INDEX(DOAN_CONG_SUAT!$C$2:$C$122,COLUMN()-3)),0,((INDEX(DOAN_CONG_SUAT!$E$2:$E$122,COLUMN()-3)+(INDEX(DOAN_CONG_SUAT!$F$2:$F$122,COLUMN()-3)-INDEX(DOAN_CONG_SUAT!$E$2:$E$122,COLUMN()-3))*(MAX($B31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31,INDEX(DOAN_CONG_SUAT!$D$2:$D$122,COLUMN()-3))-INDEX(DOAN_CONG_SUAT!$C$2:$C$122,COLUMN()-3))/(INDEX(DOAN_CONG_SUAT!$D$2:$D$122,COLUMN()-3)-INDEX(DOAN_CONG_SUAT!$C$2:$C$122,COLUMN()-3))))/2*(MIN($C31,INDEX(DOAN_CONG_SUAT!$D$2:$D$122,COLUMN()-3))-MAX($B31,INDEX(DOAN_CONG_SUAT!$C$2:$C$122,COLUMN()-3))))</x:f>
        <x:v>0</x:v>
      </x:c>
      <x:c r="DU31" t="n">
        <x:f>SUM(D31:DT31)</x:f>
        <x:v>0</x:v>
      </x:c>
      <x:c r="DV31" t="n">
        <x:f>DU31/1800</x:f>
        <x:v>0</x:v>
      </x:c>
    </x:row>
    <x:row r="32">
      <x:c r="A32" s="38" t="n">
        <x:v>31</x:v>
      </x:c>
      <x:c r="B32" s="142" t="n">
        <x:v>54000</x:v>
      </x:c>
      <x:c r="C32" s="142" t="n">
        <x:v>55800</x:v>
      </x:c>
      <x:c r="D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E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F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G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H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I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J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K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L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M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N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O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P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Q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R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S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T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U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V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W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X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Y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Z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A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B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C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D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E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F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G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H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I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J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K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L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M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N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O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P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Q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R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S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T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U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V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W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X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Y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AZ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A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B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C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D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E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F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G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H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I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J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K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L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M32" s="191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N32" s="205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O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P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Q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R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S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T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U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V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W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X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Y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BZ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A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B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C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D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E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F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G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H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I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J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K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L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M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N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O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P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Q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R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S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T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U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V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W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X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Y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CZ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A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B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C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D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E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F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G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H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I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J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K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L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M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N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O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P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Q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R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S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T32" t="n">
        <x:f>IF(OR(INDEX(DOAN_CONG_SUAT!$B$2:$B$122,COLUMN()-3)="",INDEX(DOAN_CONG_SUAT!$D$2:$D$122,COLUMN()-3)&lt;=$B32,INDEX(DOAN_CONG_SUAT!$C$2:$C$122,COLUMN()-3)&gt;=$C32,INDEX(DOAN_CONG_SUAT!$D$2:$D$122,COLUMN()-3)=INDEX(DOAN_CONG_SUAT!$C$2:$C$122,COLUMN()-3)),0,((INDEX(DOAN_CONG_SUAT!$E$2:$E$122,COLUMN()-3)+(INDEX(DOAN_CONG_SUAT!$F$2:$F$122,COLUMN()-3)-INDEX(DOAN_CONG_SUAT!$E$2:$E$122,COLUMN()-3))*(MAX($B32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32,INDEX(DOAN_CONG_SUAT!$D$2:$D$122,COLUMN()-3))-INDEX(DOAN_CONG_SUAT!$C$2:$C$122,COLUMN()-3))/(INDEX(DOAN_CONG_SUAT!$D$2:$D$122,COLUMN()-3)-INDEX(DOAN_CONG_SUAT!$C$2:$C$122,COLUMN()-3))))/2*(MIN($C32,INDEX(DOAN_CONG_SUAT!$D$2:$D$122,COLUMN()-3))-MAX($B32,INDEX(DOAN_CONG_SUAT!$C$2:$C$122,COLUMN()-3))))</x:f>
        <x:v>0</x:v>
      </x:c>
      <x:c r="DU32" t="n">
        <x:f>SUM(D32:DT32)</x:f>
        <x:v>0</x:v>
      </x:c>
      <x:c r="DV32" t="n">
        <x:f>DU32/1800</x:f>
        <x:v>0</x:v>
      </x:c>
    </x:row>
    <x:row r="33">
      <x:c r="A33" s="38" t="n">
        <x:v>32</x:v>
      </x:c>
      <x:c r="B33" s="142" t="n">
        <x:v>55800</x:v>
      </x:c>
      <x:c r="C33" s="142" t="n">
        <x:v>57600</x:v>
      </x:c>
      <x:c r="D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E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F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G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H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I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J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K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L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M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N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O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P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Q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R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S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T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U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V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W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X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Y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Z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A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B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C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D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E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F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G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H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I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J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K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L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M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N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O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P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Q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R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S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T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U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V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W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X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Y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AZ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A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B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C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D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E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F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G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H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I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J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K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L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M33" s="191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N33" s="205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O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P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Q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R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S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T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U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V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W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X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Y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BZ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A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B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C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D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E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F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G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H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I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J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K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L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M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N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O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P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Q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R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S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T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U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V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W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X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Y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CZ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A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B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C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D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E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F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G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H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I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J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K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L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M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N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O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P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Q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R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S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T33" t="n">
        <x:f>IF(OR(INDEX(DOAN_CONG_SUAT!$B$2:$B$122,COLUMN()-3)="",INDEX(DOAN_CONG_SUAT!$D$2:$D$122,COLUMN()-3)&lt;=$B33,INDEX(DOAN_CONG_SUAT!$C$2:$C$122,COLUMN()-3)&gt;=$C33,INDEX(DOAN_CONG_SUAT!$D$2:$D$122,COLUMN()-3)=INDEX(DOAN_CONG_SUAT!$C$2:$C$122,COLUMN()-3)),0,((INDEX(DOAN_CONG_SUAT!$E$2:$E$122,COLUMN()-3)+(INDEX(DOAN_CONG_SUAT!$F$2:$F$122,COLUMN()-3)-INDEX(DOAN_CONG_SUAT!$E$2:$E$122,COLUMN()-3))*(MAX($B33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33,INDEX(DOAN_CONG_SUAT!$D$2:$D$122,COLUMN()-3))-INDEX(DOAN_CONG_SUAT!$C$2:$C$122,COLUMN()-3))/(INDEX(DOAN_CONG_SUAT!$D$2:$D$122,COLUMN()-3)-INDEX(DOAN_CONG_SUAT!$C$2:$C$122,COLUMN()-3))))/2*(MIN($C33,INDEX(DOAN_CONG_SUAT!$D$2:$D$122,COLUMN()-3))-MAX($B33,INDEX(DOAN_CONG_SUAT!$C$2:$C$122,COLUMN()-3))))</x:f>
        <x:v>0</x:v>
      </x:c>
      <x:c r="DU33" t="n">
        <x:f>SUM(D33:DT33)</x:f>
        <x:v>0</x:v>
      </x:c>
      <x:c r="DV33" t="n">
        <x:f>DU33/1800</x:f>
        <x:v>0</x:v>
      </x:c>
    </x:row>
    <x:row r="34">
      <x:c r="A34" s="38" t="n">
        <x:v>33</x:v>
      </x:c>
      <x:c r="B34" s="142" t="n">
        <x:v>57600</x:v>
      </x:c>
      <x:c r="C34" s="142" t="n">
        <x:v>59400</x:v>
      </x:c>
      <x:c r="D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E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F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G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H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I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J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K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L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M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N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O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P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Q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R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S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T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U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V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W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X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Y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Z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A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B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C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D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E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F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G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H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I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J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K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L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M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N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O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P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Q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R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S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T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U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V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W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X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Y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AZ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A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B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C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D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E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F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G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H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I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J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K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L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M34" s="191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N34" s="205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O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P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Q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R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S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T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U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V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W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X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Y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BZ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A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B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C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D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E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F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G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H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I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J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K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L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M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N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O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P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Q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R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S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T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U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V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W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X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Y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CZ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A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B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C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D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E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F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G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H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I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J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K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L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M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N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O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P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Q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R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S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T34" t="n">
        <x:f>IF(OR(INDEX(DOAN_CONG_SUAT!$B$2:$B$122,COLUMN()-3)="",INDEX(DOAN_CONG_SUAT!$D$2:$D$122,COLUMN()-3)&lt;=$B34,INDEX(DOAN_CONG_SUAT!$C$2:$C$122,COLUMN()-3)&gt;=$C34,INDEX(DOAN_CONG_SUAT!$D$2:$D$122,COLUMN()-3)=INDEX(DOAN_CONG_SUAT!$C$2:$C$122,COLUMN()-3)),0,((INDEX(DOAN_CONG_SUAT!$E$2:$E$122,COLUMN()-3)+(INDEX(DOAN_CONG_SUAT!$F$2:$F$122,COLUMN()-3)-INDEX(DOAN_CONG_SUAT!$E$2:$E$122,COLUMN()-3))*(MAX($B34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34,INDEX(DOAN_CONG_SUAT!$D$2:$D$122,COLUMN()-3))-INDEX(DOAN_CONG_SUAT!$C$2:$C$122,COLUMN()-3))/(INDEX(DOAN_CONG_SUAT!$D$2:$D$122,COLUMN()-3)-INDEX(DOAN_CONG_SUAT!$C$2:$C$122,COLUMN()-3))))/2*(MIN($C34,INDEX(DOAN_CONG_SUAT!$D$2:$D$122,COLUMN()-3))-MAX($B34,INDEX(DOAN_CONG_SUAT!$C$2:$C$122,COLUMN()-3))))</x:f>
        <x:v>0</x:v>
      </x:c>
      <x:c r="DU34" t="n">
        <x:f>SUM(D34:DT34)</x:f>
        <x:v>0</x:v>
      </x:c>
      <x:c r="DV34" t="n">
        <x:f>DU34/1800</x:f>
        <x:v>0</x:v>
      </x:c>
    </x:row>
    <x:row r="35">
      <x:c r="A35" s="38" t="n">
        <x:v>34</x:v>
      </x:c>
      <x:c r="B35" s="142" t="n">
        <x:v>59400</x:v>
      </x:c>
      <x:c r="C35" s="142" t="n">
        <x:v>61200</x:v>
      </x:c>
      <x:c r="D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E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F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G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H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I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J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K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L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M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N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O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P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Q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R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S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T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U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V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W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X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Y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Z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A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B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C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D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E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F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G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H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I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J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K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L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M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N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O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P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Q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R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S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T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U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V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W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X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Y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AZ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A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B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C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D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E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F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G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H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I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J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K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L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M35" s="191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N35" s="20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O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P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Q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R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S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T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U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V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W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X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Y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BZ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A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B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C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D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E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F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G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H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I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J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K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L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M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N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O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P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Q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R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S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T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U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V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W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X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Y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CZ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A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B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C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D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E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F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G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H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I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J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K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L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M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N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O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P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Q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R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S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T35" t="n">
        <x:f>IF(OR(INDEX(DOAN_CONG_SUAT!$B$2:$B$122,COLUMN()-3)="",INDEX(DOAN_CONG_SUAT!$D$2:$D$122,COLUMN()-3)&lt;=$B35,INDEX(DOAN_CONG_SUAT!$C$2:$C$122,COLUMN()-3)&gt;=$C35,INDEX(DOAN_CONG_SUAT!$D$2:$D$122,COLUMN()-3)=INDEX(DOAN_CONG_SUAT!$C$2:$C$122,COLUMN()-3)),0,((INDEX(DOAN_CONG_SUAT!$E$2:$E$122,COLUMN()-3)+(INDEX(DOAN_CONG_SUAT!$F$2:$F$122,COLUMN()-3)-INDEX(DOAN_CONG_SUAT!$E$2:$E$122,COLUMN()-3))*(MAX($B35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35,INDEX(DOAN_CONG_SUAT!$D$2:$D$122,COLUMN()-3))-INDEX(DOAN_CONG_SUAT!$C$2:$C$122,COLUMN()-3))/(INDEX(DOAN_CONG_SUAT!$D$2:$D$122,COLUMN()-3)-INDEX(DOAN_CONG_SUAT!$C$2:$C$122,COLUMN()-3))))/2*(MIN($C35,INDEX(DOAN_CONG_SUAT!$D$2:$D$122,COLUMN()-3))-MAX($B35,INDEX(DOAN_CONG_SUAT!$C$2:$C$122,COLUMN()-3))))</x:f>
        <x:v>0</x:v>
      </x:c>
      <x:c r="DU35" t="n">
        <x:f>SUM(D35:DT35)</x:f>
        <x:v>0</x:v>
      </x:c>
      <x:c r="DV35" t="n">
        <x:f>DU35/1800</x:f>
        <x:v>0</x:v>
      </x:c>
    </x:row>
    <x:row r="36">
      <x:c r="A36" s="38" t="n">
        <x:v>35</x:v>
      </x:c>
      <x:c r="B36" s="142" t="n">
        <x:v>61200</x:v>
      </x:c>
      <x:c r="C36" s="142" t="n">
        <x:v>63000</x:v>
      </x:c>
      <x:c r="D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E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F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G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H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I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J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K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L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M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N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O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P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Q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R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S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T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U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V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W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X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Y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Z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A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B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C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D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E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F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G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H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I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J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K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L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M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N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O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P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Q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R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S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T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U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V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W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X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Y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AZ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A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B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C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D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E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F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G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H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I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J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K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L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M36" s="191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N36" s="205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O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P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Q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R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S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T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U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V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W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X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Y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BZ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A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B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C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D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E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F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G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H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I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J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K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L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M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N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O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P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Q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R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S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T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U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V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W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X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Y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CZ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A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B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C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D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E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F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G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H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I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J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K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L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M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N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O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P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Q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R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S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T36" t="n">
        <x:f>IF(OR(INDEX(DOAN_CONG_SUAT!$B$2:$B$122,COLUMN()-3)="",INDEX(DOAN_CONG_SUAT!$D$2:$D$122,COLUMN()-3)&lt;=$B36,INDEX(DOAN_CONG_SUAT!$C$2:$C$122,COLUMN()-3)&gt;=$C36,INDEX(DOAN_CONG_SUAT!$D$2:$D$122,COLUMN()-3)=INDEX(DOAN_CONG_SUAT!$C$2:$C$122,COLUMN()-3)),0,((INDEX(DOAN_CONG_SUAT!$E$2:$E$122,COLUMN()-3)+(INDEX(DOAN_CONG_SUAT!$F$2:$F$122,COLUMN()-3)-INDEX(DOAN_CONG_SUAT!$E$2:$E$122,COLUMN()-3))*(MAX($B36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36,INDEX(DOAN_CONG_SUAT!$D$2:$D$122,COLUMN()-3))-INDEX(DOAN_CONG_SUAT!$C$2:$C$122,COLUMN()-3))/(INDEX(DOAN_CONG_SUAT!$D$2:$D$122,COLUMN()-3)-INDEX(DOAN_CONG_SUAT!$C$2:$C$122,COLUMN()-3))))/2*(MIN($C36,INDEX(DOAN_CONG_SUAT!$D$2:$D$122,COLUMN()-3))-MAX($B36,INDEX(DOAN_CONG_SUAT!$C$2:$C$122,COLUMN()-3))))</x:f>
        <x:v>0</x:v>
      </x:c>
      <x:c r="DU36" t="n">
        <x:f>SUM(D36:DT36)</x:f>
        <x:v>0</x:v>
      </x:c>
      <x:c r="DV36" t="n">
        <x:f>DU36/1800</x:f>
        <x:v>0</x:v>
      </x:c>
    </x:row>
    <x:row r="37">
      <x:c r="A37" s="38" t="n">
        <x:v>36</x:v>
      </x:c>
      <x:c r="B37" s="142" t="n">
        <x:v>63000</x:v>
      </x:c>
      <x:c r="C37" s="142" t="n">
        <x:v>64800</x:v>
      </x:c>
      <x:c r="D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E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F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G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H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I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J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K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L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M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N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O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P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Q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R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S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T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U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V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W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X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Y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Z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A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B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C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D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E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F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G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H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I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J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K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L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M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N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O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P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Q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R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S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T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U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V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W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X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Y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AZ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A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B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C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D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E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F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G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H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I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J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K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L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M37" s="191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N37" s="205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O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P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Q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R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S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T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U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V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W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X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Y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BZ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A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B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C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D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E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F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G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H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I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J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K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L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M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N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O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P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Q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R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S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T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U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V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W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X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Y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CZ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A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B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C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D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E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F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G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H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I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J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K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L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M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N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O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P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Q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R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S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T37" t="n">
        <x:f>IF(OR(INDEX(DOAN_CONG_SUAT!$B$2:$B$122,COLUMN()-3)="",INDEX(DOAN_CONG_SUAT!$D$2:$D$122,COLUMN()-3)&lt;=$B37,INDEX(DOAN_CONG_SUAT!$C$2:$C$122,COLUMN()-3)&gt;=$C37,INDEX(DOAN_CONG_SUAT!$D$2:$D$122,COLUMN()-3)=INDEX(DOAN_CONG_SUAT!$C$2:$C$122,COLUMN()-3)),0,((INDEX(DOAN_CONG_SUAT!$E$2:$E$122,COLUMN()-3)+(INDEX(DOAN_CONG_SUAT!$F$2:$F$122,COLUMN()-3)-INDEX(DOAN_CONG_SUAT!$E$2:$E$122,COLUMN()-3))*(MAX($B37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37,INDEX(DOAN_CONG_SUAT!$D$2:$D$122,COLUMN()-3))-INDEX(DOAN_CONG_SUAT!$C$2:$C$122,COLUMN()-3))/(INDEX(DOAN_CONG_SUAT!$D$2:$D$122,COLUMN()-3)-INDEX(DOAN_CONG_SUAT!$C$2:$C$122,COLUMN()-3))))/2*(MIN($C37,INDEX(DOAN_CONG_SUAT!$D$2:$D$122,COLUMN()-3))-MAX($B37,INDEX(DOAN_CONG_SUAT!$C$2:$C$122,COLUMN()-3))))</x:f>
        <x:v>0</x:v>
      </x:c>
      <x:c r="DU37" t="n">
        <x:f>SUM(D37:DT37)</x:f>
        <x:v>0</x:v>
      </x:c>
      <x:c r="DV37" t="n">
        <x:f>DU37/1800</x:f>
        <x:v>0</x:v>
      </x:c>
    </x:row>
    <x:row r="38">
      <x:c r="A38" s="38" t="n">
        <x:v>37</x:v>
      </x:c>
      <x:c r="B38" s="142" t="n">
        <x:v>64800</x:v>
      </x:c>
      <x:c r="C38" s="142" t="n">
        <x:v>66600</x:v>
      </x:c>
      <x:c r="D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E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F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G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H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I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J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K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L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M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N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O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P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Q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R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S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T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U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V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W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X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Y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Z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A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B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C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D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E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F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G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H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I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J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K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L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M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N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O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P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Q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R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S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T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U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V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W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X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Y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AZ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A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B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C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D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E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F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G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H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I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J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K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L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M38" s="191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N38" s="205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O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P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Q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R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S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T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U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V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W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X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Y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BZ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A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B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C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D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E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F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G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H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I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J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K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L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M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N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O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P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Q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R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S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T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U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V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W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X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Y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CZ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A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B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C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D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E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F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G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H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I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J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K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L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M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N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O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P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Q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R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S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T38" t="n">
        <x:f>IF(OR(INDEX(DOAN_CONG_SUAT!$B$2:$B$122,COLUMN()-3)="",INDEX(DOAN_CONG_SUAT!$D$2:$D$122,COLUMN()-3)&lt;=$B38,INDEX(DOAN_CONG_SUAT!$C$2:$C$122,COLUMN()-3)&gt;=$C38,INDEX(DOAN_CONG_SUAT!$D$2:$D$122,COLUMN()-3)=INDEX(DOAN_CONG_SUAT!$C$2:$C$122,COLUMN()-3)),0,((INDEX(DOAN_CONG_SUAT!$E$2:$E$122,COLUMN()-3)+(INDEX(DOAN_CONG_SUAT!$F$2:$F$122,COLUMN()-3)-INDEX(DOAN_CONG_SUAT!$E$2:$E$122,COLUMN()-3))*(MAX($B38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38,INDEX(DOAN_CONG_SUAT!$D$2:$D$122,COLUMN()-3))-INDEX(DOAN_CONG_SUAT!$C$2:$C$122,COLUMN()-3))/(INDEX(DOAN_CONG_SUAT!$D$2:$D$122,COLUMN()-3)-INDEX(DOAN_CONG_SUAT!$C$2:$C$122,COLUMN()-3))))/2*(MIN($C38,INDEX(DOAN_CONG_SUAT!$D$2:$D$122,COLUMN()-3))-MAX($B38,INDEX(DOAN_CONG_SUAT!$C$2:$C$122,COLUMN()-3))))</x:f>
        <x:v>0</x:v>
      </x:c>
      <x:c r="DU38" t="n">
        <x:f>SUM(D38:DT38)</x:f>
        <x:v>0</x:v>
      </x:c>
      <x:c r="DV38" t="n">
        <x:f>DU38/1800</x:f>
        <x:v>0</x:v>
      </x:c>
    </x:row>
    <x:row r="39">
      <x:c r="A39" s="38" t="n">
        <x:v>38</x:v>
      </x:c>
      <x:c r="B39" s="142" t="n">
        <x:v>66600</x:v>
      </x:c>
      <x:c r="C39" s="142" t="n">
        <x:v>68400</x:v>
      </x:c>
      <x:c r="D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E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F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G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H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I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J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K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L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M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N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O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P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Q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R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S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T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U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V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W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X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Y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Z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A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B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C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D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E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F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G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H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I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J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K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L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M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N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O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P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Q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R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S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T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U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V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W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X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Y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AZ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A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B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C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D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E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F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G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H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I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J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K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L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M39" s="191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N39" s="205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O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P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Q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R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S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T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U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V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W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X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Y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BZ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A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B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C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D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E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F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G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H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I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J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K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L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M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N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O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P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Q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R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S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T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U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V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W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X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Y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CZ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A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B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C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D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E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F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G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H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I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J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K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L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M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N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O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P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Q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R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S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T39" t="n">
        <x:f>IF(OR(INDEX(DOAN_CONG_SUAT!$B$2:$B$122,COLUMN()-3)="",INDEX(DOAN_CONG_SUAT!$D$2:$D$122,COLUMN()-3)&lt;=$B39,INDEX(DOAN_CONG_SUAT!$C$2:$C$122,COLUMN()-3)&gt;=$C39,INDEX(DOAN_CONG_SUAT!$D$2:$D$122,COLUMN()-3)=INDEX(DOAN_CONG_SUAT!$C$2:$C$122,COLUMN()-3)),0,((INDEX(DOAN_CONG_SUAT!$E$2:$E$122,COLUMN()-3)+(INDEX(DOAN_CONG_SUAT!$F$2:$F$122,COLUMN()-3)-INDEX(DOAN_CONG_SUAT!$E$2:$E$122,COLUMN()-3))*(MAX($B39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39,INDEX(DOAN_CONG_SUAT!$D$2:$D$122,COLUMN()-3))-INDEX(DOAN_CONG_SUAT!$C$2:$C$122,COLUMN()-3))/(INDEX(DOAN_CONG_SUAT!$D$2:$D$122,COLUMN()-3)-INDEX(DOAN_CONG_SUAT!$C$2:$C$122,COLUMN()-3))))/2*(MIN($C39,INDEX(DOAN_CONG_SUAT!$D$2:$D$122,COLUMN()-3))-MAX($B39,INDEX(DOAN_CONG_SUAT!$C$2:$C$122,COLUMN()-3))))</x:f>
        <x:v>0</x:v>
      </x:c>
      <x:c r="DU39" t="n">
        <x:f>SUM(D39:DT39)</x:f>
        <x:v>0</x:v>
      </x:c>
      <x:c r="DV39" t="n">
        <x:f>DU39/1800</x:f>
        <x:v>0</x:v>
      </x:c>
    </x:row>
    <x:row r="40">
      <x:c r="A40" s="38" t="n">
        <x:v>39</x:v>
      </x:c>
      <x:c r="B40" s="142" t="n">
        <x:v>68400</x:v>
      </x:c>
      <x:c r="C40" s="142" t="n">
        <x:v>70200</x:v>
      </x:c>
      <x:c r="D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E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F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G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H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I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J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K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L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M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N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O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P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Q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R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S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T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U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V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W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X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Y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Z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A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B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C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D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E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F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G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H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I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J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K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L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M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N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O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P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Q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R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S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T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U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V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W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X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Y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AZ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A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B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C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D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E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F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G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H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I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J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K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L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M40" s="191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N40" s="205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O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P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Q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R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S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T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U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V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W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X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Y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BZ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A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B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C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D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E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F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G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H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I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J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K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L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M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N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O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P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Q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R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S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T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U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V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W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X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Y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CZ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A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B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C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D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E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F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G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H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I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J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K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L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M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N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O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P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Q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R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S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T40" t="n">
        <x:f>IF(OR(INDEX(DOAN_CONG_SUAT!$B$2:$B$122,COLUMN()-3)="",INDEX(DOAN_CONG_SUAT!$D$2:$D$122,COLUMN()-3)&lt;=$B40,INDEX(DOAN_CONG_SUAT!$C$2:$C$122,COLUMN()-3)&gt;=$C40,INDEX(DOAN_CONG_SUAT!$D$2:$D$122,COLUMN()-3)=INDEX(DOAN_CONG_SUAT!$C$2:$C$122,COLUMN()-3)),0,((INDEX(DOAN_CONG_SUAT!$E$2:$E$122,COLUMN()-3)+(INDEX(DOAN_CONG_SUAT!$F$2:$F$122,COLUMN()-3)-INDEX(DOAN_CONG_SUAT!$E$2:$E$122,COLUMN()-3))*(MAX($B40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40,INDEX(DOAN_CONG_SUAT!$D$2:$D$122,COLUMN()-3))-INDEX(DOAN_CONG_SUAT!$C$2:$C$122,COLUMN()-3))/(INDEX(DOAN_CONG_SUAT!$D$2:$D$122,COLUMN()-3)-INDEX(DOAN_CONG_SUAT!$C$2:$C$122,COLUMN()-3))))/2*(MIN($C40,INDEX(DOAN_CONG_SUAT!$D$2:$D$122,COLUMN()-3))-MAX($B40,INDEX(DOAN_CONG_SUAT!$C$2:$C$122,COLUMN()-3))))</x:f>
        <x:v>0</x:v>
      </x:c>
      <x:c r="DU40" t="n">
        <x:f>SUM(D40:DT40)</x:f>
        <x:v>0</x:v>
      </x:c>
      <x:c r="DV40" t="n">
        <x:f>DU40/1800</x:f>
        <x:v>0</x:v>
      </x:c>
    </x:row>
    <x:row r="41">
      <x:c r="A41" s="38" t="n">
        <x:v>40</x:v>
      </x:c>
      <x:c r="B41" s="142" t="n">
        <x:v>70200</x:v>
      </x:c>
      <x:c r="C41" s="142" t="n">
        <x:v>72000</x:v>
      </x:c>
      <x:c r="D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E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F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G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H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I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J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K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L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M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N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O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P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Q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R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S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T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U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V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W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X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Y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Z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A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B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C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D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E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F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G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H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I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J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K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L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M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N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O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P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Q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R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S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T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U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V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W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X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Y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AZ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A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B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C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D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E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F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G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H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I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J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K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L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M41" s="19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N41" s="205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O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P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Q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R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S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T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U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V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W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X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Y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BZ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A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B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C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D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E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F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G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H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I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J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K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L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M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N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O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P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Q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R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S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T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U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V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W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X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Y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CZ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A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B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C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D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E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F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G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H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I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J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K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L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M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N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O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P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Q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R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S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T41" t="n">
        <x:f>IF(OR(INDEX(DOAN_CONG_SUAT!$B$2:$B$122,COLUMN()-3)="",INDEX(DOAN_CONG_SUAT!$D$2:$D$122,COLUMN()-3)&lt;=$B41,INDEX(DOAN_CONG_SUAT!$C$2:$C$122,COLUMN()-3)&gt;=$C41,INDEX(DOAN_CONG_SUAT!$D$2:$D$122,COLUMN()-3)=INDEX(DOAN_CONG_SUAT!$C$2:$C$122,COLUMN()-3)),0,((INDEX(DOAN_CONG_SUAT!$E$2:$E$122,COLUMN()-3)+(INDEX(DOAN_CONG_SUAT!$F$2:$F$122,COLUMN()-3)-INDEX(DOAN_CONG_SUAT!$E$2:$E$122,COLUMN()-3))*(MAX($B41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41,INDEX(DOAN_CONG_SUAT!$D$2:$D$122,COLUMN()-3))-INDEX(DOAN_CONG_SUAT!$C$2:$C$122,COLUMN()-3))/(INDEX(DOAN_CONG_SUAT!$D$2:$D$122,COLUMN()-3)-INDEX(DOAN_CONG_SUAT!$C$2:$C$122,COLUMN()-3))))/2*(MIN($C41,INDEX(DOAN_CONG_SUAT!$D$2:$D$122,COLUMN()-3))-MAX($B41,INDEX(DOAN_CONG_SUAT!$C$2:$C$122,COLUMN()-3))))</x:f>
        <x:v>0</x:v>
      </x:c>
      <x:c r="DU41" t="n">
        <x:f>SUM(D41:DT41)</x:f>
        <x:v>0</x:v>
      </x:c>
      <x:c r="DV41" t="n">
        <x:f>DU41/1800</x:f>
        <x:v>0</x:v>
      </x:c>
    </x:row>
    <x:row r="42">
      <x:c r="A42" s="38" t="n">
        <x:v>41</x:v>
      </x:c>
      <x:c r="B42" s="142" t="n">
        <x:v>72000</x:v>
      </x:c>
      <x:c r="C42" s="142" t="n">
        <x:v>73800</x:v>
      </x:c>
      <x:c r="D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E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F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G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H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I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J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K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L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M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N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O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P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Q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R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S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T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U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V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W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X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Y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Z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A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B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C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D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E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F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G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H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I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J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K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L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M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N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O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P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Q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R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S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T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U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V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W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X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Y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AZ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A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B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C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D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E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F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G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H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I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J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K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L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M42" s="191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N42" s="205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O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P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Q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R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S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T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U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V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W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X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Y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BZ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A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B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C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D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E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F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G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H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I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J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K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L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M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N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O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P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Q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R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S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T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U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V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W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X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Y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CZ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A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B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C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D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E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F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G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H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I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J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K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L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M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N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O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P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Q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R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S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T42" t="n">
        <x:f>IF(OR(INDEX(DOAN_CONG_SUAT!$B$2:$B$122,COLUMN()-3)="",INDEX(DOAN_CONG_SUAT!$D$2:$D$122,COLUMN()-3)&lt;=$B42,INDEX(DOAN_CONG_SUAT!$C$2:$C$122,COLUMN()-3)&gt;=$C42,INDEX(DOAN_CONG_SUAT!$D$2:$D$122,COLUMN()-3)=INDEX(DOAN_CONG_SUAT!$C$2:$C$122,COLUMN()-3)),0,((INDEX(DOAN_CONG_SUAT!$E$2:$E$122,COLUMN()-3)+(INDEX(DOAN_CONG_SUAT!$F$2:$F$122,COLUMN()-3)-INDEX(DOAN_CONG_SUAT!$E$2:$E$122,COLUMN()-3))*(MAX($B42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42,INDEX(DOAN_CONG_SUAT!$D$2:$D$122,COLUMN()-3))-INDEX(DOAN_CONG_SUAT!$C$2:$C$122,COLUMN()-3))/(INDEX(DOAN_CONG_SUAT!$D$2:$D$122,COLUMN()-3)-INDEX(DOAN_CONG_SUAT!$C$2:$C$122,COLUMN()-3))))/2*(MIN($C42,INDEX(DOAN_CONG_SUAT!$D$2:$D$122,COLUMN()-3))-MAX($B42,INDEX(DOAN_CONG_SUAT!$C$2:$C$122,COLUMN()-3))))</x:f>
        <x:v>0</x:v>
      </x:c>
      <x:c r="DU42" t="n">
        <x:f>SUM(D42:DT42)</x:f>
        <x:v>0</x:v>
      </x:c>
      <x:c r="DV42" t="n">
        <x:f>DU42/1800</x:f>
        <x:v>0</x:v>
      </x:c>
    </x:row>
    <x:row r="43">
      <x:c r="A43" s="38" t="n">
        <x:v>42</x:v>
      </x:c>
      <x:c r="B43" s="142" t="n">
        <x:v>73800</x:v>
      </x:c>
      <x:c r="C43" s="142" t="n">
        <x:v>75600</x:v>
      </x:c>
      <x:c r="D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E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F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G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H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I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J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K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L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M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N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O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P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Q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R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S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T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U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V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W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X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Y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Z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A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B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C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D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E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F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G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H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I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J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K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L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M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N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O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P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Q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R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S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T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U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V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W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X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Y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AZ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A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B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C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D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E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F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G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H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I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J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K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L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M43" s="191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N43" s="205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O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P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Q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R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S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T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U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V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W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X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Y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BZ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A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B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C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D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E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F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G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H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I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J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K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L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M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N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O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P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Q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R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S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T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U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V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W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X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Y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CZ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A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B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C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D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E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F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G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H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I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J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K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L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M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N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O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P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Q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R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S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T43" t="n">
        <x:f>IF(OR(INDEX(DOAN_CONG_SUAT!$B$2:$B$122,COLUMN()-3)="",INDEX(DOAN_CONG_SUAT!$D$2:$D$122,COLUMN()-3)&lt;=$B43,INDEX(DOAN_CONG_SUAT!$C$2:$C$122,COLUMN()-3)&gt;=$C43,INDEX(DOAN_CONG_SUAT!$D$2:$D$122,COLUMN()-3)=INDEX(DOAN_CONG_SUAT!$C$2:$C$122,COLUMN()-3)),0,((INDEX(DOAN_CONG_SUAT!$E$2:$E$122,COLUMN()-3)+(INDEX(DOAN_CONG_SUAT!$F$2:$F$122,COLUMN()-3)-INDEX(DOAN_CONG_SUAT!$E$2:$E$122,COLUMN()-3))*(MAX($B43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43,INDEX(DOAN_CONG_SUAT!$D$2:$D$122,COLUMN()-3))-INDEX(DOAN_CONG_SUAT!$C$2:$C$122,COLUMN()-3))/(INDEX(DOAN_CONG_SUAT!$D$2:$D$122,COLUMN()-3)-INDEX(DOAN_CONG_SUAT!$C$2:$C$122,COLUMN()-3))))/2*(MIN($C43,INDEX(DOAN_CONG_SUAT!$D$2:$D$122,COLUMN()-3))-MAX($B43,INDEX(DOAN_CONG_SUAT!$C$2:$C$122,COLUMN()-3))))</x:f>
        <x:v>0</x:v>
      </x:c>
      <x:c r="DU43" t="n">
        <x:f>SUM(D43:DT43)</x:f>
        <x:v>0</x:v>
      </x:c>
      <x:c r="DV43" t="n">
        <x:f>DU43/1800</x:f>
        <x:v>0</x:v>
      </x:c>
    </x:row>
    <x:row r="44">
      <x:c r="A44" s="38" t="n">
        <x:v>43</x:v>
      </x:c>
      <x:c r="B44" s="142" t="n">
        <x:v>75600</x:v>
      </x:c>
      <x:c r="C44" s="142" t="n">
        <x:v>77400</x:v>
      </x:c>
      <x:c r="D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E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F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G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H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I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J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K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L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M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N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O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P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Q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R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S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T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U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V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W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X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Y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Z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A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B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C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D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E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F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G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H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I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J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K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L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M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N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O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P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Q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R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S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T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U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V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W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X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Y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AZ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A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B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C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D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E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F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G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H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I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J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K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L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M44" s="191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N44" s="205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O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P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Q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R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S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T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U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V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W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X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Y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BZ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A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B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C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D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E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F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G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H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I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J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K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L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M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N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O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P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Q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R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S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T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U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V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W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X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Y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CZ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A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B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C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D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E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F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G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H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I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J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K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L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M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N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O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P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Q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R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S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T44" t="n">
        <x:f>IF(OR(INDEX(DOAN_CONG_SUAT!$B$2:$B$122,COLUMN()-3)="",INDEX(DOAN_CONG_SUAT!$D$2:$D$122,COLUMN()-3)&lt;=$B44,INDEX(DOAN_CONG_SUAT!$C$2:$C$122,COLUMN()-3)&gt;=$C44,INDEX(DOAN_CONG_SUAT!$D$2:$D$122,COLUMN()-3)=INDEX(DOAN_CONG_SUAT!$C$2:$C$122,COLUMN()-3)),0,((INDEX(DOAN_CONG_SUAT!$E$2:$E$122,COLUMN()-3)+(INDEX(DOAN_CONG_SUAT!$F$2:$F$122,COLUMN()-3)-INDEX(DOAN_CONG_SUAT!$E$2:$E$122,COLUMN()-3))*(MAX($B44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44,INDEX(DOAN_CONG_SUAT!$D$2:$D$122,COLUMN()-3))-INDEX(DOAN_CONG_SUAT!$C$2:$C$122,COLUMN()-3))/(INDEX(DOAN_CONG_SUAT!$D$2:$D$122,COLUMN()-3)-INDEX(DOAN_CONG_SUAT!$C$2:$C$122,COLUMN()-3))))/2*(MIN($C44,INDEX(DOAN_CONG_SUAT!$D$2:$D$122,COLUMN()-3))-MAX($B44,INDEX(DOAN_CONG_SUAT!$C$2:$C$122,COLUMN()-3))))</x:f>
        <x:v>0</x:v>
      </x:c>
      <x:c r="DU44" t="n">
        <x:f>SUM(D44:DT44)</x:f>
        <x:v>0</x:v>
      </x:c>
      <x:c r="DV44" t="n">
        <x:f>DU44/1800</x:f>
        <x:v>0</x:v>
      </x:c>
    </x:row>
    <x:row r="45">
      <x:c r="A45" s="38" t="n">
        <x:v>44</x:v>
      </x:c>
      <x:c r="B45" s="142" t="n">
        <x:v>77400</x:v>
      </x:c>
      <x:c r="C45" s="142" t="n">
        <x:v>79200</x:v>
      </x:c>
      <x:c r="D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E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F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G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H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I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J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K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L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M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N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O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P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Q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R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S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T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U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V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W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X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Y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Z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A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B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C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D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E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F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G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H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I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J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K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L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M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N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O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P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Q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R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S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T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U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V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W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X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Y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AZ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A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B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C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D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E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F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G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H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I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J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K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L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M45" s="191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N45" s="20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O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P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Q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R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S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T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U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V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W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X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Y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BZ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A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B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C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D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E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F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G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H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I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J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K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L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M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N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O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P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Q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R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S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T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U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V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W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X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Y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CZ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A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B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C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D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E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F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G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H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I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J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K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L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M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N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O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P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Q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R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S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T45" t="n">
        <x:f>IF(OR(INDEX(DOAN_CONG_SUAT!$B$2:$B$122,COLUMN()-3)="",INDEX(DOAN_CONG_SUAT!$D$2:$D$122,COLUMN()-3)&lt;=$B45,INDEX(DOAN_CONG_SUAT!$C$2:$C$122,COLUMN()-3)&gt;=$C45,INDEX(DOAN_CONG_SUAT!$D$2:$D$122,COLUMN()-3)=INDEX(DOAN_CONG_SUAT!$C$2:$C$122,COLUMN()-3)),0,((INDEX(DOAN_CONG_SUAT!$E$2:$E$122,COLUMN()-3)+(INDEX(DOAN_CONG_SUAT!$F$2:$F$122,COLUMN()-3)-INDEX(DOAN_CONG_SUAT!$E$2:$E$122,COLUMN()-3))*(MAX($B45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45,INDEX(DOAN_CONG_SUAT!$D$2:$D$122,COLUMN()-3))-INDEX(DOAN_CONG_SUAT!$C$2:$C$122,COLUMN()-3))/(INDEX(DOAN_CONG_SUAT!$D$2:$D$122,COLUMN()-3)-INDEX(DOAN_CONG_SUAT!$C$2:$C$122,COLUMN()-3))))/2*(MIN($C45,INDEX(DOAN_CONG_SUAT!$D$2:$D$122,COLUMN()-3))-MAX($B45,INDEX(DOAN_CONG_SUAT!$C$2:$C$122,COLUMN()-3))))</x:f>
        <x:v>0</x:v>
      </x:c>
      <x:c r="DU45" t="n">
        <x:f>SUM(D45:DT45)</x:f>
        <x:v>0</x:v>
      </x:c>
      <x:c r="DV45" t="n">
        <x:f>DU45/1800</x:f>
        <x:v>0</x:v>
      </x:c>
    </x:row>
    <x:row r="46">
      <x:c r="A46" s="38" t="n">
        <x:v>45</x:v>
      </x:c>
      <x:c r="B46" s="142" t="n">
        <x:v>79200</x:v>
      </x:c>
      <x:c r="C46" s="142" t="n">
        <x:v>81000</x:v>
      </x:c>
      <x:c r="D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E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F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G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H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I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J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K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L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M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N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O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P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Q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R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S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T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U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V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W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X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Y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Z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A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B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C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D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E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F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G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H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I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J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K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L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M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N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O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P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Q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R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S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T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U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V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W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X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Y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AZ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A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B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C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D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E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F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G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H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I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J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K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L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M46" s="191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N46" s="205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O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P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Q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R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S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T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U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V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W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X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Y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BZ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A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B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C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D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E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F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G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H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I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J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K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L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M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N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O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P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Q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R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S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T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U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V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W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X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Y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CZ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A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B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C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D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E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F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G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H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I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J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K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L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M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N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O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P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Q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R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S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T46" t="n">
        <x:f>IF(OR(INDEX(DOAN_CONG_SUAT!$B$2:$B$122,COLUMN()-3)="",INDEX(DOAN_CONG_SUAT!$D$2:$D$122,COLUMN()-3)&lt;=$B46,INDEX(DOAN_CONG_SUAT!$C$2:$C$122,COLUMN()-3)&gt;=$C46,INDEX(DOAN_CONG_SUAT!$D$2:$D$122,COLUMN()-3)=INDEX(DOAN_CONG_SUAT!$C$2:$C$122,COLUMN()-3)),0,((INDEX(DOAN_CONG_SUAT!$E$2:$E$122,COLUMN()-3)+(INDEX(DOAN_CONG_SUAT!$F$2:$F$122,COLUMN()-3)-INDEX(DOAN_CONG_SUAT!$E$2:$E$122,COLUMN()-3))*(MAX($B46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46,INDEX(DOAN_CONG_SUAT!$D$2:$D$122,COLUMN()-3))-INDEX(DOAN_CONG_SUAT!$C$2:$C$122,COLUMN()-3))/(INDEX(DOAN_CONG_SUAT!$D$2:$D$122,COLUMN()-3)-INDEX(DOAN_CONG_SUAT!$C$2:$C$122,COLUMN()-3))))/2*(MIN($C46,INDEX(DOAN_CONG_SUAT!$D$2:$D$122,COLUMN()-3))-MAX($B46,INDEX(DOAN_CONG_SUAT!$C$2:$C$122,COLUMN()-3))))</x:f>
        <x:v>0</x:v>
      </x:c>
      <x:c r="DU46" t="n">
        <x:f>SUM(D46:DT46)</x:f>
        <x:v>0</x:v>
      </x:c>
      <x:c r="DV46" t="n">
        <x:f>DU46/1800</x:f>
        <x:v>0</x:v>
      </x:c>
    </x:row>
    <x:row r="47">
      <x:c r="A47" s="38" t="n">
        <x:v>46</x:v>
      </x:c>
      <x:c r="B47" s="142" t="n">
        <x:v>81000</x:v>
      </x:c>
      <x:c r="C47" s="142" t="n">
        <x:v>82800</x:v>
      </x:c>
      <x:c r="D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E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F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G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H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I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J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K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L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M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N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O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P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Q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R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S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T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U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V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W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X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Y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Z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A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B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C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D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E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F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G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H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I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J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K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L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M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N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O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P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Q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R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S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T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U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V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W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X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Y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AZ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A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B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C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D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E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F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G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H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I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J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K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L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M47" s="191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N47" s="205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O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P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Q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R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S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T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U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V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W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X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Y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BZ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A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B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C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D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E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F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G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H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I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J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K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L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M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N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O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P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Q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R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S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T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U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V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W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X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Y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CZ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A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B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C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D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E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F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G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H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I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J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K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L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M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N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O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P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Q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R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S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T47" t="n">
        <x:f>IF(OR(INDEX(DOAN_CONG_SUAT!$B$2:$B$122,COLUMN()-3)="",INDEX(DOAN_CONG_SUAT!$D$2:$D$122,COLUMN()-3)&lt;=$B47,INDEX(DOAN_CONG_SUAT!$C$2:$C$122,COLUMN()-3)&gt;=$C47,INDEX(DOAN_CONG_SUAT!$D$2:$D$122,COLUMN()-3)=INDEX(DOAN_CONG_SUAT!$C$2:$C$122,COLUMN()-3)),0,((INDEX(DOAN_CONG_SUAT!$E$2:$E$122,COLUMN()-3)+(INDEX(DOAN_CONG_SUAT!$F$2:$F$122,COLUMN()-3)-INDEX(DOAN_CONG_SUAT!$E$2:$E$122,COLUMN()-3))*(MAX($B47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47,INDEX(DOAN_CONG_SUAT!$D$2:$D$122,COLUMN()-3))-INDEX(DOAN_CONG_SUAT!$C$2:$C$122,COLUMN()-3))/(INDEX(DOAN_CONG_SUAT!$D$2:$D$122,COLUMN()-3)-INDEX(DOAN_CONG_SUAT!$C$2:$C$122,COLUMN()-3))))/2*(MIN($C47,INDEX(DOAN_CONG_SUAT!$D$2:$D$122,COLUMN()-3))-MAX($B47,INDEX(DOAN_CONG_SUAT!$C$2:$C$122,COLUMN()-3))))</x:f>
        <x:v>0</x:v>
      </x:c>
      <x:c r="DU47" t="n">
        <x:f>SUM(D47:DT47)</x:f>
        <x:v>0</x:v>
      </x:c>
      <x:c r="DV47" t="n">
        <x:f>DU47/1800</x:f>
        <x:v>0</x:v>
      </x:c>
    </x:row>
    <x:row r="48">
      <x:c r="A48" s="38" t="n">
        <x:v>47</x:v>
      </x:c>
      <x:c r="B48" s="142" t="n">
        <x:v>82800</x:v>
      </x:c>
      <x:c r="C48" s="142" t="n">
        <x:v>84600</x:v>
      </x:c>
      <x:c r="D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E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F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G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H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I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J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K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L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M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N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O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P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Q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R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S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T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U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V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W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X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Y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Z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A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B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C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D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E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F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G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H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I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J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K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L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M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N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O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P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Q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R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S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T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U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V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W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X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Y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AZ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A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B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C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D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E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F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G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H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I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J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K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L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M48" s="191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N48" s="205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O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P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Q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R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S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T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U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V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W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X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Y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BZ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A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B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C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D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E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F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G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H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I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J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K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L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M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N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O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P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Q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R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S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T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U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V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W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X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Y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CZ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A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B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C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D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E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F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G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H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I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J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K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L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M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N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O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P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Q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R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S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T48" t="n">
        <x:f>IF(OR(INDEX(DOAN_CONG_SUAT!$B$2:$B$122,COLUMN()-3)="",INDEX(DOAN_CONG_SUAT!$D$2:$D$122,COLUMN()-3)&lt;=$B48,INDEX(DOAN_CONG_SUAT!$C$2:$C$122,COLUMN()-3)&gt;=$C48,INDEX(DOAN_CONG_SUAT!$D$2:$D$122,COLUMN()-3)=INDEX(DOAN_CONG_SUAT!$C$2:$C$122,COLUMN()-3)),0,((INDEX(DOAN_CONG_SUAT!$E$2:$E$122,COLUMN()-3)+(INDEX(DOAN_CONG_SUAT!$F$2:$F$122,COLUMN()-3)-INDEX(DOAN_CONG_SUAT!$E$2:$E$122,COLUMN()-3))*(MAX($B48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48,INDEX(DOAN_CONG_SUAT!$D$2:$D$122,COLUMN()-3))-INDEX(DOAN_CONG_SUAT!$C$2:$C$122,COLUMN()-3))/(INDEX(DOAN_CONG_SUAT!$D$2:$D$122,COLUMN()-3)-INDEX(DOAN_CONG_SUAT!$C$2:$C$122,COLUMN()-3))))/2*(MIN($C48,INDEX(DOAN_CONG_SUAT!$D$2:$D$122,COLUMN()-3))-MAX($B48,INDEX(DOAN_CONG_SUAT!$C$2:$C$122,COLUMN()-3))))</x:f>
        <x:v>0</x:v>
      </x:c>
      <x:c r="DU48" t="n">
        <x:f>SUM(D48:DT48)</x:f>
        <x:v>0</x:v>
      </x:c>
      <x:c r="DV48" t="n">
        <x:f>DU48/1800</x:f>
        <x:v>0</x:v>
      </x:c>
    </x:row>
    <x:row r="49">
      <x:c r="A49" s="40" t="n">
        <x:v>48</x:v>
      </x:c>
      <x:c r="B49" s="144" t="n">
        <x:v>84600</x:v>
      </x:c>
      <x:c r="C49" s="144" t="n">
        <x:v>86400</x:v>
      </x:c>
      <x:c r="D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E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F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G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H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I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J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K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L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M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N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O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P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Q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R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S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T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U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V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W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X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Y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Z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A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B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C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D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E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F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G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H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I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J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K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L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M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N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O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P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Q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R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S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T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U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V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W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X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Y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AZ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A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B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C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D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E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F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G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H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I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J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K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L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M49" s="192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N49" s="206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O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P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Q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R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S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T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U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V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W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X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Y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BZ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A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B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C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D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E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F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G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H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I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J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K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L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M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N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O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P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Q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R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S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T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U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V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W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X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Y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CZ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A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B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C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D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E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F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G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H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I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J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K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L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M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N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O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P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Q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R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S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T49" t="n">
        <x:f>IF(OR(INDEX(DOAN_CONG_SUAT!$B$2:$B$122,COLUMN()-3)="",INDEX(DOAN_CONG_SUAT!$D$2:$D$122,COLUMN()-3)&lt;=$B49,INDEX(DOAN_CONG_SUAT!$C$2:$C$122,COLUMN()-3)&gt;=$C49,INDEX(DOAN_CONG_SUAT!$D$2:$D$122,COLUMN()-3)=INDEX(DOAN_CONG_SUAT!$C$2:$C$122,COLUMN()-3)),0,((INDEX(DOAN_CONG_SUAT!$E$2:$E$122,COLUMN()-3)+(INDEX(DOAN_CONG_SUAT!$F$2:$F$122,COLUMN()-3)-INDEX(DOAN_CONG_SUAT!$E$2:$E$122,COLUMN()-3))*(MAX($B49,INDEX(DOAN_CONG_SUAT!$C$2:$C$122,COLUMN()-3))-INDEX(DOAN_CONG_SUAT!$C$2:$C$122,COLUMN()-3))/(INDEX(DOAN_CONG_SUAT!$D$2:$D$122,COLUMN()-3)-INDEX(DOAN_CONG_SUAT!$C$2:$C$122,COLUMN()-3)))+(INDEX(DOAN_CONG_SUAT!$E$2:$E$122,COLUMN()-3)+(INDEX(DOAN_CONG_SUAT!$F$2:$F$122,COLUMN()-3)-INDEX(DOAN_CONG_SUAT!$E$2:$E$122,COLUMN()-3))*(MIN($C49,INDEX(DOAN_CONG_SUAT!$D$2:$D$122,COLUMN()-3))-INDEX(DOAN_CONG_SUAT!$C$2:$C$122,COLUMN()-3))/(INDEX(DOAN_CONG_SUAT!$D$2:$D$122,COLUMN()-3)-INDEX(DOAN_CONG_SUAT!$C$2:$C$122,COLUMN()-3))))/2*(MIN($C49,INDEX(DOAN_CONG_SUAT!$D$2:$D$122,COLUMN()-3))-MAX($B49,INDEX(DOAN_CONG_SUAT!$C$2:$C$122,COLUMN()-3))))</x:f>
        <x:v>0</x:v>
      </x:c>
      <x:c r="DU49" t="n">
        <x:f>SUM(D49:DT49)</x:f>
        <x:v>0</x:v>
      </x:c>
      <x:c r="DV49" t="n">
        <x:f>DU49/1800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7" hidden="0" customWidth="1"/>
    <x:col min="14" max="14" width="38" hidden="0" customWidth="1"/>
    <x:col min="15" max="15" width="18" hidden="0" customWidth="1"/>
    <x:col min="16" max="16" width="14" hidden="0" customWidth="1"/>
    <x:col min="17" max="17" width="14" hidden="0" customWidth="1"/>
    <x:col min="18" max="18" width="48" hidden="0" customWidth="1"/>
  </x:cols>
  <x:sheetData>
    <x:row r="1">
      <x:c r="A1" s="18" t="str">
        <x:v>Chu kỳ</x:v>
      </x:c>
      <x:c r="B1" s="129" t="str">
        <x:v>Bắt đầu</x:v>
      </x:c>
      <x:c r="C1" s="129" t="str">
        <x:v>Kết thúc</x:v>
      </x:c>
      <x:c r="D1" s="129" t="str">
        <x:v>Qdd (MW)</x:v>
      </x:c>
      <x:c r="E1" s="129" t="str">
        <x:v>Qdd_V (MWh)</x:v>
      </x:c>
      <x:c r="F1" s="129" t="str">
        <x:v>Qdc (MWh)</x:v>
      </x:c>
      <x:c r="G1" s="129" t="str">
        <x:v>P_Qdc (MW)</x:v>
      </x:c>
      <x:c r="H1" s="129" t="str">
        <x:v>Ngưỡng dưới</x:v>
      </x:c>
      <x:c r="I1" s="129" t="str">
        <x:v>Ngưỡng trên</x:v>
      </x:c>
      <x:c r="J1" s="129" t="str">
        <x:v>Qmp (MWh)</x:v>
      </x:c>
      <x:c r="K1" s="129" t="str">
        <x:v>Qdư (MWh)</x:v>
      </x:c>
      <x:c r="L1" s="129" t="str">
        <x:v>Âm/Dương</x:v>
      </x:c>
      <x:c r="M1" s="129" t="str">
        <x:v>Trạng thái</x:v>
      </x:c>
      <x:c r="N1" s="19" t="str">
        <x:v>Diễn giải</x:v>
      </x:c>
      <x:c r="O1" s="241" t="str">
        <x:v>Qdd file gốc 19/7</x:v>
      </x:c>
      <x:c r="P1" s="248" t="str">
        <x:v>Chênh lệch</x:v>
      </x:c>
      <x:c r="Q1" s="248" t="str">
        <x:v>Đánh giá</x:v>
      </x:c>
      <x:c r="R1" s="242" t="str">
        <x:v>Ghi chú</x:v>
      </x:c>
    </x:row>
    <x:row r="2">
      <x:c r="A2" s="36" t="str">
        <x:f>TEXT(ROW()-1,"00")&amp;" ["&amp;TEXT(B2,"hh:mm")&amp;"-"&amp;TEXT(C2,"hh:mm")&amp;"]"</x:f>
        <x:v>01 [00:00-00:30]</x:v>
      </x:c>
      <x:c r="B2" s="210" t="n">
        <x:v>0</x:v>
      </x:c>
      <x:c r="C2" s="210" t="n">
        <x:v>0.020833333333333332</x:v>
      </x:c>
      <x:c r="D2" s="216" t="n">
        <x:f>DIEN_TICH!DV2</x:f>
        <x:v>0</x:v>
      </x:c>
      <x:c r="E2" s="216" t="str">
        <x:f>IF(D2="","",D2/2*CAI_DAT!$B$8)</x:f>
      </x:c>
      <x:c r="F2" s="216" t="str">
        <x:f>IFERROR(INDEX(CSV_6001!$C$1:$AX$50,MATCH("KwhGiao",CSV_6001!$B$1:$B$50,0),ROW()-1)/1000,"")</x:f>
      </x:c>
      <x:c r="G2" s="216" t="str">
        <x:f>IF(F2="","",F2*2)</x:f>
      </x:c>
      <x:c r="H2" s="216" t="str">
        <x:f>IF(D2="","",D2*(1-CAI_DAT!$B$9))</x:f>
      </x:c>
      <x:c r="I2" s="216" t="str">
        <x:f>IF(D2="","",D2*(1+CAI_DAT!$B$9))</x:f>
      </x:c>
      <x:c r="J2" s="216" t="str">
        <x:f>IFERROR(INDEX(CSV_6303!$C$1:$AX$50,MATCH("KwhGiao",CSV_6303!$B$1:$B$50,0),ROW()-1)/1000,"")</x:f>
      </x:c>
      <x:c r="K2" s="216" t="str">
        <x:f>IF(OR(D2="",F2="",J2=""),"",IF(OR(G2&lt;H2,G2&gt;I2),J2-E2,0))</x:f>
      </x:c>
      <x:c r="L2" s="140" t="str">
        <x:f>IF(OR(D2="",F2=""),"",IF(G2&lt;H2,"âm",IF(G2&gt;I2,"dương","trong ±3%")))</x:f>
      </x:c>
      <x:c r="M2" s="140" t="str">
        <x:f>IF(CAI_DAT!$B$4&lt;TODAY(),"Đã ghi nhận",IF(CAI_DAT!$B$4&gt;TODAY(),"Dự kiến",IF(C2&lt;=MOD(NOW(),1),"Đã ghi nhận",IF(B2&lt;=MOD(NOW(),1),"Chu kỳ hiện tại","Dự kiến"))))</x:f>
        <x:v>Đã ghi nhận</x:v>
      </x:c>
      <x:c r="N2" s="37" t="str">
        <x:v>Tính từ các đoạn công suất giao với chu kỳ</x:v>
      </x:c>
      <x:c r="O2" s="266"/>
      <x:c r="P2" s="266" t="str">
        <x:f>IF(OR(O2="",D2=""),"",D2-O2)</x:f>
      </x:c>
      <x:c r="Q2" t="str">
        <x:f>IF(P2="","",IF(ABS(P2)&lt;=0.15,"Khớp",IF(ABS(P2)&lt;=0.3,"Kiểm tra","Lệch lớn")))</x:f>
      </x:c>
      <x:c r="R2" t="str"/>
    </x:row>
    <x:row r="3">
      <x:c r="A3" s="38" t="str">
        <x:f>TEXT(ROW()-1,"00")&amp;" ["&amp;TEXT(B3,"hh:mm")&amp;"-"&amp;TEXT(C3,"hh:mm")&amp;"]"</x:f>
        <x:v>02 [00:30-01:00]</x:v>
      </x:c>
      <x:c r="B3" s="211" t="n">
        <x:v>0.020833333333333332</x:v>
      </x:c>
      <x:c r="C3" s="211" t="n">
        <x:v>0.041666666666666664</x:v>
      </x:c>
      <x:c r="D3" s="217" t="n">
        <x:f>DIEN_TICH!DV3</x:f>
        <x:v>0</x:v>
      </x:c>
      <x:c r="E3" s="217" t="str">
        <x:f>IF(D3="","",D3/2*CAI_DAT!$B$8)</x:f>
      </x:c>
      <x:c r="F3" s="217" t="str">
        <x:f>IFERROR(INDEX(CSV_6001!$C$1:$AX$50,MATCH("KwhGiao",CSV_6001!$B$1:$B$50,0),ROW()-1)/1000,"")</x:f>
      </x:c>
      <x:c r="G3" s="217" t="str">
        <x:f>IF(F3="","",F3*2)</x:f>
      </x:c>
      <x:c r="H3" s="217" t="str">
        <x:f>IF(D3="","",D3*(1-CAI_DAT!$B$9))</x:f>
      </x:c>
      <x:c r="I3" s="217" t="str">
        <x:f>IF(D3="","",D3*(1+CAI_DAT!$B$9))</x:f>
      </x:c>
      <x:c r="J3" s="217" t="str">
        <x:f>IFERROR(INDEX(CSV_6303!$C$1:$AX$50,MATCH("KwhGiao",CSV_6303!$B$1:$B$50,0),ROW()-1)/1000,"")</x:f>
      </x:c>
      <x:c r="K3" s="217" t="str">
        <x:f>IF(OR(D3="",F3="",J3=""),"",IF(OR(G3&lt;H3,G3&gt;I3),J3-E3,0))</x:f>
      </x:c>
      <x:c r="L3" s="142" t="str">
        <x:f>IF(OR(D3="",F3=""),"",IF(G3&lt;H3,"âm",IF(G3&gt;I3,"dương","trong ±3%")))</x:f>
      </x:c>
      <x:c r="M3" s="142" t="str">
        <x:f>IF(CAI_DAT!$B$4&lt;TODAY(),"Đã ghi nhận",IF(CAI_DAT!$B$4&gt;TODAY(),"Dự kiến",IF(C3&lt;=MOD(NOW(),1),"Đã ghi nhận",IF(B3&lt;=MOD(NOW(),1),"Chu kỳ hiện tại","Dự kiến"))))</x:f>
        <x:v>Đã ghi nhận</x:v>
      </x:c>
      <x:c r="N3" s="39" t="str">
        <x:v>Tính từ các đoạn công suất giao với chu kỳ</x:v>
      </x:c>
      <x:c r="O3" s="266"/>
      <x:c r="P3" s="266" t="str">
        <x:f>IF(OR(O3="",D3=""),"",D3-O3)</x:f>
      </x:c>
      <x:c r="Q3" t="str">
        <x:f>IF(P3="","",IF(ABS(P3)&lt;=0.15,"Khớp",IF(ABS(P3)&lt;=0.3,"Kiểm tra","Lệch lớn")))</x:f>
      </x:c>
      <x:c r="R3" t="str"/>
    </x:row>
    <x:row r="4">
      <x:c r="A4" s="38" t="str">
        <x:f>TEXT(ROW()-1,"00")&amp;" ["&amp;TEXT(B4,"hh:mm")&amp;"-"&amp;TEXT(C4,"hh:mm")&amp;"]"</x:f>
        <x:v>03 [01:00-01:30]</x:v>
      </x:c>
      <x:c r="B4" s="211" t="n">
        <x:v>0.041666666666666664</x:v>
      </x:c>
      <x:c r="C4" s="211" t="n">
        <x:v>0.0625</x:v>
      </x:c>
      <x:c r="D4" s="217" t="n">
        <x:f>DIEN_TICH!DV4</x:f>
        <x:v>0</x:v>
      </x:c>
      <x:c r="E4" s="217" t="str">
        <x:f>IF(D4="","",D4/2*CAI_DAT!$B$8)</x:f>
      </x:c>
      <x:c r="F4" s="217" t="str">
        <x:f>IFERROR(INDEX(CSV_6001!$C$1:$AX$50,MATCH("KwhGiao",CSV_6001!$B$1:$B$50,0),ROW()-1)/1000,"")</x:f>
      </x:c>
      <x:c r="G4" s="217" t="str">
        <x:f>IF(F4="","",F4*2)</x:f>
      </x:c>
      <x:c r="H4" s="217" t="str">
        <x:f>IF(D4="","",D4*(1-CAI_DAT!$B$9))</x:f>
      </x:c>
      <x:c r="I4" s="217" t="str">
        <x:f>IF(D4="","",D4*(1+CAI_DAT!$B$9))</x:f>
      </x:c>
      <x:c r="J4" s="217" t="str">
        <x:f>IFERROR(INDEX(CSV_6303!$C$1:$AX$50,MATCH("KwhGiao",CSV_6303!$B$1:$B$50,0),ROW()-1)/1000,"")</x:f>
      </x:c>
      <x:c r="K4" s="217" t="str">
        <x:f>IF(OR(D4="",F4="",J4=""),"",IF(OR(G4&lt;H4,G4&gt;I4),J4-E4,0))</x:f>
      </x:c>
      <x:c r="L4" s="142" t="str">
        <x:f>IF(OR(D4="",F4=""),"",IF(G4&lt;H4,"âm",IF(G4&gt;I4,"dương","trong ±3%")))</x:f>
      </x:c>
      <x:c r="M4" s="142" t="str">
        <x:f>IF(CAI_DAT!$B$4&lt;TODAY(),"Đã ghi nhận",IF(CAI_DAT!$B$4&gt;TODAY(),"Dự kiến",IF(C4&lt;=MOD(NOW(),1),"Đã ghi nhận",IF(B4&lt;=MOD(NOW(),1),"Chu kỳ hiện tại","Dự kiến"))))</x:f>
        <x:v>Đã ghi nhận</x:v>
      </x:c>
      <x:c r="N4" s="39" t="str">
        <x:v>Tính từ các đoạn công suất giao với chu kỳ</x:v>
      </x:c>
      <x:c r="O4" s="266"/>
      <x:c r="P4" s="266" t="str">
        <x:f>IF(OR(O4="",D4=""),"",D4-O4)</x:f>
      </x:c>
      <x:c r="Q4" t="str">
        <x:f>IF(P4="","",IF(ABS(P4)&lt;=0.15,"Khớp",IF(ABS(P4)&lt;=0.3,"Kiểm tra","Lệch lớn")))</x:f>
      </x:c>
      <x:c r="R4" t="str"/>
    </x:row>
    <x:row r="5">
      <x:c r="A5" s="38" t="str">
        <x:f>TEXT(ROW()-1,"00")&amp;" ["&amp;TEXT(B5,"hh:mm")&amp;"-"&amp;TEXT(C5,"hh:mm")&amp;"]"</x:f>
        <x:v>04 [01:30-02:00]</x:v>
      </x:c>
      <x:c r="B5" s="211" t="n">
        <x:v>0.0625</x:v>
      </x:c>
      <x:c r="C5" s="211" t="n">
        <x:v>0.08333333333333333</x:v>
      </x:c>
      <x:c r="D5" s="217" t="n">
        <x:f>DIEN_TICH!DV5</x:f>
        <x:v>0</x:v>
      </x:c>
      <x:c r="E5" s="217" t="str">
        <x:f>IF(D5="","",D5/2*CAI_DAT!$B$8)</x:f>
      </x:c>
      <x:c r="F5" s="217" t="str">
        <x:f>IFERROR(INDEX(CSV_6001!$C$1:$AX$50,MATCH("KwhGiao",CSV_6001!$B$1:$B$50,0),ROW()-1)/1000,"")</x:f>
      </x:c>
      <x:c r="G5" s="217" t="str">
        <x:f>IF(F5="","",F5*2)</x:f>
      </x:c>
      <x:c r="H5" s="217" t="str">
        <x:f>IF(D5="","",D5*(1-CAI_DAT!$B$9))</x:f>
      </x:c>
      <x:c r="I5" s="217" t="str">
        <x:f>IF(D5="","",D5*(1+CAI_DAT!$B$9))</x:f>
      </x:c>
      <x:c r="J5" s="217" t="str">
        <x:f>IFERROR(INDEX(CSV_6303!$C$1:$AX$50,MATCH("KwhGiao",CSV_6303!$B$1:$B$50,0),ROW()-1)/1000,"")</x:f>
      </x:c>
      <x:c r="K5" s="217" t="str">
        <x:f>IF(OR(D5="",F5="",J5=""),"",IF(OR(G5&lt;H5,G5&gt;I5),J5-E5,0))</x:f>
      </x:c>
      <x:c r="L5" s="142" t="str">
        <x:f>IF(OR(D5="",F5=""),"",IF(G5&lt;H5,"âm",IF(G5&gt;I5,"dương","trong ±3%")))</x:f>
      </x:c>
      <x:c r="M5" s="142" t="str">
        <x:f>IF(CAI_DAT!$B$4&lt;TODAY(),"Đã ghi nhận",IF(CAI_DAT!$B$4&gt;TODAY(),"Dự kiến",IF(C5&lt;=MOD(NOW(),1),"Đã ghi nhận",IF(B5&lt;=MOD(NOW(),1),"Chu kỳ hiện tại","Dự kiến"))))</x:f>
        <x:v>Đã ghi nhận</x:v>
      </x:c>
      <x:c r="N5" s="39" t="str">
        <x:v>Tính từ các đoạn công suất giao với chu kỳ</x:v>
      </x:c>
      <x:c r="O5" s="266"/>
      <x:c r="P5" s="266" t="str">
        <x:f>IF(OR(O5="",D5=""),"",D5-O5)</x:f>
      </x:c>
      <x:c r="Q5" t="str">
        <x:f>IF(P5="","",IF(ABS(P5)&lt;=0.15,"Khớp",IF(ABS(P5)&lt;=0.3,"Kiểm tra","Lệch lớn")))</x:f>
      </x:c>
      <x:c r="R5" t="str"/>
    </x:row>
    <x:row r="6">
      <x:c r="A6" s="38" t="str">
        <x:f>TEXT(ROW()-1,"00")&amp;" ["&amp;TEXT(B6,"hh:mm")&amp;"-"&amp;TEXT(C6,"hh:mm")&amp;"]"</x:f>
        <x:v>05 [02:00-02:30]</x:v>
      </x:c>
      <x:c r="B6" s="211" t="n">
        <x:v>0.08333333333333333</x:v>
      </x:c>
      <x:c r="C6" s="211" t="n">
        <x:v>0.10416666666666667</x:v>
      </x:c>
      <x:c r="D6" s="217" t="n">
        <x:f>DIEN_TICH!DV6</x:f>
        <x:v>0</x:v>
      </x:c>
      <x:c r="E6" s="217" t="str">
        <x:f>IF(D6="","",D6/2*CAI_DAT!$B$8)</x:f>
      </x:c>
      <x:c r="F6" s="217" t="str">
        <x:f>IFERROR(INDEX(CSV_6001!$C$1:$AX$50,MATCH("KwhGiao",CSV_6001!$B$1:$B$50,0),ROW()-1)/1000,"")</x:f>
      </x:c>
      <x:c r="G6" s="217" t="str">
        <x:f>IF(F6="","",F6*2)</x:f>
      </x:c>
      <x:c r="H6" s="217" t="str">
        <x:f>IF(D6="","",D6*(1-CAI_DAT!$B$9))</x:f>
      </x:c>
      <x:c r="I6" s="217" t="str">
        <x:f>IF(D6="","",D6*(1+CAI_DAT!$B$9))</x:f>
      </x:c>
      <x:c r="J6" s="217" t="str">
        <x:f>IFERROR(INDEX(CSV_6303!$C$1:$AX$50,MATCH("KwhGiao",CSV_6303!$B$1:$B$50,0),ROW()-1)/1000,"")</x:f>
      </x:c>
      <x:c r="K6" s="217" t="str">
        <x:f>IF(OR(D6="",F6="",J6=""),"",IF(OR(G6&lt;H6,G6&gt;I6),J6-E6,0))</x:f>
      </x:c>
      <x:c r="L6" s="142" t="str">
        <x:f>IF(OR(D6="",F6=""),"",IF(G6&lt;H6,"âm",IF(G6&gt;I6,"dương","trong ±3%")))</x:f>
      </x:c>
      <x:c r="M6" s="142" t="str">
        <x:f>IF(CAI_DAT!$B$4&lt;TODAY(),"Đã ghi nhận",IF(CAI_DAT!$B$4&gt;TODAY(),"Dự kiến",IF(C6&lt;=MOD(NOW(),1),"Đã ghi nhận",IF(B6&lt;=MOD(NOW(),1),"Chu kỳ hiện tại","Dự kiến"))))</x:f>
        <x:v>Đã ghi nhận</x:v>
      </x:c>
      <x:c r="N6" s="39" t="str">
        <x:v>Tính từ các đoạn công suất giao với chu kỳ</x:v>
      </x:c>
      <x:c r="O6" s="266"/>
      <x:c r="P6" s="266" t="str">
        <x:f>IF(OR(O6="",D6=""),"",D6-O6)</x:f>
      </x:c>
      <x:c r="Q6" t="str">
        <x:f>IF(P6="","",IF(ABS(P6)&lt;=0.15,"Khớp",IF(ABS(P6)&lt;=0.3,"Kiểm tra","Lệch lớn")))</x:f>
      </x:c>
      <x:c r="R6" t="str"/>
    </x:row>
    <x:row r="7">
      <x:c r="A7" s="38" t="str">
        <x:f>TEXT(ROW()-1,"00")&amp;" ["&amp;TEXT(B7,"hh:mm")&amp;"-"&amp;TEXT(C7,"hh:mm")&amp;"]"</x:f>
        <x:v>06 [02:30-03:00]</x:v>
      </x:c>
      <x:c r="B7" s="211" t="n">
        <x:v>0.10416666666666667</x:v>
      </x:c>
      <x:c r="C7" s="211" t="n">
        <x:v>0.125</x:v>
      </x:c>
      <x:c r="D7" s="217" t="n">
        <x:f>DIEN_TICH!DV7</x:f>
        <x:v>0</x:v>
      </x:c>
      <x:c r="E7" s="217" t="str">
        <x:f>IF(D7="","",D7/2*CAI_DAT!$B$8)</x:f>
      </x:c>
      <x:c r="F7" s="217" t="str">
        <x:f>IFERROR(INDEX(CSV_6001!$C$1:$AX$50,MATCH("KwhGiao",CSV_6001!$B$1:$B$50,0),ROW()-1)/1000,"")</x:f>
      </x:c>
      <x:c r="G7" s="217" t="str">
        <x:f>IF(F7="","",F7*2)</x:f>
      </x:c>
      <x:c r="H7" s="217" t="str">
        <x:f>IF(D7="","",D7*(1-CAI_DAT!$B$9))</x:f>
      </x:c>
      <x:c r="I7" s="217" t="str">
        <x:f>IF(D7="","",D7*(1+CAI_DAT!$B$9))</x:f>
      </x:c>
      <x:c r="J7" s="217" t="str">
        <x:f>IFERROR(INDEX(CSV_6303!$C$1:$AX$50,MATCH("KwhGiao",CSV_6303!$B$1:$B$50,0),ROW()-1)/1000,"")</x:f>
      </x:c>
      <x:c r="K7" s="217" t="str">
        <x:f>IF(OR(D7="",F7="",J7=""),"",IF(OR(G7&lt;H7,G7&gt;I7),J7-E7,0))</x:f>
      </x:c>
      <x:c r="L7" s="142" t="str">
        <x:f>IF(OR(D7="",F7=""),"",IF(G7&lt;H7,"âm",IF(G7&gt;I7,"dương","trong ±3%")))</x:f>
      </x:c>
      <x:c r="M7" s="142" t="str">
        <x:f>IF(CAI_DAT!$B$4&lt;TODAY(),"Đã ghi nhận",IF(CAI_DAT!$B$4&gt;TODAY(),"Dự kiến",IF(C7&lt;=MOD(NOW(),1),"Đã ghi nhận",IF(B7&lt;=MOD(NOW(),1),"Chu kỳ hiện tại","Dự kiến"))))</x:f>
        <x:v>Đã ghi nhận</x:v>
      </x:c>
      <x:c r="N7" s="39" t="str">
        <x:v>Tính từ các đoạn công suất giao với chu kỳ</x:v>
      </x:c>
      <x:c r="O7" s="266"/>
      <x:c r="P7" s="266" t="str">
        <x:f>IF(OR(O7="",D7=""),"",D7-O7)</x:f>
      </x:c>
      <x:c r="Q7" t="str">
        <x:f>IF(P7="","",IF(ABS(P7)&lt;=0.15,"Khớp",IF(ABS(P7)&lt;=0.3,"Kiểm tra","Lệch lớn")))</x:f>
      </x:c>
      <x:c r="R7" t="str"/>
    </x:row>
    <x:row r="8">
      <x:c r="A8" s="38" t="str">
        <x:f>TEXT(ROW()-1,"00")&amp;" ["&amp;TEXT(B8,"hh:mm")&amp;"-"&amp;TEXT(C8,"hh:mm")&amp;"]"</x:f>
        <x:v>07 [03:00-03:30]</x:v>
      </x:c>
      <x:c r="B8" s="211" t="n">
        <x:v>0.125</x:v>
      </x:c>
      <x:c r="C8" s="211" t="n">
        <x:v>0.14583333333333334</x:v>
      </x:c>
      <x:c r="D8" s="217" t="n">
        <x:f>DIEN_TICH!DV8</x:f>
        <x:v>0</x:v>
      </x:c>
      <x:c r="E8" s="217" t="str">
        <x:f>IF(D8="","",D8/2*CAI_DAT!$B$8)</x:f>
      </x:c>
      <x:c r="F8" s="217" t="str">
        <x:f>IFERROR(INDEX(CSV_6001!$C$1:$AX$50,MATCH("KwhGiao",CSV_6001!$B$1:$B$50,0),ROW()-1)/1000,"")</x:f>
      </x:c>
      <x:c r="G8" s="217" t="str">
        <x:f>IF(F8="","",F8*2)</x:f>
      </x:c>
      <x:c r="H8" s="217" t="str">
        <x:f>IF(D8="","",D8*(1-CAI_DAT!$B$9))</x:f>
      </x:c>
      <x:c r="I8" s="217" t="str">
        <x:f>IF(D8="","",D8*(1+CAI_DAT!$B$9))</x:f>
      </x:c>
      <x:c r="J8" s="217" t="str">
        <x:f>IFERROR(INDEX(CSV_6303!$C$1:$AX$50,MATCH("KwhGiao",CSV_6303!$B$1:$B$50,0),ROW()-1)/1000,"")</x:f>
      </x:c>
      <x:c r="K8" s="217" t="str">
        <x:f>IF(OR(D8="",F8="",J8=""),"",IF(OR(G8&lt;H8,G8&gt;I8),J8-E8,0))</x:f>
      </x:c>
      <x:c r="L8" s="142" t="str">
        <x:f>IF(OR(D8="",F8=""),"",IF(G8&lt;H8,"âm",IF(G8&gt;I8,"dương","trong ±3%")))</x:f>
      </x:c>
      <x:c r="M8" s="142" t="str">
        <x:f>IF(CAI_DAT!$B$4&lt;TODAY(),"Đã ghi nhận",IF(CAI_DAT!$B$4&gt;TODAY(),"Dự kiến",IF(C8&lt;=MOD(NOW(),1),"Đã ghi nhận",IF(B8&lt;=MOD(NOW(),1),"Chu kỳ hiện tại","Dự kiến"))))</x:f>
        <x:v>Đã ghi nhận</x:v>
      </x:c>
      <x:c r="N8" s="39" t="str">
        <x:v>Tính từ các đoạn công suất giao với chu kỳ</x:v>
      </x:c>
      <x:c r="O8" s="266"/>
      <x:c r="P8" s="266" t="str">
        <x:f>IF(OR(O8="",D8=""),"",D8-O8)</x:f>
      </x:c>
      <x:c r="Q8" t="str">
        <x:f>IF(P8="","",IF(ABS(P8)&lt;=0.15,"Khớp",IF(ABS(P8)&lt;=0.3,"Kiểm tra","Lệch lớn")))</x:f>
      </x:c>
      <x:c r="R8" t="str"/>
    </x:row>
    <x:row r="9">
      <x:c r="A9" s="38" t="str">
        <x:f>TEXT(ROW()-1,"00")&amp;" ["&amp;TEXT(B9,"hh:mm")&amp;"-"&amp;TEXT(C9,"hh:mm")&amp;"]"</x:f>
        <x:v>08 [03:30-04:00]</x:v>
      </x:c>
      <x:c r="B9" s="211" t="n">
        <x:v>0.14583333333333334</x:v>
      </x:c>
      <x:c r="C9" s="211" t="n">
        <x:v>0.16666666666666666</x:v>
      </x:c>
      <x:c r="D9" s="217" t="n">
        <x:f>DIEN_TICH!DV9</x:f>
        <x:v>0</x:v>
      </x:c>
      <x:c r="E9" s="217" t="str">
        <x:f>IF(D9="","",D9/2*CAI_DAT!$B$8)</x:f>
      </x:c>
      <x:c r="F9" s="217" t="str">
        <x:f>IFERROR(INDEX(CSV_6001!$C$1:$AX$50,MATCH("KwhGiao",CSV_6001!$B$1:$B$50,0),ROW()-1)/1000,"")</x:f>
      </x:c>
      <x:c r="G9" s="217" t="str">
        <x:f>IF(F9="","",F9*2)</x:f>
      </x:c>
      <x:c r="H9" s="217" t="str">
        <x:f>IF(D9="","",D9*(1-CAI_DAT!$B$9))</x:f>
      </x:c>
      <x:c r="I9" s="217" t="str">
        <x:f>IF(D9="","",D9*(1+CAI_DAT!$B$9))</x:f>
      </x:c>
      <x:c r="J9" s="217" t="str">
        <x:f>IFERROR(INDEX(CSV_6303!$C$1:$AX$50,MATCH("KwhGiao",CSV_6303!$B$1:$B$50,0),ROW()-1)/1000,"")</x:f>
      </x:c>
      <x:c r="K9" s="217" t="str">
        <x:f>IF(OR(D9="",F9="",J9=""),"",IF(OR(G9&lt;H9,G9&gt;I9),J9-E9,0))</x:f>
      </x:c>
      <x:c r="L9" s="142" t="str">
        <x:f>IF(OR(D9="",F9=""),"",IF(G9&lt;H9,"âm",IF(G9&gt;I9,"dương","trong ±3%")))</x:f>
      </x:c>
      <x:c r="M9" s="142" t="str">
        <x:f>IF(CAI_DAT!$B$4&lt;TODAY(),"Đã ghi nhận",IF(CAI_DAT!$B$4&gt;TODAY(),"Dự kiến",IF(C9&lt;=MOD(NOW(),1),"Đã ghi nhận",IF(B9&lt;=MOD(NOW(),1),"Chu kỳ hiện tại","Dự kiến"))))</x:f>
        <x:v>Đã ghi nhận</x:v>
      </x:c>
      <x:c r="N9" s="39" t="str">
        <x:v>Tính từ các đoạn công suất giao với chu kỳ</x:v>
      </x:c>
      <x:c r="O9" s="266"/>
      <x:c r="P9" s="266" t="str">
        <x:f>IF(OR(O9="",D9=""),"",D9-O9)</x:f>
      </x:c>
      <x:c r="Q9" t="str">
        <x:f>IF(P9="","",IF(ABS(P9)&lt;=0.15,"Khớp",IF(ABS(P9)&lt;=0.3,"Kiểm tra","Lệch lớn")))</x:f>
      </x:c>
      <x:c r="R9" t="str"/>
    </x:row>
    <x:row r="10">
      <x:c r="A10" s="38" t="str">
        <x:f>TEXT(ROW()-1,"00")&amp;" ["&amp;TEXT(B10,"hh:mm")&amp;"-"&amp;TEXT(C10,"hh:mm")&amp;"]"</x:f>
        <x:v>09 [04:00-04:30]</x:v>
      </x:c>
      <x:c r="B10" s="211" t="n">
        <x:v>0.16666666666666666</x:v>
      </x:c>
      <x:c r="C10" s="211" t="n">
        <x:v>0.1875</x:v>
      </x:c>
      <x:c r="D10" s="217" t="n">
        <x:f>DIEN_TICH!DV10</x:f>
        <x:v>0</x:v>
      </x:c>
      <x:c r="E10" s="217" t="str">
        <x:f>IF(D10="","",D10/2*CAI_DAT!$B$8)</x:f>
      </x:c>
      <x:c r="F10" s="217" t="str">
        <x:f>IFERROR(INDEX(CSV_6001!$C$1:$AX$50,MATCH("KwhGiao",CSV_6001!$B$1:$B$50,0),ROW()-1)/1000,"")</x:f>
      </x:c>
      <x:c r="G10" s="217" t="str">
        <x:f>IF(F10="","",F10*2)</x:f>
      </x:c>
      <x:c r="H10" s="217" t="str">
        <x:f>IF(D10="","",D10*(1-CAI_DAT!$B$9))</x:f>
      </x:c>
      <x:c r="I10" s="217" t="str">
        <x:f>IF(D10="","",D10*(1+CAI_DAT!$B$9))</x:f>
      </x:c>
      <x:c r="J10" s="217" t="str">
        <x:f>IFERROR(INDEX(CSV_6303!$C$1:$AX$50,MATCH("KwhGiao",CSV_6303!$B$1:$B$50,0),ROW()-1)/1000,"")</x:f>
      </x:c>
      <x:c r="K10" s="217" t="str">
        <x:f>IF(OR(D10="",F10="",J10=""),"",IF(OR(G10&lt;H10,G10&gt;I10),J10-E10,0))</x:f>
      </x:c>
      <x:c r="L10" s="142" t="str">
        <x:f>IF(OR(D10="",F10=""),"",IF(G10&lt;H10,"âm",IF(G10&gt;I10,"dương","trong ±3%")))</x:f>
      </x:c>
      <x:c r="M10" s="142" t="str">
        <x:f>IF(CAI_DAT!$B$4&lt;TODAY(),"Đã ghi nhận",IF(CAI_DAT!$B$4&gt;TODAY(),"Dự kiến",IF(C10&lt;=MOD(NOW(),1),"Đã ghi nhận",IF(B10&lt;=MOD(NOW(),1),"Chu kỳ hiện tại","Dự kiến"))))</x:f>
        <x:v>Đã ghi nhận</x:v>
      </x:c>
      <x:c r="N10" s="39" t="str">
        <x:v>Tính từ các đoạn công suất giao với chu kỳ</x:v>
      </x:c>
      <x:c r="O10" s="266"/>
      <x:c r="P10" s="266" t="str">
        <x:f>IF(OR(O10="",D10=""),"",D10-O10)</x:f>
      </x:c>
      <x:c r="Q10" t="str">
        <x:f>IF(P10="","",IF(ABS(P10)&lt;=0.15,"Khớp",IF(ABS(P10)&lt;=0.3,"Kiểm tra","Lệch lớn")))</x:f>
      </x:c>
      <x:c r="R10" t="str"/>
    </x:row>
    <x:row r="11">
      <x:c r="A11" s="38" t="str">
        <x:f>TEXT(ROW()-1,"00")&amp;" ["&amp;TEXT(B11,"hh:mm")&amp;"-"&amp;TEXT(C11,"hh:mm")&amp;"]"</x:f>
        <x:v>10 [04:30-05:00]</x:v>
      </x:c>
      <x:c r="B11" s="211" t="n">
        <x:v>0.1875</x:v>
      </x:c>
      <x:c r="C11" s="211" t="n">
        <x:v>0.20833333333333334</x:v>
      </x:c>
      <x:c r="D11" s="217" t="n">
        <x:f>DIEN_TICH!DV11</x:f>
        <x:v>0</x:v>
      </x:c>
      <x:c r="E11" s="217" t="str">
        <x:f>IF(D11="","",D11/2*CAI_DAT!$B$8)</x:f>
      </x:c>
      <x:c r="F11" s="217" t="str">
        <x:f>IFERROR(INDEX(CSV_6001!$C$1:$AX$50,MATCH("KwhGiao",CSV_6001!$B$1:$B$50,0),ROW()-1)/1000,"")</x:f>
      </x:c>
      <x:c r="G11" s="217" t="str">
        <x:f>IF(F11="","",F11*2)</x:f>
      </x:c>
      <x:c r="H11" s="217" t="str">
        <x:f>IF(D11="","",D11*(1-CAI_DAT!$B$9))</x:f>
      </x:c>
      <x:c r="I11" s="217" t="str">
        <x:f>IF(D11="","",D11*(1+CAI_DAT!$B$9))</x:f>
      </x:c>
      <x:c r="J11" s="217" t="str">
        <x:f>IFERROR(INDEX(CSV_6303!$C$1:$AX$50,MATCH("KwhGiao",CSV_6303!$B$1:$B$50,0),ROW()-1)/1000,"")</x:f>
      </x:c>
      <x:c r="K11" s="217" t="str">
        <x:f>IF(OR(D11="",F11="",J11=""),"",IF(OR(G11&lt;H11,G11&gt;I11),J11-E11,0))</x:f>
      </x:c>
      <x:c r="L11" s="142" t="str">
        <x:f>IF(OR(D11="",F11=""),"",IF(G11&lt;H11,"âm",IF(G11&gt;I11,"dương","trong ±3%")))</x:f>
      </x:c>
      <x:c r="M11" s="142" t="str">
        <x:f>IF(CAI_DAT!$B$4&lt;TODAY(),"Đã ghi nhận",IF(CAI_DAT!$B$4&gt;TODAY(),"Dự kiến",IF(C11&lt;=MOD(NOW(),1),"Đã ghi nhận",IF(B11&lt;=MOD(NOW(),1),"Chu kỳ hiện tại","Dự kiến"))))</x:f>
        <x:v>Đã ghi nhận</x:v>
      </x:c>
      <x:c r="N11" s="39" t="str">
        <x:v>Tính từ các đoạn công suất giao với chu kỳ</x:v>
      </x:c>
      <x:c r="O11" s="266"/>
      <x:c r="P11" s="266" t="str">
        <x:f>IF(OR(O11="",D11=""),"",D11-O11)</x:f>
      </x:c>
      <x:c r="Q11" t="str">
        <x:f>IF(P11="","",IF(ABS(P11)&lt;=0.15,"Khớp",IF(ABS(P11)&lt;=0.3,"Kiểm tra","Lệch lớn")))</x:f>
      </x:c>
      <x:c r="R11" t="str"/>
    </x:row>
    <x:row r="12">
      <x:c r="A12" s="38" t="str">
        <x:f>TEXT(ROW()-1,"00")&amp;" ["&amp;TEXT(B12,"hh:mm")&amp;"-"&amp;TEXT(C12,"hh:mm")&amp;"]"</x:f>
        <x:v>11 [05:00-05:30]</x:v>
      </x:c>
      <x:c r="B12" s="211" t="n">
        <x:v>0.20833333333333334</x:v>
      </x:c>
      <x:c r="C12" s="211" t="n">
        <x:v>0.22916666666666666</x:v>
      </x:c>
      <x:c r="D12" s="217" t="n">
        <x:f>DIEN_TICH!DV12</x:f>
        <x:v>0</x:v>
      </x:c>
      <x:c r="E12" s="217" t="str">
        <x:f>IF(D12="","",D12/2*CAI_DAT!$B$8)</x:f>
      </x:c>
      <x:c r="F12" s="217" t="str">
        <x:f>IFERROR(INDEX(CSV_6001!$C$1:$AX$50,MATCH("KwhGiao",CSV_6001!$B$1:$B$50,0),ROW()-1)/1000,"")</x:f>
      </x:c>
      <x:c r="G12" s="217" t="str">
        <x:f>IF(F12="","",F12*2)</x:f>
      </x:c>
      <x:c r="H12" s="217" t="str">
        <x:f>IF(D12="","",D12*(1-CAI_DAT!$B$9))</x:f>
      </x:c>
      <x:c r="I12" s="217" t="str">
        <x:f>IF(D12="","",D12*(1+CAI_DAT!$B$9))</x:f>
      </x:c>
      <x:c r="J12" s="217" t="str">
        <x:f>IFERROR(INDEX(CSV_6303!$C$1:$AX$50,MATCH("KwhGiao",CSV_6303!$B$1:$B$50,0),ROW()-1)/1000,"")</x:f>
      </x:c>
      <x:c r="K12" s="217" t="str">
        <x:f>IF(OR(D12="",F12="",J12=""),"",IF(OR(G12&lt;H12,G12&gt;I12),J12-E12,0))</x:f>
      </x:c>
      <x:c r="L12" s="142" t="str">
        <x:f>IF(OR(D12="",F12=""),"",IF(G12&lt;H12,"âm",IF(G12&gt;I12,"dương","trong ±3%")))</x:f>
      </x:c>
      <x:c r="M12" s="142" t="str">
        <x:f>IF(CAI_DAT!$B$4&lt;TODAY(),"Đã ghi nhận",IF(CAI_DAT!$B$4&gt;TODAY(),"Dự kiến",IF(C12&lt;=MOD(NOW(),1),"Đã ghi nhận",IF(B12&lt;=MOD(NOW(),1),"Chu kỳ hiện tại","Dự kiến"))))</x:f>
        <x:v>Đã ghi nhận</x:v>
      </x:c>
      <x:c r="N12" s="39" t="str">
        <x:v>Tính từ các đoạn công suất giao với chu kỳ</x:v>
      </x:c>
      <x:c r="O12" s="266"/>
      <x:c r="P12" s="266" t="str">
        <x:f>IF(OR(O12="",D12=""),"",D12-O12)</x:f>
      </x:c>
      <x:c r="Q12" t="str">
        <x:f>IF(P12="","",IF(ABS(P12)&lt;=0.15,"Khớp",IF(ABS(P12)&lt;=0.3,"Kiểm tra","Lệch lớn")))</x:f>
      </x:c>
      <x:c r="R12" t="str"/>
    </x:row>
    <x:row r="13">
      <x:c r="A13" s="38" t="str">
        <x:f>TEXT(ROW()-1,"00")&amp;" ["&amp;TEXT(B13,"hh:mm")&amp;"-"&amp;TEXT(C13,"hh:mm")&amp;"]"</x:f>
        <x:v>12 [05:30-06:00]</x:v>
      </x:c>
      <x:c r="B13" s="211" t="n">
        <x:v>0.22916666666666666</x:v>
      </x:c>
      <x:c r="C13" s="211" t="n">
        <x:v>0.25</x:v>
      </x:c>
      <x:c r="D13" s="217" t="n">
        <x:f>DIEN_TICH!DV13</x:f>
        <x:v>0</x:v>
      </x:c>
      <x:c r="E13" s="217" t="str">
        <x:f>IF(D13="","",D13/2*CAI_DAT!$B$8)</x:f>
      </x:c>
      <x:c r="F13" s="217" t="str">
        <x:f>IFERROR(INDEX(CSV_6001!$C$1:$AX$50,MATCH("KwhGiao",CSV_6001!$B$1:$B$50,0),ROW()-1)/1000,"")</x:f>
      </x:c>
      <x:c r="G13" s="217" t="str">
        <x:f>IF(F13="","",F13*2)</x:f>
      </x:c>
      <x:c r="H13" s="217" t="str">
        <x:f>IF(D13="","",D13*(1-CAI_DAT!$B$9))</x:f>
      </x:c>
      <x:c r="I13" s="217" t="str">
        <x:f>IF(D13="","",D13*(1+CAI_DAT!$B$9))</x:f>
      </x:c>
      <x:c r="J13" s="217" t="str">
        <x:f>IFERROR(INDEX(CSV_6303!$C$1:$AX$50,MATCH("KwhGiao",CSV_6303!$B$1:$B$50,0),ROW()-1)/1000,"")</x:f>
      </x:c>
      <x:c r="K13" s="217" t="str">
        <x:f>IF(OR(D13="",F13="",J13=""),"",IF(OR(G13&lt;H13,G13&gt;I13),J13-E13,0))</x:f>
      </x:c>
      <x:c r="L13" s="142" t="str">
        <x:f>IF(OR(D13="",F13=""),"",IF(G13&lt;H13,"âm",IF(G13&gt;I13,"dương","trong ±3%")))</x:f>
      </x:c>
      <x:c r="M13" s="142" t="str">
        <x:f>IF(CAI_DAT!$B$4&lt;TODAY(),"Đã ghi nhận",IF(CAI_DAT!$B$4&gt;TODAY(),"Dự kiến",IF(C13&lt;=MOD(NOW(),1),"Đã ghi nhận",IF(B13&lt;=MOD(NOW(),1),"Chu kỳ hiện tại","Dự kiến"))))</x:f>
        <x:v>Đã ghi nhận</x:v>
      </x:c>
      <x:c r="N13" s="39" t="str">
        <x:v>Tính từ các đoạn công suất giao với chu kỳ</x:v>
      </x:c>
      <x:c r="O13" s="266"/>
      <x:c r="P13" s="266" t="str">
        <x:f>IF(OR(O13="",D13=""),"",D13-O13)</x:f>
      </x:c>
      <x:c r="Q13" t="str">
        <x:f>IF(P13="","",IF(ABS(P13)&lt;=0.15,"Khớp",IF(ABS(P13)&lt;=0.3,"Kiểm tra","Lệch lớn")))</x:f>
      </x:c>
      <x:c r="R13" t="str"/>
    </x:row>
    <x:row r="14">
      <x:c r="A14" s="38" t="str">
        <x:f>TEXT(ROW()-1,"00")&amp;" ["&amp;TEXT(B14,"hh:mm")&amp;"-"&amp;TEXT(C14,"hh:mm")&amp;"]"</x:f>
        <x:v>13 [06:00-06:30]</x:v>
      </x:c>
      <x:c r="B14" s="211" t="n">
        <x:v>0.25</x:v>
      </x:c>
      <x:c r="C14" s="211" t="n">
        <x:v>0.2708333333333333</x:v>
      </x:c>
      <x:c r="D14" s="217" t="n">
        <x:f>DIEN_TICH!DV14</x:f>
        <x:v>0</x:v>
      </x:c>
      <x:c r="E14" s="217" t="str">
        <x:f>IF(D14="","",D14/2*CAI_DAT!$B$8)</x:f>
      </x:c>
      <x:c r="F14" s="217" t="str">
        <x:f>IFERROR(INDEX(CSV_6001!$C$1:$AX$50,MATCH("KwhGiao",CSV_6001!$B$1:$B$50,0),ROW()-1)/1000,"")</x:f>
      </x:c>
      <x:c r="G14" s="217" t="str">
        <x:f>IF(F14="","",F14*2)</x:f>
      </x:c>
      <x:c r="H14" s="217" t="str">
        <x:f>IF(D14="","",D14*(1-CAI_DAT!$B$9))</x:f>
      </x:c>
      <x:c r="I14" s="217" t="str">
        <x:f>IF(D14="","",D14*(1+CAI_DAT!$B$9))</x:f>
      </x:c>
      <x:c r="J14" s="217" t="str">
        <x:f>IFERROR(INDEX(CSV_6303!$C$1:$AX$50,MATCH("KwhGiao",CSV_6303!$B$1:$B$50,0),ROW()-1)/1000,"")</x:f>
      </x:c>
      <x:c r="K14" s="217" t="str">
        <x:f>IF(OR(D14="",F14="",J14=""),"",IF(OR(G14&lt;H14,G14&gt;I14),J14-E14,0))</x:f>
      </x:c>
      <x:c r="L14" s="142" t="str">
        <x:f>IF(OR(D14="",F14=""),"",IF(G14&lt;H14,"âm",IF(G14&gt;I14,"dương","trong ±3%")))</x:f>
      </x:c>
      <x:c r="M14" s="142" t="str">
        <x:f>IF(CAI_DAT!$B$4&lt;TODAY(),"Đã ghi nhận",IF(CAI_DAT!$B$4&gt;TODAY(),"Dự kiến",IF(C14&lt;=MOD(NOW(),1),"Đã ghi nhận",IF(B14&lt;=MOD(NOW(),1),"Chu kỳ hiện tại","Dự kiến"))))</x:f>
        <x:v>Đã ghi nhận</x:v>
      </x:c>
      <x:c r="N14" s="39" t="str">
        <x:v>Tính từ các đoạn công suất giao với chu kỳ</x:v>
      </x:c>
      <x:c r="O14" s="266"/>
      <x:c r="P14" s="266" t="str">
        <x:f>IF(OR(O14="",D14=""),"",D14-O14)</x:f>
      </x:c>
      <x:c r="Q14" t="str">
        <x:f>IF(P14="","",IF(ABS(P14)&lt;=0.15,"Khớp",IF(ABS(P14)&lt;=0.3,"Kiểm tra","Lệch lớn")))</x:f>
      </x:c>
      <x:c r="R14" t="str"/>
    </x:row>
    <x:row r="15">
      <x:c r="A15" s="38" t="str">
        <x:f>TEXT(ROW()-1,"00")&amp;" ["&amp;TEXT(B15,"hh:mm")&amp;"-"&amp;TEXT(C15,"hh:mm")&amp;"]"</x:f>
        <x:v>14 [06:30-07:00]</x:v>
      </x:c>
      <x:c r="B15" s="211" t="n">
        <x:v>0.2708333333333333</x:v>
      </x:c>
      <x:c r="C15" s="211" t="n">
        <x:v>0.2916666666666667</x:v>
      </x:c>
      <x:c r="D15" s="217" t="n">
        <x:f>DIEN_TICH!DV15</x:f>
        <x:v>0</x:v>
      </x:c>
      <x:c r="E15" s="217" t="str">
        <x:f>IF(D15="","",D15/2*CAI_DAT!$B$8)</x:f>
      </x:c>
      <x:c r="F15" s="217" t="str">
        <x:f>IFERROR(INDEX(CSV_6001!$C$1:$AX$50,MATCH("KwhGiao",CSV_6001!$B$1:$B$50,0),ROW()-1)/1000,"")</x:f>
      </x:c>
      <x:c r="G15" s="217" t="str">
        <x:f>IF(F15="","",F15*2)</x:f>
      </x:c>
      <x:c r="H15" s="217" t="str">
        <x:f>IF(D15="","",D15*(1-CAI_DAT!$B$9))</x:f>
      </x:c>
      <x:c r="I15" s="217" t="str">
        <x:f>IF(D15="","",D15*(1+CAI_DAT!$B$9))</x:f>
      </x:c>
      <x:c r="J15" s="217" t="str">
        <x:f>IFERROR(INDEX(CSV_6303!$C$1:$AX$50,MATCH("KwhGiao",CSV_6303!$B$1:$B$50,0),ROW()-1)/1000,"")</x:f>
      </x:c>
      <x:c r="K15" s="217" t="str">
        <x:f>IF(OR(D15="",F15="",J15=""),"",IF(OR(G15&lt;H15,G15&gt;I15),J15-E15,0))</x:f>
      </x:c>
      <x:c r="L15" s="142" t="str">
        <x:f>IF(OR(D15="",F15=""),"",IF(G15&lt;H15,"âm",IF(G15&gt;I15,"dương","trong ±3%")))</x:f>
      </x:c>
      <x:c r="M15" s="142" t="str">
        <x:f>IF(CAI_DAT!$B$4&lt;TODAY(),"Đã ghi nhận",IF(CAI_DAT!$B$4&gt;TODAY(),"Dự kiến",IF(C15&lt;=MOD(NOW(),1),"Đã ghi nhận",IF(B15&lt;=MOD(NOW(),1),"Chu kỳ hiện tại","Dự kiến"))))</x:f>
        <x:v>Đã ghi nhận</x:v>
      </x:c>
      <x:c r="N15" s="39" t="str">
        <x:v>Tính từ các đoạn công suất giao với chu kỳ</x:v>
      </x:c>
      <x:c r="O15" s="266"/>
      <x:c r="P15" s="266" t="str">
        <x:f>IF(OR(O15="",D15=""),"",D15-O15)</x:f>
      </x:c>
      <x:c r="Q15" t="str">
        <x:f>IF(P15="","",IF(ABS(P15)&lt;=0.15,"Khớp",IF(ABS(P15)&lt;=0.3,"Kiểm tra","Lệch lớn")))</x:f>
      </x:c>
      <x:c r="R15" t="str"/>
    </x:row>
    <x:row r="16">
      <x:c r="A16" s="38" t="str">
        <x:f>TEXT(ROW()-1,"00")&amp;" ["&amp;TEXT(B16,"hh:mm")&amp;"-"&amp;TEXT(C16,"hh:mm")&amp;"]"</x:f>
        <x:v>15 [07:00-07:30]</x:v>
      </x:c>
      <x:c r="B16" s="211" t="n">
        <x:v>0.2916666666666667</x:v>
      </x:c>
      <x:c r="C16" s="211" t="n">
        <x:v>0.3125</x:v>
      </x:c>
      <x:c r="D16" s="217" t="n">
        <x:f>DIEN_TICH!DV16</x:f>
        <x:v>0</x:v>
      </x:c>
      <x:c r="E16" s="217" t="str">
        <x:f>IF(D16="","",D16/2*CAI_DAT!$B$8)</x:f>
      </x:c>
      <x:c r="F16" s="217" t="str">
        <x:f>IFERROR(INDEX(CSV_6001!$C$1:$AX$50,MATCH("KwhGiao",CSV_6001!$B$1:$B$50,0),ROW()-1)/1000,"")</x:f>
      </x:c>
      <x:c r="G16" s="217" t="str">
        <x:f>IF(F16="","",F16*2)</x:f>
      </x:c>
      <x:c r="H16" s="217" t="str">
        <x:f>IF(D16="","",D16*(1-CAI_DAT!$B$9))</x:f>
      </x:c>
      <x:c r="I16" s="217" t="str">
        <x:f>IF(D16="","",D16*(1+CAI_DAT!$B$9))</x:f>
      </x:c>
      <x:c r="J16" s="217" t="str">
        <x:f>IFERROR(INDEX(CSV_6303!$C$1:$AX$50,MATCH("KwhGiao",CSV_6303!$B$1:$B$50,0),ROW()-1)/1000,"")</x:f>
      </x:c>
      <x:c r="K16" s="217" t="str">
        <x:f>IF(OR(D16="",F16="",J16=""),"",IF(OR(G16&lt;H16,G16&gt;I16),J16-E16,0))</x:f>
      </x:c>
      <x:c r="L16" s="142" t="str">
        <x:f>IF(OR(D16="",F16=""),"",IF(G16&lt;H16,"âm",IF(G16&gt;I16,"dương","trong ±3%")))</x:f>
      </x:c>
      <x:c r="M16" s="142" t="str">
        <x:f>IF(CAI_DAT!$B$4&lt;TODAY(),"Đã ghi nhận",IF(CAI_DAT!$B$4&gt;TODAY(),"Dự kiến",IF(C16&lt;=MOD(NOW(),1),"Đã ghi nhận",IF(B16&lt;=MOD(NOW(),1),"Chu kỳ hiện tại","Dự kiến"))))</x:f>
        <x:v>Đã ghi nhận</x:v>
      </x:c>
      <x:c r="N16" s="39" t="str">
        <x:v>Tính từ các đoạn công suất giao với chu kỳ</x:v>
      </x:c>
      <x:c r="O16" s="266"/>
      <x:c r="P16" s="266" t="str">
        <x:f>IF(OR(O16="",D16=""),"",D16-O16)</x:f>
      </x:c>
      <x:c r="Q16" t="str">
        <x:f>IF(P16="","",IF(ABS(P16)&lt;=0.15,"Khớp",IF(ABS(P16)&lt;=0.3,"Kiểm tra","Lệch lớn")))</x:f>
      </x:c>
      <x:c r="R16" t="str"/>
    </x:row>
    <x:row r="17">
      <x:c r="A17" s="38" t="str">
        <x:f>TEXT(ROW()-1,"00")&amp;" ["&amp;TEXT(B17,"hh:mm")&amp;"-"&amp;TEXT(C17,"hh:mm")&amp;"]"</x:f>
        <x:v>16 [07:30-08:00]</x:v>
      </x:c>
      <x:c r="B17" s="211" t="n">
        <x:v>0.3125</x:v>
      </x:c>
      <x:c r="C17" s="211" t="n">
        <x:v>0.3333333333333333</x:v>
      </x:c>
      <x:c r="D17" s="217" t="n">
        <x:f>DIEN_TICH!DV17</x:f>
        <x:v>0</x:v>
      </x:c>
      <x:c r="E17" s="217" t="str">
        <x:f>IF(D17="","",D17/2*CAI_DAT!$B$8)</x:f>
      </x:c>
      <x:c r="F17" s="217" t="str">
        <x:f>IFERROR(INDEX(CSV_6001!$C$1:$AX$50,MATCH("KwhGiao",CSV_6001!$B$1:$B$50,0),ROW()-1)/1000,"")</x:f>
      </x:c>
      <x:c r="G17" s="217" t="str">
        <x:f>IF(F17="","",F17*2)</x:f>
      </x:c>
      <x:c r="H17" s="217" t="str">
        <x:f>IF(D17="","",D17*(1-CAI_DAT!$B$9))</x:f>
      </x:c>
      <x:c r="I17" s="217" t="str">
        <x:f>IF(D17="","",D17*(1+CAI_DAT!$B$9))</x:f>
      </x:c>
      <x:c r="J17" s="217" t="str">
        <x:f>IFERROR(INDEX(CSV_6303!$C$1:$AX$50,MATCH("KwhGiao",CSV_6303!$B$1:$B$50,0),ROW()-1)/1000,"")</x:f>
      </x:c>
      <x:c r="K17" s="217" t="str">
        <x:f>IF(OR(D17="",F17="",J17=""),"",IF(OR(G17&lt;H17,G17&gt;I17),J17-E17,0))</x:f>
      </x:c>
      <x:c r="L17" s="142" t="str">
        <x:f>IF(OR(D17="",F17=""),"",IF(G17&lt;H17,"âm",IF(G17&gt;I17,"dương","trong ±3%")))</x:f>
      </x:c>
      <x:c r="M17" s="142" t="str">
        <x:f>IF(CAI_DAT!$B$4&lt;TODAY(),"Đã ghi nhận",IF(CAI_DAT!$B$4&gt;TODAY(),"Dự kiến",IF(C17&lt;=MOD(NOW(),1),"Đã ghi nhận",IF(B17&lt;=MOD(NOW(),1),"Chu kỳ hiện tại","Dự kiến"))))</x:f>
        <x:v>Đã ghi nhận</x:v>
      </x:c>
      <x:c r="N17" s="39" t="str">
        <x:v>Tính từ các đoạn công suất giao với chu kỳ</x:v>
      </x:c>
      <x:c r="O17" s="266"/>
      <x:c r="P17" s="266" t="str">
        <x:f>IF(OR(O17="",D17=""),"",D17-O17)</x:f>
      </x:c>
      <x:c r="Q17" t="str">
        <x:f>IF(P17="","",IF(ABS(P17)&lt;=0.15,"Khớp",IF(ABS(P17)&lt;=0.3,"Kiểm tra","Lệch lớn")))</x:f>
      </x:c>
      <x:c r="R17" t="str"/>
    </x:row>
    <x:row r="18">
      <x:c r="A18" s="38" t="str">
        <x:f>TEXT(ROW()-1,"00")&amp;" ["&amp;TEXT(B18,"hh:mm")&amp;"-"&amp;TEXT(C18,"hh:mm")&amp;"]"</x:f>
        <x:v>17 [08:00-08:30]</x:v>
      </x:c>
      <x:c r="B18" s="211" t="n">
        <x:v>0.3333333333333333</x:v>
      </x:c>
      <x:c r="C18" s="211" t="n">
        <x:v>0.3541666666666667</x:v>
      </x:c>
      <x:c r="D18" s="217" t="n">
        <x:f>DIEN_TICH!DV18</x:f>
        <x:v>0</x:v>
      </x:c>
      <x:c r="E18" s="217" t="str">
        <x:f>IF(D18="","",D18/2*CAI_DAT!$B$8)</x:f>
      </x:c>
      <x:c r="F18" s="217" t="str">
        <x:f>IFERROR(INDEX(CSV_6001!$C$1:$AX$50,MATCH("KwhGiao",CSV_6001!$B$1:$B$50,0),ROW()-1)/1000,"")</x:f>
      </x:c>
      <x:c r="G18" s="217" t="str">
        <x:f>IF(F18="","",F18*2)</x:f>
      </x:c>
      <x:c r="H18" s="217" t="str">
        <x:f>IF(D18="","",D18*(1-CAI_DAT!$B$9))</x:f>
      </x:c>
      <x:c r="I18" s="217" t="str">
        <x:f>IF(D18="","",D18*(1+CAI_DAT!$B$9))</x:f>
      </x:c>
      <x:c r="J18" s="217" t="str">
        <x:f>IFERROR(INDEX(CSV_6303!$C$1:$AX$50,MATCH("KwhGiao",CSV_6303!$B$1:$B$50,0),ROW()-1)/1000,"")</x:f>
      </x:c>
      <x:c r="K18" s="217" t="str">
        <x:f>IF(OR(D18="",F18="",J18=""),"",IF(OR(G18&lt;H18,G18&gt;I18),J18-E18,0))</x:f>
      </x:c>
      <x:c r="L18" s="142" t="str">
        <x:f>IF(OR(D18="",F18=""),"",IF(G18&lt;H18,"âm",IF(G18&gt;I18,"dương","trong ±3%")))</x:f>
      </x:c>
      <x:c r="M18" s="142" t="str">
        <x:f>IF(CAI_DAT!$B$4&lt;TODAY(),"Đã ghi nhận",IF(CAI_DAT!$B$4&gt;TODAY(),"Dự kiến",IF(C18&lt;=MOD(NOW(),1),"Đã ghi nhận",IF(B18&lt;=MOD(NOW(),1),"Chu kỳ hiện tại","Dự kiến"))))</x:f>
        <x:v>Đã ghi nhận</x:v>
      </x:c>
      <x:c r="N18" s="39" t="str">
        <x:v>Tính từ các đoạn công suất giao với chu kỳ</x:v>
      </x:c>
      <x:c r="O18" s="266"/>
      <x:c r="P18" s="266" t="str">
        <x:f>IF(OR(O18="",D18=""),"",D18-O18)</x:f>
      </x:c>
      <x:c r="Q18" t="str">
        <x:f>IF(P18="","",IF(ABS(P18)&lt;=0.15,"Khớp",IF(ABS(P18)&lt;=0.3,"Kiểm tra","Lệch lớn")))</x:f>
      </x:c>
      <x:c r="R18" t="str"/>
    </x:row>
    <x:row r="19">
      <x:c r="A19" s="38" t="str">
        <x:f>TEXT(ROW()-1,"00")&amp;" ["&amp;TEXT(B19,"hh:mm")&amp;"-"&amp;TEXT(C19,"hh:mm")&amp;"]"</x:f>
        <x:v>18 [08:30-09:00]</x:v>
      </x:c>
      <x:c r="B19" s="211" t="n">
        <x:v>0.3541666666666667</x:v>
      </x:c>
      <x:c r="C19" s="211" t="n">
        <x:v>0.375</x:v>
      </x:c>
      <x:c r="D19" s="217" t="n">
        <x:f>DIEN_TICH!DV19</x:f>
        <x:v>0</x:v>
      </x:c>
      <x:c r="E19" s="217" t="str">
        <x:f>IF(D19="","",D19/2*CAI_DAT!$B$8)</x:f>
      </x:c>
      <x:c r="F19" s="217" t="str">
        <x:f>IFERROR(INDEX(CSV_6001!$C$1:$AX$50,MATCH("KwhGiao",CSV_6001!$B$1:$B$50,0),ROW()-1)/1000,"")</x:f>
      </x:c>
      <x:c r="G19" s="217" t="str">
        <x:f>IF(F19="","",F19*2)</x:f>
      </x:c>
      <x:c r="H19" s="217" t="str">
        <x:f>IF(D19="","",D19*(1-CAI_DAT!$B$9))</x:f>
      </x:c>
      <x:c r="I19" s="217" t="str">
        <x:f>IF(D19="","",D19*(1+CAI_DAT!$B$9))</x:f>
      </x:c>
      <x:c r="J19" s="217" t="str">
        <x:f>IFERROR(INDEX(CSV_6303!$C$1:$AX$50,MATCH("KwhGiao",CSV_6303!$B$1:$B$50,0),ROW()-1)/1000,"")</x:f>
      </x:c>
      <x:c r="K19" s="217" t="str">
        <x:f>IF(OR(D19="",F19="",J19=""),"",IF(OR(G19&lt;H19,G19&gt;I19),J19-E19,0))</x:f>
      </x:c>
      <x:c r="L19" s="142" t="str">
        <x:f>IF(OR(D19="",F19=""),"",IF(G19&lt;H19,"âm",IF(G19&gt;I19,"dương","trong ±3%")))</x:f>
      </x:c>
      <x:c r="M19" s="142" t="str">
        <x:f>IF(CAI_DAT!$B$4&lt;TODAY(),"Đã ghi nhận",IF(CAI_DAT!$B$4&gt;TODAY(),"Dự kiến",IF(C19&lt;=MOD(NOW(),1),"Đã ghi nhận",IF(B19&lt;=MOD(NOW(),1),"Chu kỳ hiện tại","Dự kiến"))))</x:f>
        <x:v>Đã ghi nhận</x:v>
      </x:c>
      <x:c r="N19" s="39" t="str">
        <x:v>Tính từ các đoạn công suất giao với chu kỳ</x:v>
      </x:c>
      <x:c r="O19" s="266"/>
      <x:c r="P19" s="266" t="str">
        <x:f>IF(OR(O19="",D19=""),"",D19-O19)</x:f>
      </x:c>
      <x:c r="Q19" t="str">
        <x:f>IF(P19="","",IF(ABS(P19)&lt;=0.15,"Khớp",IF(ABS(P19)&lt;=0.3,"Kiểm tra","Lệch lớn")))</x:f>
      </x:c>
      <x:c r="R19" t="str"/>
    </x:row>
    <x:row r="20">
      <x:c r="A20" s="38" t="str">
        <x:f>TEXT(ROW()-1,"00")&amp;" ["&amp;TEXT(B20,"hh:mm")&amp;"-"&amp;TEXT(C20,"hh:mm")&amp;"]"</x:f>
        <x:v>19 [09:00-09:30]</x:v>
      </x:c>
      <x:c r="B20" s="211" t="n">
        <x:v>0.375</x:v>
      </x:c>
      <x:c r="C20" s="211" t="n">
        <x:v>0.3958333333333333</x:v>
      </x:c>
      <x:c r="D20" s="217" t="n">
        <x:f>DIEN_TICH!DV20</x:f>
        <x:v>0</x:v>
      </x:c>
      <x:c r="E20" s="217" t="str">
        <x:f>IF(D20="","",D20/2*CAI_DAT!$B$8)</x:f>
      </x:c>
      <x:c r="F20" s="217" t="str">
        <x:f>IFERROR(INDEX(CSV_6001!$C$1:$AX$50,MATCH("KwhGiao",CSV_6001!$B$1:$B$50,0),ROW()-1)/1000,"")</x:f>
      </x:c>
      <x:c r="G20" s="217" t="str">
        <x:f>IF(F20="","",F20*2)</x:f>
      </x:c>
      <x:c r="H20" s="217" t="str">
        <x:f>IF(D20="","",D20*(1-CAI_DAT!$B$9))</x:f>
      </x:c>
      <x:c r="I20" s="217" t="str">
        <x:f>IF(D20="","",D20*(1+CAI_DAT!$B$9))</x:f>
      </x:c>
      <x:c r="J20" s="217" t="str">
        <x:f>IFERROR(INDEX(CSV_6303!$C$1:$AX$50,MATCH("KwhGiao",CSV_6303!$B$1:$B$50,0),ROW()-1)/1000,"")</x:f>
      </x:c>
      <x:c r="K20" s="217" t="str">
        <x:f>IF(OR(D20="",F20="",J20=""),"",IF(OR(G20&lt;H20,G20&gt;I20),J20-E20,0))</x:f>
      </x:c>
      <x:c r="L20" s="142" t="str">
        <x:f>IF(OR(D20="",F20=""),"",IF(G20&lt;H20,"âm",IF(G20&gt;I20,"dương","trong ±3%")))</x:f>
      </x:c>
      <x:c r="M20" s="142" t="str">
        <x:f>IF(CAI_DAT!$B$4&lt;TODAY(),"Đã ghi nhận",IF(CAI_DAT!$B$4&gt;TODAY(),"Dự kiến",IF(C20&lt;=MOD(NOW(),1),"Đã ghi nhận",IF(B20&lt;=MOD(NOW(),1),"Chu kỳ hiện tại","Dự kiến"))))</x:f>
        <x:v>Đã ghi nhận</x:v>
      </x:c>
      <x:c r="N20" s="39" t="str">
        <x:v>Tính từ các đoạn công suất giao với chu kỳ</x:v>
      </x:c>
      <x:c r="O20" s="266"/>
      <x:c r="P20" s="266" t="str">
        <x:f>IF(OR(O20="",D20=""),"",D20-O20)</x:f>
      </x:c>
      <x:c r="Q20" t="str">
        <x:f>IF(P20="","",IF(ABS(P20)&lt;=0.15,"Khớp",IF(ABS(P20)&lt;=0.3,"Kiểm tra","Lệch lớn")))</x:f>
      </x:c>
      <x:c r="R20" t="str"/>
    </x:row>
    <x:row r="21">
      <x:c r="A21" s="38" t="str">
        <x:f>TEXT(ROW()-1,"00")&amp;" ["&amp;TEXT(B21,"hh:mm")&amp;"-"&amp;TEXT(C21,"hh:mm")&amp;"]"</x:f>
        <x:v>20 [09:30-10:00]</x:v>
      </x:c>
      <x:c r="B21" s="211" t="n">
        <x:v>0.3958333333333333</x:v>
      </x:c>
      <x:c r="C21" s="211" t="n">
        <x:v>0.4166666666666667</x:v>
      </x:c>
      <x:c r="D21" s="217" t="n">
        <x:f>DIEN_TICH!DV21</x:f>
        <x:v>0</x:v>
      </x:c>
      <x:c r="E21" s="217" t="str">
        <x:f>IF(D21="","",D21/2*CAI_DAT!$B$8)</x:f>
      </x:c>
      <x:c r="F21" s="217" t="str">
        <x:f>IFERROR(INDEX(CSV_6001!$C$1:$AX$50,MATCH("KwhGiao",CSV_6001!$B$1:$B$50,0),ROW()-1)/1000,"")</x:f>
      </x:c>
      <x:c r="G21" s="217" t="str">
        <x:f>IF(F21="","",F21*2)</x:f>
      </x:c>
      <x:c r="H21" s="217" t="str">
        <x:f>IF(D21="","",D21*(1-CAI_DAT!$B$9))</x:f>
      </x:c>
      <x:c r="I21" s="217" t="str">
        <x:f>IF(D21="","",D21*(1+CAI_DAT!$B$9))</x:f>
      </x:c>
      <x:c r="J21" s="217" t="str">
        <x:f>IFERROR(INDEX(CSV_6303!$C$1:$AX$50,MATCH("KwhGiao",CSV_6303!$B$1:$B$50,0),ROW()-1)/1000,"")</x:f>
      </x:c>
      <x:c r="K21" s="217" t="str">
        <x:f>IF(OR(D21="",F21="",J21=""),"",IF(OR(G21&lt;H21,G21&gt;I21),J21-E21,0))</x:f>
      </x:c>
      <x:c r="L21" s="142" t="str">
        <x:f>IF(OR(D21="",F21=""),"",IF(G21&lt;H21,"âm",IF(G21&gt;I21,"dương","trong ±3%")))</x:f>
      </x:c>
      <x:c r="M21" s="142" t="str">
        <x:f>IF(CAI_DAT!$B$4&lt;TODAY(),"Đã ghi nhận",IF(CAI_DAT!$B$4&gt;TODAY(),"Dự kiến",IF(C21&lt;=MOD(NOW(),1),"Đã ghi nhận",IF(B21&lt;=MOD(NOW(),1),"Chu kỳ hiện tại","Dự kiến"))))</x:f>
        <x:v>Đã ghi nhận</x:v>
      </x:c>
      <x:c r="N21" s="39" t="str">
        <x:v>Tính từ các đoạn công suất giao với chu kỳ</x:v>
      </x:c>
      <x:c r="O21" s="266"/>
      <x:c r="P21" s="266" t="str">
        <x:f>IF(OR(O21="",D21=""),"",D21-O21)</x:f>
      </x:c>
      <x:c r="Q21" t="str">
        <x:f>IF(P21="","",IF(ABS(P21)&lt;=0.15,"Khớp",IF(ABS(P21)&lt;=0.3,"Kiểm tra","Lệch lớn")))</x:f>
      </x:c>
      <x:c r="R21" t="str"/>
    </x:row>
    <x:row r="22">
      <x:c r="A22" s="38" t="str">
        <x:f>TEXT(ROW()-1,"00")&amp;" ["&amp;TEXT(B22,"hh:mm")&amp;"-"&amp;TEXT(C22,"hh:mm")&amp;"]"</x:f>
        <x:v>21 [10:00-10:30]</x:v>
      </x:c>
      <x:c r="B22" s="211" t="n">
        <x:v>0.4166666666666667</x:v>
      </x:c>
      <x:c r="C22" s="211" t="n">
        <x:v>0.4375</x:v>
      </x:c>
      <x:c r="D22" s="217" t="n">
        <x:f>DIEN_TICH!DV22</x:f>
        <x:v>0</x:v>
      </x:c>
      <x:c r="E22" s="217" t="str">
        <x:f>IF(D22="","",D22/2*CAI_DAT!$B$8)</x:f>
      </x:c>
      <x:c r="F22" s="217" t="str">
        <x:f>IFERROR(INDEX(CSV_6001!$C$1:$AX$50,MATCH("KwhGiao",CSV_6001!$B$1:$B$50,0),ROW()-1)/1000,"")</x:f>
      </x:c>
      <x:c r="G22" s="217" t="str">
        <x:f>IF(F22="","",F22*2)</x:f>
      </x:c>
      <x:c r="H22" s="217" t="str">
        <x:f>IF(D22="","",D22*(1-CAI_DAT!$B$9))</x:f>
      </x:c>
      <x:c r="I22" s="217" t="str">
        <x:f>IF(D22="","",D22*(1+CAI_DAT!$B$9))</x:f>
      </x:c>
      <x:c r="J22" s="217" t="str">
        <x:f>IFERROR(INDEX(CSV_6303!$C$1:$AX$50,MATCH("KwhGiao",CSV_6303!$B$1:$B$50,0),ROW()-1)/1000,"")</x:f>
      </x:c>
      <x:c r="K22" s="217" t="str">
        <x:f>IF(OR(D22="",F22="",J22=""),"",IF(OR(G22&lt;H22,G22&gt;I22),J22-E22,0))</x:f>
      </x:c>
      <x:c r="L22" s="142" t="str">
        <x:f>IF(OR(D22="",F22=""),"",IF(G22&lt;H22,"âm",IF(G22&gt;I22,"dương","trong ±3%")))</x:f>
      </x:c>
      <x:c r="M22" s="142" t="str">
        <x:f>IF(CAI_DAT!$B$4&lt;TODAY(),"Đã ghi nhận",IF(CAI_DAT!$B$4&gt;TODAY(),"Dự kiến",IF(C22&lt;=MOD(NOW(),1),"Đã ghi nhận",IF(B22&lt;=MOD(NOW(),1),"Chu kỳ hiện tại","Dự kiến"))))</x:f>
        <x:v>Đã ghi nhận</x:v>
      </x:c>
      <x:c r="N22" s="39" t="str">
        <x:v>Tính từ các đoạn công suất giao với chu kỳ</x:v>
      </x:c>
      <x:c r="O22" s="266"/>
      <x:c r="P22" s="266" t="str">
        <x:f>IF(OR(O22="",D22=""),"",D22-O22)</x:f>
      </x:c>
      <x:c r="Q22" t="str">
        <x:f>IF(P22="","",IF(ABS(P22)&lt;=0.15,"Khớp",IF(ABS(P22)&lt;=0.3,"Kiểm tra","Lệch lớn")))</x:f>
      </x:c>
      <x:c r="R22" t="str"/>
    </x:row>
    <x:row r="23">
      <x:c r="A23" s="38" t="str">
        <x:f>TEXT(ROW()-1,"00")&amp;" ["&amp;TEXT(B23,"hh:mm")&amp;"-"&amp;TEXT(C23,"hh:mm")&amp;"]"</x:f>
        <x:v>22 [10:30-11:00]</x:v>
      </x:c>
      <x:c r="B23" s="211" t="n">
        <x:v>0.4375</x:v>
      </x:c>
      <x:c r="C23" s="211" t="n">
        <x:v>0.4583333333333333</x:v>
      </x:c>
      <x:c r="D23" s="217" t="n">
        <x:f>DIEN_TICH!DV23</x:f>
        <x:v>0</x:v>
      </x:c>
      <x:c r="E23" s="217" t="str">
        <x:f>IF(D23="","",D23/2*CAI_DAT!$B$8)</x:f>
      </x:c>
      <x:c r="F23" s="217" t="str">
        <x:f>IFERROR(INDEX(CSV_6001!$C$1:$AX$50,MATCH("KwhGiao",CSV_6001!$B$1:$B$50,0),ROW()-1)/1000,"")</x:f>
      </x:c>
      <x:c r="G23" s="217" t="str">
        <x:f>IF(F23="","",F23*2)</x:f>
      </x:c>
      <x:c r="H23" s="217" t="str">
        <x:f>IF(D23="","",D23*(1-CAI_DAT!$B$9))</x:f>
      </x:c>
      <x:c r="I23" s="217" t="str">
        <x:f>IF(D23="","",D23*(1+CAI_DAT!$B$9))</x:f>
      </x:c>
      <x:c r="J23" s="217" t="str">
        <x:f>IFERROR(INDEX(CSV_6303!$C$1:$AX$50,MATCH("KwhGiao",CSV_6303!$B$1:$B$50,0),ROW()-1)/1000,"")</x:f>
      </x:c>
      <x:c r="K23" s="217" t="str">
        <x:f>IF(OR(D23="",F23="",J23=""),"",IF(OR(G23&lt;H23,G23&gt;I23),J23-E23,0))</x:f>
      </x:c>
      <x:c r="L23" s="142" t="str">
        <x:f>IF(OR(D23="",F23=""),"",IF(G23&lt;H23,"âm",IF(G23&gt;I23,"dương","trong ±3%")))</x:f>
      </x:c>
      <x:c r="M23" s="142" t="str">
        <x:f>IF(CAI_DAT!$B$4&lt;TODAY(),"Đã ghi nhận",IF(CAI_DAT!$B$4&gt;TODAY(),"Dự kiến",IF(C23&lt;=MOD(NOW(),1),"Đã ghi nhận",IF(B23&lt;=MOD(NOW(),1),"Chu kỳ hiện tại","Dự kiến"))))</x:f>
        <x:v>Đã ghi nhận</x:v>
      </x:c>
      <x:c r="N23" s="39" t="str">
        <x:v>Tính từ các đoạn công suất giao với chu kỳ</x:v>
      </x:c>
      <x:c r="O23" s="266"/>
      <x:c r="P23" s="266" t="str">
        <x:f>IF(OR(O23="",D23=""),"",D23-O23)</x:f>
      </x:c>
      <x:c r="Q23" t="str">
        <x:f>IF(P23="","",IF(ABS(P23)&lt;=0.15,"Khớp",IF(ABS(P23)&lt;=0.3,"Kiểm tra","Lệch lớn")))</x:f>
      </x:c>
      <x:c r="R23" t="str"/>
    </x:row>
    <x:row r="24">
      <x:c r="A24" s="38" t="str">
        <x:f>TEXT(ROW()-1,"00")&amp;" ["&amp;TEXT(B24,"hh:mm")&amp;"-"&amp;TEXT(C24,"hh:mm")&amp;"]"</x:f>
        <x:v>23 [11:00-11:30]</x:v>
      </x:c>
      <x:c r="B24" s="211" t="n">
        <x:v>0.4583333333333333</x:v>
      </x:c>
      <x:c r="C24" s="211" t="n">
        <x:v>0.4791666666666667</x:v>
      </x:c>
      <x:c r="D24" s="217" t="n">
        <x:f>DIEN_TICH!DV24</x:f>
        <x:v>0</x:v>
      </x:c>
      <x:c r="E24" s="217" t="str">
        <x:f>IF(D24="","",D24/2*CAI_DAT!$B$8)</x:f>
      </x:c>
      <x:c r="F24" s="217" t="str">
        <x:f>IFERROR(INDEX(CSV_6001!$C$1:$AX$50,MATCH("KwhGiao",CSV_6001!$B$1:$B$50,0),ROW()-1)/1000,"")</x:f>
      </x:c>
      <x:c r="G24" s="217" t="str">
        <x:f>IF(F24="","",F24*2)</x:f>
      </x:c>
      <x:c r="H24" s="217" t="str">
        <x:f>IF(D24="","",D24*(1-CAI_DAT!$B$9))</x:f>
      </x:c>
      <x:c r="I24" s="217" t="str">
        <x:f>IF(D24="","",D24*(1+CAI_DAT!$B$9))</x:f>
      </x:c>
      <x:c r="J24" s="217" t="str">
        <x:f>IFERROR(INDEX(CSV_6303!$C$1:$AX$50,MATCH("KwhGiao",CSV_6303!$B$1:$B$50,0),ROW()-1)/1000,"")</x:f>
      </x:c>
      <x:c r="K24" s="217" t="str">
        <x:f>IF(OR(D24="",F24="",J24=""),"",IF(OR(G24&lt;H24,G24&gt;I24),J24-E24,0))</x:f>
      </x:c>
      <x:c r="L24" s="142" t="str">
        <x:f>IF(OR(D24="",F24=""),"",IF(G24&lt;H24,"âm",IF(G24&gt;I24,"dương","trong ±3%")))</x:f>
      </x:c>
      <x:c r="M24" s="142" t="str">
        <x:f>IF(CAI_DAT!$B$4&lt;TODAY(),"Đã ghi nhận",IF(CAI_DAT!$B$4&gt;TODAY(),"Dự kiến",IF(C24&lt;=MOD(NOW(),1),"Đã ghi nhận",IF(B24&lt;=MOD(NOW(),1),"Chu kỳ hiện tại","Dự kiến"))))</x:f>
        <x:v>Đã ghi nhận</x:v>
      </x:c>
      <x:c r="N24" s="39" t="str">
        <x:v>Tính từ các đoạn công suất giao với chu kỳ</x:v>
      </x:c>
      <x:c r="O24" s="266"/>
      <x:c r="P24" s="266" t="str">
        <x:f>IF(OR(O24="",D24=""),"",D24-O24)</x:f>
      </x:c>
      <x:c r="Q24" t="str">
        <x:f>IF(P24="","",IF(ABS(P24)&lt;=0.15,"Khớp",IF(ABS(P24)&lt;=0.3,"Kiểm tra","Lệch lớn")))</x:f>
      </x:c>
      <x:c r="R24" t="str"/>
    </x:row>
    <x:row r="25">
      <x:c r="A25" s="38" t="str">
        <x:f>TEXT(ROW()-1,"00")&amp;" ["&amp;TEXT(B25,"hh:mm")&amp;"-"&amp;TEXT(C25,"hh:mm")&amp;"]"</x:f>
        <x:v>24 [11:30-12:00]</x:v>
      </x:c>
      <x:c r="B25" s="211" t="n">
        <x:v>0.4791666666666667</x:v>
      </x:c>
      <x:c r="C25" s="211" t="n">
        <x:v>0.5</x:v>
      </x:c>
      <x:c r="D25" s="217" t="n">
        <x:f>DIEN_TICH!DV25</x:f>
        <x:v>0</x:v>
      </x:c>
      <x:c r="E25" s="217" t="str">
        <x:f>IF(D25="","",D25/2*CAI_DAT!$B$8)</x:f>
      </x:c>
      <x:c r="F25" s="217" t="str">
        <x:f>IFERROR(INDEX(CSV_6001!$C$1:$AX$50,MATCH("KwhGiao",CSV_6001!$B$1:$B$50,0),ROW()-1)/1000,"")</x:f>
      </x:c>
      <x:c r="G25" s="217" t="str">
        <x:f>IF(F25="","",F25*2)</x:f>
      </x:c>
      <x:c r="H25" s="217" t="str">
        <x:f>IF(D25="","",D25*(1-CAI_DAT!$B$9))</x:f>
      </x:c>
      <x:c r="I25" s="217" t="str">
        <x:f>IF(D25="","",D25*(1+CAI_DAT!$B$9))</x:f>
      </x:c>
      <x:c r="J25" s="217" t="str">
        <x:f>IFERROR(INDEX(CSV_6303!$C$1:$AX$50,MATCH("KwhGiao",CSV_6303!$B$1:$B$50,0),ROW()-1)/1000,"")</x:f>
      </x:c>
      <x:c r="K25" s="217" t="str">
        <x:f>IF(OR(D25="",F25="",J25=""),"",IF(OR(G25&lt;H25,G25&gt;I25),J25-E25,0))</x:f>
      </x:c>
      <x:c r="L25" s="142" t="str">
        <x:f>IF(OR(D25="",F25=""),"",IF(G25&lt;H25,"âm",IF(G25&gt;I25,"dương","trong ±3%")))</x:f>
      </x:c>
      <x:c r="M25" s="142" t="str">
        <x:f>IF(CAI_DAT!$B$4&lt;TODAY(),"Đã ghi nhận",IF(CAI_DAT!$B$4&gt;TODAY(),"Dự kiến",IF(C25&lt;=MOD(NOW(),1),"Đã ghi nhận",IF(B25&lt;=MOD(NOW(),1),"Chu kỳ hiện tại","Dự kiến"))))</x:f>
        <x:v>Đã ghi nhận</x:v>
      </x:c>
      <x:c r="N25" s="39" t="str">
        <x:v>Tính từ các đoạn công suất giao với chu kỳ</x:v>
      </x:c>
      <x:c r="O25" s="266"/>
      <x:c r="P25" s="266" t="str">
        <x:f>IF(OR(O25="",D25=""),"",D25-O25)</x:f>
      </x:c>
      <x:c r="Q25" t="str">
        <x:f>IF(P25="","",IF(ABS(P25)&lt;=0.15,"Khớp",IF(ABS(P25)&lt;=0.3,"Kiểm tra","Lệch lớn")))</x:f>
      </x:c>
      <x:c r="R25" t="str"/>
    </x:row>
    <x:row r="26">
      <x:c r="A26" s="38" t="str">
        <x:f>TEXT(ROW()-1,"00")&amp;" ["&amp;TEXT(B26,"hh:mm")&amp;"-"&amp;TEXT(C26,"hh:mm")&amp;"]"</x:f>
        <x:v>25 [12:00-12:30]</x:v>
      </x:c>
      <x:c r="B26" s="211" t="n">
        <x:v>0.5</x:v>
      </x:c>
      <x:c r="C26" s="211" t="n">
        <x:v>0.5208333333333334</x:v>
      </x:c>
      <x:c r="D26" s="217" t="n">
        <x:f>DIEN_TICH!DV26</x:f>
        <x:v>0</x:v>
      </x:c>
      <x:c r="E26" s="217" t="str">
        <x:f>IF(D26="","",D26/2*CAI_DAT!$B$8)</x:f>
      </x:c>
      <x:c r="F26" s="217" t="str">
        <x:f>IFERROR(INDEX(CSV_6001!$C$1:$AX$50,MATCH("KwhGiao",CSV_6001!$B$1:$B$50,0),ROW()-1)/1000,"")</x:f>
      </x:c>
      <x:c r="G26" s="217" t="str">
        <x:f>IF(F26="","",F26*2)</x:f>
      </x:c>
      <x:c r="H26" s="217" t="str">
        <x:f>IF(D26="","",D26*(1-CAI_DAT!$B$9))</x:f>
      </x:c>
      <x:c r="I26" s="217" t="str">
        <x:f>IF(D26="","",D26*(1+CAI_DAT!$B$9))</x:f>
      </x:c>
      <x:c r="J26" s="217" t="str">
        <x:f>IFERROR(INDEX(CSV_6303!$C$1:$AX$50,MATCH("KwhGiao",CSV_6303!$B$1:$B$50,0),ROW()-1)/1000,"")</x:f>
      </x:c>
      <x:c r="K26" s="217" t="str">
        <x:f>IF(OR(D26="",F26="",J26=""),"",IF(OR(G26&lt;H26,G26&gt;I26),J26-E26,0))</x:f>
      </x:c>
      <x:c r="L26" s="142" t="str">
        <x:f>IF(OR(D26="",F26=""),"",IF(G26&lt;H26,"âm",IF(G26&gt;I26,"dương","trong ±3%")))</x:f>
      </x:c>
      <x:c r="M26" s="142" t="str">
        <x:f>IF(CAI_DAT!$B$4&lt;TODAY(),"Đã ghi nhận",IF(CAI_DAT!$B$4&gt;TODAY(),"Dự kiến",IF(C26&lt;=MOD(NOW(),1),"Đã ghi nhận",IF(B26&lt;=MOD(NOW(),1),"Chu kỳ hiện tại","Dự kiến"))))</x:f>
        <x:v>Đã ghi nhận</x:v>
      </x:c>
      <x:c r="N26" s="39" t="str">
        <x:v>Tính từ các đoạn công suất giao với chu kỳ</x:v>
      </x:c>
      <x:c r="O26" s="266"/>
      <x:c r="P26" s="266" t="str">
        <x:f>IF(OR(O26="",D26=""),"",D26-O26)</x:f>
      </x:c>
      <x:c r="Q26" t="str">
        <x:f>IF(P26="","",IF(ABS(P26)&lt;=0.15,"Khớp",IF(ABS(P26)&lt;=0.3,"Kiểm tra","Lệch lớn")))</x:f>
      </x:c>
      <x:c r="R26" t="str"/>
    </x:row>
    <x:row r="27">
      <x:c r="A27" s="38" t="str">
        <x:f>TEXT(ROW()-1,"00")&amp;" ["&amp;TEXT(B27,"hh:mm")&amp;"-"&amp;TEXT(C27,"hh:mm")&amp;"]"</x:f>
        <x:v>26 [12:30-13:00]</x:v>
      </x:c>
      <x:c r="B27" s="211" t="n">
        <x:v>0.5208333333333334</x:v>
      </x:c>
      <x:c r="C27" s="211" t="n">
        <x:v>0.5416666666666666</x:v>
      </x:c>
      <x:c r="D27" s="217" t="n">
        <x:f>DIEN_TICH!DV27</x:f>
        <x:v>0</x:v>
      </x:c>
      <x:c r="E27" s="217" t="str">
        <x:f>IF(D27="","",D27/2*CAI_DAT!$B$8)</x:f>
      </x:c>
      <x:c r="F27" s="217" t="str">
        <x:f>IFERROR(INDEX(CSV_6001!$C$1:$AX$50,MATCH("KwhGiao",CSV_6001!$B$1:$B$50,0),ROW()-1)/1000,"")</x:f>
      </x:c>
      <x:c r="G27" s="217" t="str">
        <x:f>IF(F27="","",F27*2)</x:f>
      </x:c>
      <x:c r="H27" s="217" t="str">
        <x:f>IF(D27="","",D27*(1-CAI_DAT!$B$9))</x:f>
      </x:c>
      <x:c r="I27" s="217" t="str">
        <x:f>IF(D27="","",D27*(1+CAI_DAT!$B$9))</x:f>
      </x:c>
      <x:c r="J27" s="217" t="str">
        <x:f>IFERROR(INDEX(CSV_6303!$C$1:$AX$50,MATCH("KwhGiao",CSV_6303!$B$1:$B$50,0),ROW()-1)/1000,"")</x:f>
      </x:c>
      <x:c r="K27" s="217" t="str">
        <x:f>IF(OR(D27="",F27="",J27=""),"",IF(OR(G27&lt;H27,G27&gt;I27),J27-E27,0))</x:f>
      </x:c>
      <x:c r="L27" s="142" t="str">
        <x:f>IF(OR(D27="",F27=""),"",IF(G27&lt;H27,"âm",IF(G27&gt;I27,"dương","trong ±3%")))</x:f>
      </x:c>
      <x:c r="M27" s="142" t="str">
        <x:f>IF(CAI_DAT!$B$4&lt;TODAY(),"Đã ghi nhận",IF(CAI_DAT!$B$4&gt;TODAY(),"Dự kiến",IF(C27&lt;=MOD(NOW(),1),"Đã ghi nhận",IF(B27&lt;=MOD(NOW(),1),"Chu kỳ hiện tại","Dự kiến"))))</x:f>
        <x:v>Đã ghi nhận</x:v>
      </x:c>
      <x:c r="N27" s="39" t="str">
        <x:v>Tính từ các đoạn công suất giao với chu kỳ</x:v>
      </x:c>
      <x:c r="O27" s="266"/>
      <x:c r="P27" s="266" t="str">
        <x:f>IF(OR(O27="",D27=""),"",D27-O27)</x:f>
      </x:c>
      <x:c r="Q27" t="str">
        <x:f>IF(P27="","",IF(ABS(P27)&lt;=0.15,"Khớp",IF(ABS(P27)&lt;=0.3,"Kiểm tra","Lệch lớn")))</x:f>
      </x:c>
      <x:c r="R27" t="str"/>
    </x:row>
    <x:row r="28">
      <x:c r="A28" s="38" t="str">
        <x:f>TEXT(ROW()-1,"00")&amp;" ["&amp;TEXT(B28,"hh:mm")&amp;"-"&amp;TEXT(C28,"hh:mm")&amp;"]"</x:f>
        <x:v>27 [13:00-13:30]</x:v>
      </x:c>
      <x:c r="B28" s="211" t="n">
        <x:v>0.5416666666666666</x:v>
      </x:c>
      <x:c r="C28" s="211" t="n">
        <x:v>0.5625</x:v>
      </x:c>
      <x:c r="D28" s="217" t="n">
        <x:f>DIEN_TICH!DV28</x:f>
        <x:v>0</x:v>
      </x:c>
      <x:c r="E28" s="217" t="str">
        <x:f>IF(D28="","",D28/2*CAI_DAT!$B$8)</x:f>
      </x:c>
      <x:c r="F28" s="217" t="str">
        <x:f>IFERROR(INDEX(CSV_6001!$C$1:$AX$50,MATCH("KwhGiao",CSV_6001!$B$1:$B$50,0),ROW()-1)/1000,"")</x:f>
      </x:c>
      <x:c r="G28" s="217" t="str">
        <x:f>IF(F28="","",F28*2)</x:f>
      </x:c>
      <x:c r="H28" s="217" t="str">
        <x:f>IF(D28="","",D28*(1-CAI_DAT!$B$9))</x:f>
      </x:c>
      <x:c r="I28" s="217" t="str">
        <x:f>IF(D28="","",D28*(1+CAI_DAT!$B$9))</x:f>
      </x:c>
      <x:c r="J28" s="217" t="str">
        <x:f>IFERROR(INDEX(CSV_6303!$C$1:$AX$50,MATCH("KwhGiao",CSV_6303!$B$1:$B$50,0),ROW()-1)/1000,"")</x:f>
      </x:c>
      <x:c r="K28" s="217" t="str">
        <x:f>IF(OR(D28="",F28="",J28=""),"",IF(OR(G28&lt;H28,G28&gt;I28),J28-E28,0))</x:f>
      </x:c>
      <x:c r="L28" s="142" t="str">
        <x:f>IF(OR(D28="",F28=""),"",IF(G28&lt;H28,"âm",IF(G28&gt;I28,"dương","trong ±3%")))</x:f>
      </x:c>
      <x:c r="M28" s="142" t="str">
        <x:f>IF(CAI_DAT!$B$4&lt;TODAY(),"Đã ghi nhận",IF(CAI_DAT!$B$4&gt;TODAY(),"Dự kiến",IF(C28&lt;=MOD(NOW(),1),"Đã ghi nhận",IF(B28&lt;=MOD(NOW(),1),"Chu kỳ hiện tại","Dự kiến"))))</x:f>
        <x:v>Đã ghi nhận</x:v>
      </x:c>
      <x:c r="N28" s="39" t="str">
        <x:v>Tính từ các đoạn công suất giao với chu kỳ</x:v>
      </x:c>
      <x:c r="O28" s="266"/>
      <x:c r="P28" s="266" t="str">
        <x:f>IF(OR(O28="",D28=""),"",D28-O28)</x:f>
      </x:c>
      <x:c r="Q28" t="str">
        <x:f>IF(P28="","",IF(ABS(P28)&lt;=0.15,"Khớp",IF(ABS(P28)&lt;=0.3,"Kiểm tra","Lệch lớn")))</x:f>
      </x:c>
      <x:c r="R28" t="str"/>
    </x:row>
    <x:row r="29">
      <x:c r="A29" s="38" t="str">
        <x:f>TEXT(ROW()-1,"00")&amp;" ["&amp;TEXT(B29,"hh:mm")&amp;"-"&amp;TEXT(C29,"hh:mm")&amp;"]"</x:f>
        <x:v>28 [13:30-14:00]</x:v>
      </x:c>
      <x:c r="B29" s="211" t="n">
        <x:v>0.5625</x:v>
      </x:c>
      <x:c r="C29" s="211" t="n">
        <x:v>0.5833333333333334</x:v>
      </x:c>
      <x:c r="D29" s="217" t="n">
        <x:f>DIEN_TICH!DV29</x:f>
        <x:v>0</x:v>
      </x:c>
      <x:c r="E29" s="217" t="str">
        <x:f>IF(D29="","",D29/2*CAI_DAT!$B$8)</x:f>
      </x:c>
      <x:c r="F29" s="217" t="str">
        <x:f>IFERROR(INDEX(CSV_6001!$C$1:$AX$50,MATCH("KwhGiao",CSV_6001!$B$1:$B$50,0),ROW()-1)/1000,"")</x:f>
      </x:c>
      <x:c r="G29" s="217" t="str">
        <x:f>IF(F29="","",F29*2)</x:f>
      </x:c>
      <x:c r="H29" s="217" t="str">
        <x:f>IF(D29="","",D29*(1-CAI_DAT!$B$9))</x:f>
      </x:c>
      <x:c r="I29" s="217" t="str">
        <x:f>IF(D29="","",D29*(1+CAI_DAT!$B$9))</x:f>
      </x:c>
      <x:c r="J29" s="217" t="str">
        <x:f>IFERROR(INDEX(CSV_6303!$C$1:$AX$50,MATCH("KwhGiao",CSV_6303!$B$1:$B$50,0),ROW()-1)/1000,"")</x:f>
      </x:c>
      <x:c r="K29" s="217" t="str">
        <x:f>IF(OR(D29="",F29="",J29=""),"",IF(OR(G29&lt;H29,G29&gt;I29),J29-E29,0))</x:f>
      </x:c>
      <x:c r="L29" s="142" t="str">
        <x:f>IF(OR(D29="",F29=""),"",IF(G29&lt;H29,"âm",IF(G29&gt;I29,"dương","trong ±3%")))</x:f>
      </x:c>
      <x:c r="M29" s="142" t="str">
        <x:f>IF(CAI_DAT!$B$4&lt;TODAY(),"Đã ghi nhận",IF(CAI_DAT!$B$4&gt;TODAY(),"Dự kiến",IF(C29&lt;=MOD(NOW(),1),"Đã ghi nhận",IF(B29&lt;=MOD(NOW(),1),"Chu kỳ hiện tại","Dự kiến"))))</x:f>
        <x:v>Đã ghi nhận</x:v>
      </x:c>
      <x:c r="N29" s="39" t="str">
        <x:v>Tính từ các đoạn công suất giao với chu kỳ</x:v>
      </x:c>
      <x:c r="O29" s="266"/>
      <x:c r="P29" s="266" t="str">
        <x:f>IF(OR(O29="",D29=""),"",D29-O29)</x:f>
      </x:c>
      <x:c r="Q29" t="str">
        <x:f>IF(P29="","",IF(ABS(P29)&lt;=0.15,"Khớp",IF(ABS(P29)&lt;=0.3,"Kiểm tra","Lệch lớn")))</x:f>
      </x:c>
      <x:c r="R29" t="str"/>
    </x:row>
    <x:row r="30">
      <x:c r="A30" s="38" t="str">
        <x:f>TEXT(ROW()-1,"00")&amp;" ["&amp;TEXT(B30,"hh:mm")&amp;"-"&amp;TEXT(C30,"hh:mm")&amp;"]"</x:f>
        <x:v>29 [14:00-14:30]</x:v>
      </x:c>
      <x:c r="B30" s="211" t="n">
        <x:v>0.5833333333333334</x:v>
      </x:c>
      <x:c r="C30" s="211" t="n">
        <x:v>0.6041666666666666</x:v>
      </x:c>
      <x:c r="D30" s="217" t="n">
        <x:f>DIEN_TICH!DV30</x:f>
        <x:v>0</x:v>
      </x:c>
      <x:c r="E30" s="217" t="str">
        <x:f>IF(D30="","",D30/2*CAI_DAT!$B$8)</x:f>
      </x:c>
      <x:c r="F30" s="217" t="str">
        <x:f>IFERROR(INDEX(CSV_6001!$C$1:$AX$50,MATCH("KwhGiao",CSV_6001!$B$1:$B$50,0),ROW()-1)/1000,"")</x:f>
      </x:c>
      <x:c r="G30" s="217" t="str">
        <x:f>IF(F30="","",F30*2)</x:f>
      </x:c>
      <x:c r="H30" s="217" t="str">
        <x:f>IF(D30="","",D30*(1-CAI_DAT!$B$9))</x:f>
      </x:c>
      <x:c r="I30" s="217" t="str">
        <x:f>IF(D30="","",D30*(1+CAI_DAT!$B$9))</x:f>
      </x:c>
      <x:c r="J30" s="217" t="str">
        <x:f>IFERROR(INDEX(CSV_6303!$C$1:$AX$50,MATCH("KwhGiao",CSV_6303!$B$1:$B$50,0),ROW()-1)/1000,"")</x:f>
      </x:c>
      <x:c r="K30" s="217" t="str">
        <x:f>IF(OR(D30="",F30="",J30=""),"",IF(OR(G30&lt;H30,G30&gt;I30),J30-E30,0))</x:f>
      </x:c>
      <x:c r="L30" s="142" t="str">
        <x:f>IF(OR(D30="",F30=""),"",IF(G30&lt;H30,"âm",IF(G30&gt;I30,"dương","trong ±3%")))</x:f>
      </x:c>
      <x:c r="M30" s="142" t="str">
        <x:f>IF(CAI_DAT!$B$4&lt;TODAY(),"Đã ghi nhận",IF(CAI_DAT!$B$4&gt;TODAY(),"Dự kiến",IF(C30&lt;=MOD(NOW(),1),"Đã ghi nhận",IF(B30&lt;=MOD(NOW(),1),"Chu kỳ hiện tại","Dự kiến"))))</x:f>
        <x:v>Đã ghi nhận</x:v>
      </x:c>
      <x:c r="N30" s="39" t="str">
        <x:v>Tính từ các đoạn công suất giao với chu kỳ</x:v>
      </x:c>
      <x:c r="O30" s="266"/>
      <x:c r="P30" s="266" t="str">
        <x:f>IF(OR(O30="",D30=""),"",D30-O30)</x:f>
      </x:c>
      <x:c r="Q30" t="str">
        <x:f>IF(P30="","",IF(ABS(P30)&lt;=0.15,"Khớp",IF(ABS(P30)&lt;=0.3,"Kiểm tra","Lệch lớn")))</x:f>
      </x:c>
      <x:c r="R30" t="str"/>
    </x:row>
    <x:row r="31">
      <x:c r="A31" s="38" t="str">
        <x:f>TEXT(ROW()-1,"00")&amp;" ["&amp;TEXT(B31,"hh:mm")&amp;"-"&amp;TEXT(C31,"hh:mm")&amp;"]"</x:f>
        <x:v>30 [14:30-15:00]</x:v>
      </x:c>
      <x:c r="B31" s="211" t="n">
        <x:v>0.6041666666666666</x:v>
      </x:c>
      <x:c r="C31" s="211" t="n">
        <x:v>0.625</x:v>
      </x:c>
      <x:c r="D31" s="217" t="n">
        <x:f>DIEN_TICH!DV31</x:f>
        <x:v>0</x:v>
      </x:c>
      <x:c r="E31" s="217" t="str">
        <x:f>IF(D31="","",D31/2*CAI_DAT!$B$8)</x:f>
      </x:c>
      <x:c r="F31" s="217" t="str">
        <x:f>IFERROR(INDEX(CSV_6001!$C$1:$AX$50,MATCH("KwhGiao",CSV_6001!$B$1:$B$50,0),ROW()-1)/1000,"")</x:f>
      </x:c>
      <x:c r="G31" s="217" t="str">
        <x:f>IF(F31="","",F31*2)</x:f>
      </x:c>
      <x:c r="H31" s="217" t="str">
        <x:f>IF(D31="","",D31*(1-CAI_DAT!$B$9))</x:f>
      </x:c>
      <x:c r="I31" s="217" t="str">
        <x:f>IF(D31="","",D31*(1+CAI_DAT!$B$9))</x:f>
      </x:c>
      <x:c r="J31" s="217" t="str">
        <x:f>IFERROR(INDEX(CSV_6303!$C$1:$AX$50,MATCH("KwhGiao",CSV_6303!$B$1:$B$50,0),ROW()-1)/1000,"")</x:f>
      </x:c>
      <x:c r="K31" s="217" t="str">
        <x:f>IF(OR(D31="",F31="",J31=""),"",IF(OR(G31&lt;H31,G31&gt;I31),J31-E31,0))</x:f>
      </x:c>
      <x:c r="L31" s="142" t="str">
        <x:f>IF(OR(D31="",F31=""),"",IF(G31&lt;H31,"âm",IF(G31&gt;I31,"dương","trong ±3%")))</x:f>
      </x:c>
      <x:c r="M31" s="142" t="str">
        <x:f>IF(CAI_DAT!$B$4&lt;TODAY(),"Đã ghi nhận",IF(CAI_DAT!$B$4&gt;TODAY(),"Dự kiến",IF(C31&lt;=MOD(NOW(),1),"Đã ghi nhận",IF(B31&lt;=MOD(NOW(),1),"Chu kỳ hiện tại","Dự kiến"))))</x:f>
        <x:v>Đã ghi nhận</x:v>
      </x:c>
      <x:c r="N31" s="39" t="str">
        <x:v>Tính từ các đoạn công suất giao với chu kỳ</x:v>
      </x:c>
      <x:c r="O31" s="266"/>
      <x:c r="P31" s="266" t="str">
        <x:f>IF(OR(O31="",D31=""),"",D31-O31)</x:f>
      </x:c>
      <x:c r="Q31" t="str">
        <x:f>IF(P31="","",IF(ABS(P31)&lt;=0.15,"Khớp",IF(ABS(P31)&lt;=0.3,"Kiểm tra","Lệch lớn")))</x:f>
      </x:c>
      <x:c r="R31" t="str"/>
    </x:row>
    <x:row r="32">
      <x:c r="A32" s="38" t="str">
        <x:f>TEXT(ROW()-1,"00")&amp;" ["&amp;TEXT(B32,"hh:mm")&amp;"-"&amp;TEXT(C32,"hh:mm")&amp;"]"</x:f>
        <x:v>31 [15:00-15:30]</x:v>
      </x:c>
      <x:c r="B32" s="211" t="n">
        <x:v>0.625</x:v>
      </x:c>
      <x:c r="C32" s="211" t="n">
        <x:v>0.6458333333333334</x:v>
      </x:c>
      <x:c r="D32" s="217" t="n">
        <x:f>DIEN_TICH!DV32</x:f>
        <x:v>0</x:v>
      </x:c>
      <x:c r="E32" s="217" t="str">
        <x:f>IF(D32="","",D32/2*CAI_DAT!$B$8)</x:f>
      </x:c>
      <x:c r="F32" s="217" t="str">
        <x:f>IFERROR(INDEX(CSV_6001!$C$1:$AX$50,MATCH("KwhGiao",CSV_6001!$B$1:$B$50,0),ROW()-1)/1000,"")</x:f>
      </x:c>
      <x:c r="G32" s="217" t="str">
        <x:f>IF(F32="","",F32*2)</x:f>
      </x:c>
      <x:c r="H32" s="217" t="str">
        <x:f>IF(D32="","",D32*(1-CAI_DAT!$B$9))</x:f>
      </x:c>
      <x:c r="I32" s="217" t="str">
        <x:f>IF(D32="","",D32*(1+CAI_DAT!$B$9))</x:f>
      </x:c>
      <x:c r="J32" s="217" t="str">
        <x:f>IFERROR(INDEX(CSV_6303!$C$1:$AX$50,MATCH("KwhGiao",CSV_6303!$B$1:$B$50,0),ROW()-1)/1000,"")</x:f>
      </x:c>
      <x:c r="K32" s="217" t="str">
        <x:f>IF(OR(D32="",F32="",J32=""),"",IF(OR(G32&lt;H32,G32&gt;I32),J32-E32,0))</x:f>
      </x:c>
      <x:c r="L32" s="142" t="str">
        <x:f>IF(OR(D32="",F32=""),"",IF(G32&lt;H32,"âm",IF(G32&gt;I32,"dương","trong ±3%")))</x:f>
      </x:c>
      <x:c r="M32" s="142" t="str">
        <x:f>IF(CAI_DAT!$B$4&lt;TODAY(),"Đã ghi nhận",IF(CAI_DAT!$B$4&gt;TODAY(),"Dự kiến",IF(C32&lt;=MOD(NOW(),1),"Đã ghi nhận",IF(B32&lt;=MOD(NOW(),1),"Chu kỳ hiện tại","Dự kiến"))))</x:f>
        <x:v>Đã ghi nhận</x:v>
      </x:c>
      <x:c r="N32" s="39" t="str">
        <x:v>Tính từ các đoạn công suất giao với chu kỳ</x:v>
      </x:c>
      <x:c r="O32" s="266"/>
      <x:c r="P32" s="266" t="str">
        <x:f>IF(OR(O32="",D32=""),"",D32-O32)</x:f>
      </x:c>
      <x:c r="Q32" t="str">
        <x:f>IF(P32="","",IF(ABS(P32)&lt;=0.15,"Khớp",IF(ABS(P32)&lt;=0.3,"Kiểm tra","Lệch lớn")))</x:f>
      </x:c>
      <x:c r="R32" t="str"/>
    </x:row>
    <x:row r="33">
      <x:c r="A33" s="38" t="str">
        <x:f>TEXT(ROW()-1,"00")&amp;" ["&amp;TEXT(B33,"hh:mm")&amp;"-"&amp;TEXT(C33,"hh:mm")&amp;"]"</x:f>
        <x:v>32 [15:30-16:00]</x:v>
      </x:c>
      <x:c r="B33" s="211" t="n">
        <x:v>0.6458333333333334</x:v>
      </x:c>
      <x:c r="C33" s="211" t="n">
        <x:v>0.6666666666666666</x:v>
      </x:c>
      <x:c r="D33" s="217" t="n">
        <x:f>DIEN_TICH!DV33</x:f>
        <x:v>0</x:v>
      </x:c>
      <x:c r="E33" s="217" t="str">
        <x:f>IF(D33="","",D33/2*CAI_DAT!$B$8)</x:f>
      </x:c>
      <x:c r="F33" s="217" t="str">
        <x:f>IFERROR(INDEX(CSV_6001!$C$1:$AX$50,MATCH("KwhGiao",CSV_6001!$B$1:$B$50,0),ROW()-1)/1000,"")</x:f>
      </x:c>
      <x:c r="G33" s="217" t="str">
        <x:f>IF(F33="","",F33*2)</x:f>
      </x:c>
      <x:c r="H33" s="217" t="str">
        <x:f>IF(D33="","",D33*(1-CAI_DAT!$B$9))</x:f>
      </x:c>
      <x:c r="I33" s="217" t="str">
        <x:f>IF(D33="","",D33*(1+CAI_DAT!$B$9))</x:f>
      </x:c>
      <x:c r="J33" s="217" t="str">
        <x:f>IFERROR(INDEX(CSV_6303!$C$1:$AX$50,MATCH("KwhGiao",CSV_6303!$B$1:$B$50,0),ROW()-1)/1000,"")</x:f>
      </x:c>
      <x:c r="K33" s="217" t="str">
        <x:f>IF(OR(D33="",F33="",J33=""),"",IF(OR(G33&lt;H33,G33&gt;I33),J33-E33,0))</x:f>
      </x:c>
      <x:c r="L33" s="142" t="str">
        <x:f>IF(OR(D33="",F33=""),"",IF(G33&lt;H33,"âm",IF(G33&gt;I33,"dương","trong ±3%")))</x:f>
      </x:c>
      <x:c r="M33" s="142" t="str">
        <x:f>IF(CAI_DAT!$B$4&lt;TODAY(),"Đã ghi nhận",IF(CAI_DAT!$B$4&gt;TODAY(),"Dự kiến",IF(C33&lt;=MOD(NOW(),1),"Đã ghi nhận",IF(B33&lt;=MOD(NOW(),1),"Chu kỳ hiện tại","Dự kiến"))))</x:f>
        <x:v>Đã ghi nhận</x:v>
      </x:c>
      <x:c r="N33" s="39" t="str">
        <x:v>Tính từ các đoạn công suất giao với chu kỳ</x:v>
      </x:c>
      <x:c r="O33" s="266"/>
      <x:c r="P33" s="266" t="str">
        <x:f>IF(OR(O33="",D33=""),"",D33-O33)</x:f>
      </x:c>
      <x:c r="Q33" t="str">
        <x:f>IF(P33="","",IF(ABS(P33)&lt;=0.15,"Khớp",IF(ABS(P33)&lt;=0.3,"Kiểm tra","Lệch lớn")))</x:f>
      </x:c>
      <x:c r="R33" t="str"/>
    </x:row>
    <x:row r="34">
      <x:c r="A34" s="38" t="str">
        <x:f>TEXT(ROW()-1,"00")&amp;" ["&amp;TEXT(B34,"hh:mm")&amp;"-"&amp;TEXT(C34,"hh:mm")&amp;"]"</x:f>
        <x:v>33 [16:00-16:30]</x:v>
      </x:c>
      <x:c r="B34" s="211" t="n">
        <x:v>0.6666666666666666</x:v>
      </x:c>
      <x:c r="C34" s="211" t="n">
        <x:v>0.6875</x:v>
      </x:c>
      <x:c r="D34" s="217" t="n">
        <x:f>DIEN_TICH!DV34</x:f>
        <x:v>0</x:v>
      </x:c>
      <x:c r="E34" s="217" t="str">
        <x:f>IF(D34="","",D34/2*CAI_DAT!$B$8)</x:f>
      </x:c>
      <x:c r="F34" s="217" t="str">
        <x:f>IFERROR(INDEX(CSV_6001!$C$1:$AX$50,MATCH("KwhGiao",CSV_6001!$B$1:$B$50,0),ROW()-1)/1000,"")</x:f>
      </x:c>
      <x:c r="G34" s="217" t="str">
        <x:f>IF(F34="","",F34*2)</x:f>
      </x:c>
      <x:c r="H34" s="217" t="str">
        <x:f>IF(D34="","",D34*(1-CAI_DAT!$B$9))</x:f>
      </x:c>
      <x:c r="I34" s="217" t="str">
        <x:f>IF(D34="","",D34*(1+CAI_DAT!$B$9))</x:f>
      </x:c>
      <x:c r="J34" s="217" t="str">
        <x:f>IFERROR(INDEX(CSV_6303!$C$1:$AX$50,MATCH("KwhGiao",CSV_6303!$B$1:$B$50,0),ROW()-1)/1000,"")</x:f>
      </x:c>
      <x:c r="K34" s="217" t="str">
        <x:f>IF(OR(D34="",F34="",J34=""),"",IF(OR(G34&lt;H34,G34&gt;I34),J34-E34,0))</x:f>
      </x:c>
      <x:c r="L34" s="142" t="str">
        <x:f>IF(OR(D34="",F34=""),"",IF(G34&lt;H34,"âm",IF(G34&gt;I34,"dương","trong ±3%")))</x:f>
      </x:c>
      <x:c r="M34" s="142" t="str">
        <x:f>IF(CAI_DAT!$B$4&lt;TODAY(),"Đã ghi nhận",IF(CAI_DAT!$B$4&gt;TODAY(),"Dự kiến",IF(C34&lt;=MOD(NOW(),1),"Đã ghi nhận",IF(B34&lt;=MOD(NOW(),1),"Chu kỳ hiện tại","Dự kiến"))))</x:f>
        <x:v>Đã ghi nhận</x:v>
      </x:c>
      <x:c r="N34" s="39" t="str">
        <x:v>Tính từ các đoạn công suất giao với chu kỳ</x:v>
      </x:c>
      <x:c r="O34" s="266"/>
      <x:c r="P34" s="266" t="str">
        <x:f>IF(OR(O34="",D34=""),"",D34-O34)</x:f>
      </x:c>
      <x:c r="Q34" t="str">
        <x:f>IF(P34="","",IF(ABS(P34)&lt;=0.15,"Khớp",IF(ABS(P34)&lt;=0.3,"Kiểm tra","Lệch lớn")))</x:f>
      </x:c>
      <x:c r="R34" t="str"/>
    </x:row>
    <x:row r="35">
      <x:c r="A35" s="38" t="str">
        <x:f>TEXT(ROW()-1,"00")&amp;" ["&amp;TEXT(B35,"hh:mm")&amp;"-"&amp;TEXT(C35,"hh:mm")&amp;"]"</x:f>
        <x:v>34 [16:30-17:00]</x:v>
      </x:c>
      <x:c r="B35" s="211" t="n">
        <x:v>0.6875</x:v>
      </x:c>
      <x:c r="C35" s="211" t="n">
        <x:v>0.7083333333333334</x:v>
      </x:c>
      <x:c r="D35" s="217" t="n">
        <x:f>DIEN_TICH!DV35</x:f>
        <x:v>0</x:v>
      </x:c>
      <x:c r="E35" s="217" t="str">
        <x:f>IF(D35="","",D35/2*CAI_DAT!$B$8)</x:f>
      </x:c>
      <x:c r="F35" s="217" t="str">
        <x:f>IFERROR(INDEX(CSV_6001!$C$1:$AX$50,MATCH("KwhGiao",CSV_6001!$B$1:$B$50,0),ROW()-1)/1000,"")</x:f>
      </x:c>
      <x:c r="G35" s="217" t="str">
        <x:f>IF(F35="","",F35*2)</x:f>
      </x:c>
      <x:c r="H35" s="217" t="str">
        <x:f>IF(D35="","",D35*(1-CAI_DAT!$B$9))</x:f>
      </x:c>
      <x:c r="I35" s="217" t="str">
        <x:f>IF(D35="","",D35*(1+CAI_DAT!$B$9))</x:f>
      </x:c>
      <x:c r="J35" s="217" t="str">
        <x:f>IFERROR(INDEX(CSV_6303!$C$1:$AX$50,MATCH("KwhGiao",CSV_6303!$B$1:$B$50,0),ROW()-1)/1000,"")</x:f>
      </x:c>
      <x:c r="K35" s="217" t="str">
        <x:f>IF(OR(D35="",F35="",J35=""),"",IF(OR(G35&lt;H35,G35&gt;I35),J35-E35,0))</x:f>
      </x:c>
      <x:c r="L35" s="142" t="str">
        <x:f>IF(OR(D35="",F35=""),"",IF(G35&lt;H35,"âm",IF(G35&gt;I35,"dương","trong ±3%")))</x:f>
      </x:c>
      <x:c r="M35" s="142" t="str">
        <x:f>IF(CAI_DAT!$B$4&lt;TODAY(),"Đã ghi nhận",IF(CAI_DAT!$B$4&gt;TODAY(),"Dự kiến",IF(C35&lt;=MOD(NOW(),1),"Đã ghi nhận",IF(B35&lt;=MOD(NOW(),1),"Chu kỳ hiện tại","Dự kiến"))))</x:f>
        <x:v>Đã ghi nhận</x:v>
      </x:c>
      <x:c r="N35" s="39" t="str">
        <x:v>Tính từ các đoạn công suất giao với chu kỳ</x:v>
      </x:c>
      <x:c r="O35" s="266"/>
      <x:c r="P35" s="266" t="str">
        <x:f>IF(OR(O35="",D35=""),"",D35-O35)</x:f>
      </x:c>
      <x:c r="Q35" t="str">
        <x:f>IF(P35="","",IF(ABS(P35)&lt;=0.15,"Khớp",IF(ABS(P35)&lt;=0.3,"Kiểm tra","Lệch lớn")))</x:f>
      </x:c>
      <x:c r="R35" t="str"/>
    </x:row>
    <x:row r="36">
      <x:c r="A36" s="38" t="str">
        <x:f>TEXT(ROW()-1,"00")&amp;" ["&amp;TEXT(B36,"hh:mm")&amp;"-"&amp;TEXT(C36,"hh:mm")&amp;"]"</x:f>
        <x:v>35 [17:00-17:30]</x:v>
      </x:c>
      <x:c r="B36" s="211" t="n">
        <x:v>0.7083333333333334</x:v>
      </x:c>
      <x:c r="C36" s="211" t="n">
        <x:v>0.7291666666666666</x:v>
      </x:c>
      <x:c r="D36" s="217" t="n">
        <x:f>DIEN_TICH!DV36</x:f>
        <x:v>0</x:v>
      </x:c>
      <x:c r="E36" s="217" t="str">
        <x:f>IF(D36="","",D36/2*CAI_DAT!$B$8)</x:f>
      </x:c>
      <x:c r="F36" s="217" t="str">
        <x:f>IFERROR(INDEX(CSV_6001!$C$1:$AX$50,MATCH("KwhGiao",CSV_6001!$B$1:$B$50,0),ROW()-1)/1000,"")</x:f>
      </x:c>
      <x:c r="G36" s="217" t="str">
        <x:f>IF(F36="","",F36*2)</x:f>
      </x:c>
      <x:c r="H36" s="217" t="str">
        <x:f>IF(D36="","",D36*(1-CAI_DAT!$B$9))</x:f>
      </x:c>
      <x:c r="I36" s="217" t="str">
        <x:f>IF(D36="","",D36*(1+CAI_DAT!$B$9))</x:f>
      </x:c>
      <x:c r="J36" s="217" t="str">
        <x:f>IFERROR(INDEX(CSV_6303!$C$1:$AX$50,MATCH("KwhGiao",CSV_6303!$B$1:$B$50,0),ROW()-1)/1000,"")</x:f>
      </x:c>
      <x:c r="K36" s="217" t="str">
        <x:f>IF(OR(D36="",F36="",J36=""),"",IF(OR(G36&lt;H36,G36&gt;I36),J36-E36,0))</x:f>
      </x:c>
      <x:c r="L36" s="142" t="str">
        <x:f>IF(OR(D36="",F36=""),"",IF(G36&lt;H36,"âm",IF(G36&gt;I36,"dương","trong ±3%")))</x:f>
      </x:c>
      <x:c r="M36" s="142" t="str">
        <x:f>IF(CAI_DAT!$B$4&lt;TODAY(),"Đã ghi nhận",IF(CAI_DAT!$B$4&gt;TODAY(),"Dự kiến",IF(C36&lt;=MOD(NOW(),1),"Đã ghi nhận",IF(B36&lt;=MOD(NOW(),1),"Chu kỳ hiện tại","Dự kiến"))))</x:f>
        <x:v>Đã ghi nhận</x:v>
      </x:c>
      <x:c r="N36" s="39" t="str">
        <x:v>Tính từ các đoạn công suất giao với chu kỳ</x:v>
      </x:c>
      <x:c r="O36" s="266"/>
      <x:c r="P36" s="266" t="str">
        <x:f>IF(OR(O36="",D36=""),"",D36-O36)</x:f>
      </x:c>
      <x:c r="Q36" t="str">
        <x:f>IF(P36="","",IF(ABS(P36)&lt;=0.15,"Khớp",IF(ABS(P36)&lt;=0.3,"Kiểm tra","Lệch lớn")))</x:f>
      </x:c>
      <x:c r="R36" t="str"/>
    </x:row>
    <x:row r="37">
      <x:c r="A37" s="38" t="str">
        <x:f>TEXT(ROW()-1,"00")&amp;" ["&amp;TEXT(B37,"hh:mm")&amp;"-"&amp;TEXT(C37,"hh:mm")&amp;"]"</x:f>
        <x:v>36 [17:30-18:00]</x:v>
      </x:c>
      <x:c r="B37" s="211" t="n">
        <x:v>0.7291666666666666</x:v>
      </x:c>
      <x:c r="C37" s="211" t="n">
        <x:v>0.75</x:v>
      </x:c>
      <x:c r="D37" s="217" t="n">
        <x:f>DIEN_TICH!DV37</x:f>
        <x:v>0</x:v>
      </x:c>
      <x:c r="E37" s="217" t="str">
        <x:f>IF(D37="","",D37/2*CAI_DAT!$B$8)</x:f>
      </x:c>
      <x:c r="F37" s="217" t="str">
        <x:f>IFERROR(INDEX(CSV_6001!$C$1:$AX$50,MATCH("KwhGiao",CSV_6001!$B$1:$B$50,0),ROW()-1)/1000,"")</x:f>
      </x:c>
      <x:c r="G37" s="217" t="str">
        <x:f>IF(F37="","",F37*2)</x:f>
      </x:c>
      <x:c r="H37" s="217" t="str">
        <x:f>IF(D37="","",D37*(1-CAI_DAT!$B$9))</x:f>
      </x:c>
      <x:c r="I37" s="217" t="str">
        <x:f>IF(D37="","",D37*(1+CAI_DAT!$B$9))</x:f>
      </x:c>
      <x:c r="J37" s="217" t="str">
        <x:f>IFERROR(INDEX(CSV_6303!$C$1:$AX$50,MATCH("KwhGiao",CSV_6303!$B$1:$B$50,0),ROW()-1)/1000,"")</x:f>
      </x:c>
      <x:c r="K37" s="217" t="str">
        <x:f>IF(OR(D37="",F37="",J37=""),"",IF(OR(G37&lt;H37,G37&gt;I37),J37-E37,0))</x:f>
      </x:c>
      <x:c r="L37" s="142" t="str">
        <x:f>IF(OR(D37="",F37=""),"",IF(G37&lt;H37,"âm",IF(G37&gt;I37,"dương","trong ±3%")))</x:f>
      </x:c>
      <x:c r="M37" s="142" t="str">
        <x:f>IF(CAI_DAT!$B$4&lt;TODAY(),"Đã ghi nhận",IF(CAI_DAT!$B$4&gt;TODAY(),"Dự kiến",IF(C37&lt;=MOD(NOW(),1),"Đã ghi nhận",IF(B37&lt;=MOD(NOW(),1),"Chu kỳ hiện tại","Dự kiến"))))</x:f>
        <x:v>Đã ghi nhận</x:v>
      </x:c>
      <x:c r="N37" s="39" t="str">
        <x:v>Tính từ các đoạn công suất giao với chu kỳ</x:v>
      </x:c>
      <x:c r="O37" s="266"/>
      <x:c r="P37" s="266" t="str">
        <x:f>IF(OR(O37="",D37=""),"",D37-O37)</x:f>
      </x:c>
      <x:c r="Q37" t="str">
        <x:f>IF(P37="","",IF(ABS(P37)&lt;=0.15,"Khớp",IF(ABS(P37)&lt;=0.3,"Kiểm tra","Lệch lớn")))</x:f>
      </x:c>
      <x:c r="R37" t="str"/>
    </x:row>
    <x:row r="38">
      <x:c r="A38" s="38" t="str">
        <x:f>TEXT(ROW()-1,"00")&amp;" ["&amp;TEXT(B38,"hh:mm")&amp;"-"&amp;TEXT(C38,"hh:mm")&amp;"]"</x:f>
        <x:v>37 [18:00-18:30]</x:v>
      </x:c>
      <x:c r="B38" s="211" t="n">
        <x:v>0.75</x:v>
      </x:c>
      <x:c r="C38" s="211" t="n">
        <x:v>0.7708333333333334</x:v>
      </x:c>
      <x:c r="D38" s="217" t="n">
        <x:f>DIEN_TICH!DV38</x:f>
        <x:v>0</x:v>
      </x:c>
      <x:c r="E38" s="217" t="str">
        <x:f>IF(D38="","",D38/2*CAI_DAT!$B$8)</x:f>
      </x:c>
      <x:c r="F38" s="217" t="str">
        <x:f>IFERROR(INDEX(CSV_6001!$C$1:$AX$50,MATCH("KwhGiao",CSV_6001!$B$1:$B$50,0),ROW()-1)/1000,"")</x:f>
      </x:c>
      <x:c r="G38" s="217" t="str">
        <x:f>IF(F38="","",F38*2)</x:f>
      </x:c>
      <x:c r="H38" s="217" t="str">
        <x:f>IF(D38="","",D38*(1-CAI_DAT!$B$9))</x:f>
      </x:c>
      <x:c r="I38" s="217" t="str">
        <x:f>IF(D38="","",D38*(1+CAI_DAT!$B$9))</x:f>
      </x:c>
      <x:c r="J38" s="217" t="str">
        <x:f>IFERROR(INDEX(CSV_6303!$C$1:$AX$50,MATCH("KwhGiao",CSV_6303!$B$1:$B$50,0),ROW()-1)/1000,"")</x:f>
      </x:c>
      <x:c r="K38" s="217" t="str">
        <x:f>IF(OR(D38="",F38="",J38=""),"",IF(OR(G38&lt;H38,G38&gt;I38),J38-E38,0))</x:f>
      </x:c>
      <x:c r="L38" s="142" t="str">
        <x:f>IF(OR(D38="",F38=""),"",IF(G38&lt;H38,"âm",IF(G38&gt;I38,"dương","trong ±3%")))</x:f>
      </x:c>
      <x:c r="M38" s="142" t="str">
        <x:f>IF(CAI_DAT!$B$4&lt;TODAY(),"Đã ghi nhận",IF(CAI_DAT!$B$4&gt;TODAY(),"Dự kiến",IF(C38&lt;=MOD(NOW(),1),"Đã ghi nhận",IF(B38&lt;=MOD(NOW(),1),"Chu kỳ hiện tại","Dự kiến"))))</x:f>
        <x:v>Đã ghi nhận</x:v>
      </x:c>
      <x:c r="N38" s="39" t="str">
        <x:v>Tính từ các đoạn công suất giao với chu kỳ</x:v>
      </x:c>
      <x:c r="O38" s="266"/>
      <x:c r="P38" s="266" t="str">
        <x:f>IF(OR(O38="",D38=""),"",D38-O38)</x:f>
      </x:c>
      <x:c r="Q38" t="str">
        <x:f>IF(P38="","",IF(ABS(P38)&lt;=0.15,"Khớp",IF(ABS(P38)&lt;=0.3,"Kiểm tra","Lệch lớn")))</x:f>
      </x:c>
      <x:c r="R38" t="str"/>
    </x:row>
    <x:row r="39">
      <x:c r="A39" s="38" t="str">
        <x:f>TEXT(ROW()-1,"00")&amp;" ["&amp;TEXT(B39,"hh:mm")&amp;"-"&amp;TEXT(C39,"hh:mm")&amp;"]"</x:f>
        <x:v>38 [18:30-19:00]</x:v>
      </x:c>
      <x:c r="B39" s="211" t="n">
        <x:v>0.7708333333333334</x:v>
      </x:c>
      <x:c r="C39" s="211" t="n">
        <x:v>0.7916666666666666</x:v>
      </x:c>
      <x:c r="D39" s="217" t="n">
        <x:f>DIEN_TICH!DV39</x:f>
        <x:v>0</x:v>
      </x:c>
      <x:c r="E39" s="217" t="str">
        <x:f>IF(D39="","",D39/2*CAI_DAT!$B$8)</x:f>
      </x:c>
      <x:c r="F39" s="217" t="str">
        <x:f>IFERROR(INDEX(CSV_6001!$C$1:$AX$50,MATCH("KwhGiao",CSV_6001!$B$1:$B$50,0),ROW()-1)/1000,"")</x:f>
      </x:c>
      <x:c r="G39" s="217" t="str">
        <x:f>IF(F39="","",F39*2)</x:f>
      </x:c>
      <x:c r="H39" s="217" t="str">
        <x:f>IF(D39="","",D39*(1-CAI_DAT!$B$9))</x:f>
      </x:c>
      <x:c r="I39" s="217" t="str">
        <x:f>IF(D39="","",D39*(1+CAI_DAT!$B$9))</x:f>
      </x:c>
      <x:c r="J39" s="217" t="str">
        <x:f>IFERROR(INDEX(CSV_6303!$C$1:$AX$50,MATCH("KwhGiao",CSV_6303!$B$1:$B$50,0),ROW()-1)/1000,"")</x:f>
      </x:c>
      <x:c r="K39" s="217" t="str">
        <x:f>IF(OR(D39="",F39="",J39=""),"",IF(OR(G39&lt;H39,G39&gt;I39),J39-E39,0))</x:f>
      </x:c>
      <x:c r="L39" s="142" t="str">
        <x:f>IF(OR(D39="",F39=""),"",IF(G39&lt;H39,"âm",IF(G39&gt;I39,"dương","trong ±3%")))</x:f>
      </x:c>
      <x:c r="M39" s="142" t="str">
        <x:f>IF(CAI_DAT!$B$4&lt;TODAY(),"Đã ghi nhận",IF(CAI_DAT!$B$4&gt;TODAY(),"Dự kiến",IF(C39&lt;=MOD(NOW(),1),"Đã ghi nhận",IF(B39&lt;=MOD(NOW(),1),"Chu kỳ hiện tại","Dự kiến"))))</x:f>
        <x:v>Đã ghi nhận</x:v>
      </x:c>
      <x:c r="N39" s="39" t="str">
        <x:v>Tính từ các đoạn công suất giao với chu kỳ</x:v>
      </x:c>
      <x:c r="O39" s="266"/>
      <x:c r="P39" s="266" t="str">
        <x:f>IF(OR(O39="",D39=""),"",D39-O39)</x:f>
      </x:c>
      <x:c r="Q39" t="str">
        <x:f>IF(P39="","",IF(ABS(P39)&lt;=0.15,"Khớp",IF(ABS(P39)&lt;=0.3,"Kiểm tra","Lệch lớn")))</x:f>
      </x:c>
      <x:c r="R39" t="str"/>
    </x:row>
    <x:row r="40">
      <x:c r="A40" s="38" t="str">
        <x:f>TEXT(ROW()-1,"00")&amp;" ["&amp;TEXT(B40,"hh:mm")&amp;"-"&amp;TEXT(C40,"hh:mm")&amp;"]"</x:f>
        <x:v>39 [19:00-19:30]</x:v>
      </x:c>
      <x:c r="B40" s="211" t="n">
        <x:v>0.7916666666666666</x:v>
      </x:c>
      <x:c r="C40" s="211" t="n">
        <x:v>0.8125</x:v>
      </x:c>
      <x:c r="D40" s="217" t="n">
        <x:f>DIEN_TICH!DV40</x:f>
        <x:v>0</x:v>
      </x:c>
      <x:c r="E40" s="217" t="str">
        <x:f>IF(D40="","",D40/2*CAI_DAT!$B$8)</x:f>
      </x:c>
      <x:c r="F40" s="217" t="str">
        <x:f>IFERROR(INDEX(CSV_6001!$C$1:$AX$50,MATCH("KwhGiao",CSV_6001!$B$1:$B$50,0),ROW()-1)/1000,"")</x:f>
      </x:c>
      <x:c r="G40" s="217" t="str">
        <x:f>IF(F40="","",F40*2)</x:f>
      </x:c>
      <x:c r="H40" s="217" t="str">
        <x:f>IF(D40="","",D40*(1-CAI_DAT!$B$9))</x:f>
      </x:c>
      <x:c r="I40" s="217" t="str">
        <x:f>IF(D40="","",D40*(1+CAI_DAT!$B$9))</x:f>
      </x:c>
      <x:c r="J40" s="217" t="str">
        <x:f>IFERROR(INDEX(CSV_6303!$C$1:$AX$50,MATCH("KwhGiao",CSV_6303!$B$1:$B$50,0),ROW()-1)/1000,"")</x:f>
      </x:c>
      <x:c r="K40" s="217" t="str">
        <x:f>IF(OR(D40="",F40="",J40=""),"",IF(OR(G40&lt;H40,G40&gt;I40),J40-E40,0))</x:f>
      </x:c>
      <x:c r="L40" s="142" t="str">
        <x:f>IF(OR(D40="",F40=""),"",IF(G40&lt;H40,"âm",IF(G40&gt;I40,"dương","trong ±3%")))</x:f>
      </x:c>
      <x:c r="M40" s="142" t="str">
        <x:f>IF(CAI_DAT!$B$4&lt;TODAY(),"Đã ghi nhận",IF(CAI_DAT!$B$4&gt;TODAY(),"Dự kiến",IF(C40&lt;=MOD(NOW(),1),"Đã ghi nhận",IF(B40&lt;=MOD(NOW(),1),"Chu kỳ hiện tại","Dự kiến"))))</x:f>
        <x:v>Đã ghi nhận</x:v>
      </x:c>
      <x:c r="N40" s="39" t="str">
        <x:v>Tính từ các đoạn công suất giao với chu kỳ</x:v>
      </x:c>
      <x:c r="O40" s="266"/>
      <x:c r="P40" s="266" t="str">
        <x:f>IF(OR(O40="",D40=""),"",D40-O40)</x:f>
      </x:c>
      <x:c r="Q40" t="str">
        <x:f>IF(P40="","",IF(ABS(P40)&lt;=0.15,"Khớp",IF(ABS(P40)&lt;=0.3,"Kiểm tra","Lệch lớn")))</x:f>
      </x:c>
      <x:c r="R40" t="str"/>
    </x:row>
    <x:row r="41">
      <x:c r="A41" s="38" t="str">
        <x:f>TEXT(ROW()-1,"00")&amp;" ["&amp;TEXT(B41,"hh:mm")&amp;"-"&amp;TEXT(C41,"hh:mm")&amp;"]"</x:f>
        <x:v>40 [19:30-20:00]</x:v>
      </x:c>
      <x:c r="B41" s="211" t="n">
        <x:v>0.8125</x:v>
      </x:c>
      <x:c r="C41" s="211" t="n">
        <x:v>0.8333333333333334</x:v>
      </x:c>
      <x:c r="D41" s="217" t="n">
        <x:f>DIEN_TICH!DV41</x:f>
        <x:v>0</x:v>
      </x:c>
      <x:c r="E41" s="217" t="str">
        <x:f>IF(D41="","",D41/2*CAI_DAT!$B$8)</x:f>
      </x:c>
      <x:c r="F41" s="217" t="str">
        <x:f>IFERROR(INDEX(CSV_6001!$C$1:$AX$50,MATCH("KwhGiao",CSV_6001!$B$1:$B$50,0),ROW()-1)/1000,"")</x:f>
      </x:c>
      <x:c r="G41" s="217" t="str">
        <x:f>IF(F41="","",F41*2)</x:f>
      </x:c>
      <x:c r="H41" s="217" t="str">
        <x:f>IF(D41="","",D41*(1-CAI_DAT!$B$9))</x:f>
      </x:c>
      <x:c r="I41" s="217" t="str">
        <x:f>IF(D41="","",D41*(1+CAI_DAT!$B$9))</x:f>
      </x:c>
      <x:c r="J41" s="217" t="str">
        <x:f>IFERROR(INDEX(CSV_6303!$C$1:$AX$50,MATCH("KwhGiao",CSV_6303!$B$1:$B$50,0),ROW()-1)/1000,"")</x:f>
      </x:c>
      <x:c r="K41" s="217" t="str">
        <x:f>IF(OR(D41="",F41="",J41=""),"",IF(OR(G41&lt;H41,G41&gt;I41),J41-E41,0))</x:f>
      </x:c>
      <x:c r="L41" s="142" t="str">
        <x:f>IF(OR(D41="",F41=""),"",IF(G41&lt;H41,"âm",IF(G41&gt;I41,"dương","trong ±3%")))</x:f>
      </x:c>
      <x:c r="M41" s="142" t="str">
        <x:f>IF(CAI_DAT!$B$4&lt;TODAY(),"Đã ghi nhận",IF(CAI_DAT!$B$4&gt;TODAY(),"Dự kiến",IF(C41&lt;=MOD(NOW(),1),"Đã ghi nhận",IF(B41&lt;=MOD(NOW(),1),"Chu kỳ hiện tại","Dự kiến"))))</x:f>
        <x:v>Đã ghi nhận</x:v>
      </x:c>
      <x:c r="N41" s="39" t="str">
        <x:v>Tính từ các đoạn công suất giao với chu kỳ</x:v>
      </x:c>
      <x:c r="O41" s="266"/>
      <x:c r="P41" s="266" t="str">
        <x:f>IF(OR(O41="",D41=""),"",D41-O41)</x:f>
      </x:c>
      <x:c r="Q41" t="str">
        <x:f>IF(P41="","",IF(ABS(P41)&lt;=0.15,"Khớp",IF(ABS(P41)&lt;=0.3,"Kiểm tra","Lệch lớn")))</x:f>
      </x:c>
      <x:c r="R41" t="str"/>
    </x:row>
    <x:row r="42">
      <x:c r="A42" s="38" t="str">
        <x:f>TEXT(ROW()-1,"00")&amp;" ["&amp;TEXT(B42,"hh:mm")&amp;"-"&amp;TEXT(C42,"hh:mm")&amp;"]"</x:f>
        <x:v>41 [20:00-20:30]</x:v>
      </x:c>
      <x:c r="B42" s="211" t="n">
        <x:v>0.8333333333333334</x:v>
      </x:c>
      <x:c r="C42" s="211" t="n">
        <x:v>0.8541666666666666</x:v>
      </x:c>
      <x:c r="D42" s="217" t="n">
        <x:f>DIEN_TICH!DV42</x:f>
        <x:v>0</x:v>
      </x:c>
      <x:c r="E42" s="217" t="str">
        <x:f>IF(D42="","",D42/2*CAI_DAT!$B$8)</x:f>
      </x:c>
      <x:c r="F42" s="217" t="str">
        <x:f>IFERROR(INDEX(CSV_6001!$C$1:$AX$50,MATCH("KwhGiao",CSV_6001!$B$1:$B$50,0),ROW()-1)/1000,"")</x:f>
      </x:c>
      <x:c r="G42" s="217" t="str">
        <x:f>IF(F42="","",F42*2)</x:f>
      </x:c>
      <x:c r="H42" s="217" t="str">
        <x:f>IF(D42="","",D42*(1-CAI_DAT!$B$9))</x:f>
      </x:c>
      <x:c r="I42" s="217" t="str">
        <x:f>IF(D42="","",D42*(1+CAI_DAT!$B$9))</x:f>
      </x:c>
      <x:c r="J42" s="217" t="str">
        <x:f>IFERROR(INDEX(CSV_6303!$C$1:$AX$50,MATCH("KwhGiao",CSV_6303!$B$1:$B$50,0),ROW()-1)/1000,"")</x:f>
      </x:c>
      <x:c r="K42" s="217" t="str">
        <x:f>IF(OR(D42="",F42="",J42=""),"",IF(OR(G42&lt;H42,G42&gt;I42),J42-E42,0))</x:f>
      </x:c>
      <x:c r="L42" s="142" t="str">
        <x:f>IF(OR(D42="",F42=""),"",IF(G42&lt;H42,"âm",IF(G42&gt;I42,"dương","trong ±3%")))</x:f>
      </x:c>
      <x:c r="M42" s="142" t="str">
        <x:f>IF(CAI_DAT!$B$4&lt;TODAY(),"Đã ghi nhận",IF(CAI_DAT!$B$4&gt;TODAY(),"Dự kiến",IF(C42&lt;=MOD(NOW(),1),"Đã ghi nhận",IF(B42&lt;=MOD(NOW(),1),"Chu kỳ hiện tại","Dự kiến"))))</x:f>
        <x:v>Đã ghi nhận</x:v>
      </x:c>
      <x:c r="N42" s="39" t="str">
        <x:v>Tính từ các đoạn công suất giao với chu kỳ</x:v>
      </x:c>
      <x:c r="O42" s="266"/>
      <x:c r="P42" s="266" t="str">
        <x:f>IF(OR(O42="",D42=""),"",D42-O42)</x:f>
      </x:c>
      <x:c r="Q42" t="str">
        <x:f>IF(P42="","",IF(ABS(P42)&lt;=0.15,"Khớp",IF(ABS(P42)&lt;=0.3,"Kiểm tra","Lệch lớn")))</x:f>
      </x:c>
      <x:c r="R42" t="str"/>
    </x:row>
    <x:row r="43">
      <x:c r="A43" s="38" t="str">
        <x:f>TEXT(ROW()-1,"00")&amp;" ["&amp;TEXT(B43,"hh:mm")&amp;"-"&amp;TEXT(C43,"hh:mm")&amp;"]"</x:f>
        <x:v>42 [20:30-21:00]</x:v>
      </x:c>
      <x:c r="B43" s="211" t="n">
        <x:v>0.8541666666666666</x:v>
      </x:c>
      <x:c r="C43" s="211" t="n">
        <x:v>0.875</x:v>
      </x:c>
      <x:c r="D43" s="217" t="n">
        <x:f>DIEN_TICH!DV43</x:f>
        <x:v>0</x:v>
      </x:c>
      <x:c r="E43" s="217" t="str">
        <x:f>IF(D43="","",D43/2*CAI_DAT!$B$8)</x:f>
      </x:c>
      <x:c r="F43" s="217" t="str">
        <x:f>IFERROR(INDEX(CSV_6001!$C$1:$AX$50,MATCH("KwhGiao",CSV_6001!$B$1:$B$50,0),ROW()-1)/1000,"")</x:f>
      </x:c>
      <x:c r="G43" s="217" t="str">
        <x:f>IF(F43="","",F43*2)</x:f>
      </x:c>
      <x:c r="H43" s="217" t="str">
        <x:f>IF(D43="","",D43*(1-CAI_DAT!$B$9))</x:f>
      </x:c>
      <x:c r="I43" s="217" t="str">
        <x:f>IF(D43="","",D43*(1+CAI_DAT!$B$9))</x:f>
      </x:c>
      <x:c r="J43" s="217" t="str">
        <x:f>IFERROR(INDEX(CSV_6303!$C$1:$AX$50,MATCH("KwhGiao",CSV_6303!$B$1:$B$50,0),ROW()-1)/1000,"")</x:f>
      </x:c>
      <x:c r="K43" s="217" t="str">
        <x:f>IF(OR(D43="",F43="",J43=""),"",IF(OR(G43&lt;H43,G43&gt;I43),J43-E43,0))</x:f>
      </x:c>
      <x:c r="L43" s="142" t="str">
        <x:f>IF(OR(D43="",F43=""),"",IF(G43&lt;H43,"âm",IF(G43&gt;I43,"dương","trong ±3%")))</x:f>
      </x:c>
      <x:c r="M43" s="142" t="str">
        <x:f>IF(CAI_DAT!$B$4&lt;TODAY(),"Đã ghi nhận",IF(CAI_DAT!$B$4&gt;TODAY(),"Dự kiến",IF(C43&lt;=MOD(NOW(),1),"Đã ghi nhận",IF(B43&lt;=MOD(NOW(),1),"Chu kỳ hiện tại","Dự kiến"))))</x:f>
        <x:v>Đã ghi nhận</x:v>
      </x:c>
      <x:c r="N43" s="39" t="str">
        <x:v>Tính từ các đoạn công suất giao với chu kỳ</x:v>
      </x:c>
      <x:c r="O43" s="266"/>
      <x:c r="P43" s="266" t="str">
        <x:f>IF(OR(O43="",D43=""),"",D43-O43)</x:f>
      </x:c>
      <x:c r="Q43" t="str">
        <x:f>IF(P43="","",IF(ABS(P43)&lt;=0.15,"Khớp",IF(ABS(P43)&lt;=0.3,"Kiểm tra","Lệch lớn")))</x:f>
      </x:c>
      <x:c r="R43" t="str">
        <x:v>File gốc có khả năng nhập 445 MW thay vì khoảng 455 MW.</x:v>
      </x:c>
    </x:row>
    <x:row r="44">
      <x:c r="A44" s="38" t="str">
        <x:f>TEXT(ROW()-1,"00")&amp;" ["&amp;TEXT(B44,"hh:mm")&amp;"-"&amp;TEXT(C44,"hh:mm")&amp;"]"</x:f>
        <x:v>43 [21:00-21:30]</x:v>
      </x:c>
      <x:c r="B44" s="211" t="n">
        <x:v>0.875</x:v>
      </x:c>
      <x:c r="C44" s="211" t="n">
        <x:v>0.8958333333333334</x:v>
      </x:c>
      <x:c r="D44" s="217" t="n">
        <x:f>DIEN_TICH!DV44</x:f>
        <x:v>0</x:v>
      </x:c>
      <x:c r="E44" s="217" t="str">
        <x:f>IF(D44="","",D44/2*CAI_DAT!$B$8)</x:f>
      </x:c>
      <x:c r="F44" s="217" t="str">
        <x:f>IFERROR(INDEX(CSV_6001!$C$1:$AX$50,MATCH("KwhGiao",CSV_6001!$B$1:$B$50,0),ROW()-1)/1000,"")</x:f>
      </x:c>
      <x:c r="G44" s="217" t="str">
        <x:f>IF(F44="","",F44*2)</x:f>
      </x:c>
      <x:c r="H44" s="217" t="str">
        <x:f>IF(D44="","",D44*(1-CAI_DAT!$B$9))</x:f>
      </x:c>
      <x:c r="I44" s="217" t="str">
        <x:f>IF(D44="","",D44*(1+CAI_DAT!$B$9))</x:f>
      </x:c>
      <x:c r="J44" s="217" t="str">
        <x:f>IFERROR(INDEX(CSV_6303!$C$1:$AX$50,MATCH("KwhGiao",CSV_6303!$B$1:$B$50,0),ROW()-1)/1000,"")</x:f>
      </x:c>
      <x:c r="K44" s="217" t="str">
        <x:f>IF(OR(D44="",F44="",J44=""),"",IF(OR(G44&lt;H44,G44&gt;I44),J44-E44,0))</x:f>
      </x:c>
      <x:c r="L44" s="142" t="str">
        <x:f>IF(OR(D44="",F44=""),"",IF(G44&lt;H44,"âm",IF(G44&gt;I44,"dương","trong ±3%")))</x:f>
      </x:c>
      <x:c r="M44" s="142" t="str">
        <x:f>IF(CAI_DAT!$B$4&lt;TODAY(),"Đã ghi nhận",IF(CAI_DAT!$B$4&gt;TODAY(),"Dự kiến",IF(C44&lt;=MOD(NOW(),1),"Đã ghi nhận",IF(B44&lt;=MOD(NOW(),1),"Chu kỳ hiện tại","Dự kiến"))))</x:f>
        <x:v>Đã ghi nhận</x:v>
      </x:c>
      <x:c r="N44" s="39" t="str">
        <x:v>Tính từ các đoạn công suất giao với chu kỳ</x:v>
      </x:c>
      <x:c r="O44" s="266"/>
      <x:c r="P44" s="266" t="str">
        <x:f>IF(OR(O44="",D44=""),"",D44-O44)</x:f>
      </x:c>
      <x:c r="Q44" t="str">
        <x:f>IF(P44="","",IF(ABS(P44)&lt;=0.15,"Khớp",IF(ABS(P44)&lt;=0.3,"Kiểm tra","Lệch lớn")))</x:f>
      </x:c>
      <x:c r="R44" t="str"/>
    </x:row>
    <x:row r="45">
      <x:c r="A45" s="38" t="str">
        <x:f>TEXT(ROW()-1,"00")&amp;" ["&amp;TEXT(B45,"hh:mm")&amp;"-"&amp;TEXT(C45,"hh:mm")&amp;"]"</x:f>
        <x:v>44 [21:30-22:00]</x:v>
      </x:c>
      <x:c r="B45" s="211" t="n">
        <x:v>0.8958333333333334</x:v>
      </x:c>
      <x:c r="C45" s="211" t="n">
        <x:v>0.9166666666666666</x:v>
      </x:c>
      <x:c r="D45" s="217" t="n">
        <x:f>DIEN_TICH!DV45</x:f>
        <x:v>0</x:v>
      </x:c>
      <x:c r="E45" s="217" t="str">
        <x:f>IF(D45="","",D45/2*CAI_DAT!$B$8)</x:f>
      </x:c>
      <x:c r="F45" s="217" t="str">
        <x:f>IFERROR(INDEX(CSV_6001!$C$1:$AX$50,MATCH("KwhGiao",CSV_6001!$B$1:$B$50,0),ROW()-1)/1000,"")</x:f>
      </x:c>
      <x:c r="G45" s="217" t="str">
        <x:f>IF(F45="","",F45*2)</x:f>
      </x:c>
      <x:c r="H45" s="217" t="str">
        <x:f>IF(D45="","",D45*(1-CAI_DAT!$B$9))</x:f>
      </x:c>
      <x:c r="I45" s="217" t="str">
        <x:f>IF(D45="","",D45*(1+CAI_DAT!$B$9))</x:f>
      </x:c>
      <x:c r="J45" s="217" t="str">
        <x:f>IFERROR(INDEX(CSV_6303!$C$1:$AX$50,MATCH("KwhGiao",CSV_6303!$B$1:$B$50,0),ROW()-1)/1000,"")</x:f>
      </x:c>
      <x:c r="K45" s="217" t="str">
        <x:f>IF(OR(D45="",F45="",J45=""),"",IF(OR(G45&lt;H45,G45&gt;I45),J45-E45,0))</x:f>
      </x:c>
      <x:c r="L45" s="142" t="str">
        <x:f>IF(OR(D45="",F45=""),"",IF(G45&lt;H45,"âm",IF(G45&gt;I45,"dương","trong ±3%")))</x:f>
      </x:c>
      <x:c r="M45" s="142" t="str">
        <x:f>IF(CAI_DAT!$B$4&lt;TODAY(),"Đã ghi nhận",IF(CAI_DAT!$B$4&gt;TODAY(),"Dự kiến",IF(C45&lt;=MOD(NOW(),1),"Đã ghi nhận",IF(B45&lt;=MOD(NOW(),1),"Chu kỳ hiện tại","Dự kiến"))))</x:f>
        <x:v>Đã ghi nhận</x:v>
      </x:c>
      <x:c r="N45" s="39" t="str">
        <x:v>Tính từ các đoạn công suất giao với chu kỳ</x:v>
      </x:c>
      <x:c r="O45" s="266"/>
      <x:c r="P45" s="266" t="str">
        <x:f>IF(OR(O45="",D45=""),"",D45-O45)</x:f>
      </x:c>
      <x:c r="Q45" t="str">
        <x:f>IF(P45="","",IF(ABS(P45)&lt;=0.15,"Khớp",IF(ABS(P45)&lt;=0.3,"Kiểm tra","Lệch lớn")))</x:f>
      </x:c>
      <x:c r="R45" t="str"/>
    </x:row>
    <x:row r="46">
      <x:c r="A46" s="38" t="str">
        <x:f>TEXT(ROW()-1,"00")&amp;" ["&amp;TEXT(B46,"hh:mm")&amp;"-"&amp;TEXT(C46,"hh:mm")&amp;"]"</x:f>
        <x:v>45 [22:00-22:30]</x:v>
      </x:c>
      <x:c r="B46" s="211" t="n">
        <x:v>0.9166666666666666</x:v>
      </x:c>
      <x:c r="C46" s="211" t="n">
        <x:v>0.9375</x:v>
      </x:c>
      <x:c r="D46" s="217" t="n">
        <x:f>DIEN_TICH!DV46</x:f>
        <x:v>0</x:v>
      </x:c>
      <x:c r="E46" s="217" t="str">
        <x:f>IF(D46="","",D46/2*CAI_DAT!$B$8)</x:f>
      </x:c>
      <x:c r="F46" s="217" t="str">
        <x:f>IFERROR(INDEX(CSV_6001!$C$1:$AX$50,MATCH("KwhGiao",CSV_6001!$B$1:$B$50,0),ROW()-1)/1000,"")</x:f>
      </x:c>
      <x:c r="G46" s="217" t="str">
        <x:f>IF(F46="","",F46*2)</x:f>
      </x:c>
      <x:c r="H46" s="217" t="str">
        <x:f>IF(D46="","",D46*(1-CAI_DAT!$B$9))</x:f>
      </x:c>
      <x:c r="I46" s="217" t="str">
        <x:f>IF(D46="","",D46*(1+CAI_DAT!$B$9))</x:f>
      </x:c>
      <x:c r="J46" s="217" t="str">
        <x:f>IFERROR(INDEX(CSV_6303!$C$1:$AX$50,MATCH("KwhGiao",CSV_6303!$B$1:$B$50,0),ROW()-1)/1000,"")</x:f>
      </x:c>
      <x:c r="K46" s="217" t="str">
        <x:f>IF(OR(D46="",F46="",J46=""),"",IF(OR(G46&lt;H46,G46&gt;I46),J46-E46,0))</x:f>
      </x:c>
      <x:c r="L46" s="142" t="str">
        <x:f>IF(OR(D46="",F46=""),"",IF(G46&lt;H46,"âm",IF(G46&gt;I46,"dương","trong ±3%")))</x:f>
      </x:c>
      <x:c r="M46" s="142" t="str">
        <x:f>IF(CAI_DAT!$B$4&lt;TODAY(),"Đã ghi nhận",IF(CAI_DAT!$B$4&gt;TODAY(),"Dự kiến",IF(C46&lt;=MOD(NOW(),1),"Đã ghi nhận",IF(B46&lt;=MOD(NOW(),1),"Chu kỳ hiện tại","Dự kiến"))))</x:f>
        <x:v>Đã ghi nhận</x:v>
      </x:c>
      <x:c r="N46" s="39" t="str">
        <x:v>Tính từ các đoạn công suất giao với chu kỳ</x:v>
      </x:c>
      <x:c r="O46" s="266"/>
      <x:c r="P46" s="266" t="str">
        <x:f>IF(OR(O46="",D46=""),"",D46-O46)</x:f>
      </x:c>
      <x:c r="Q46" t="str">
        <x:f>IF(P46="","",IF(ABS(P46)&lt;=0.15,"Khớp",IF(ABS(P46)&lt;=0.3,"Kiểm tra","Lệch lớn")))</x:f>
      </x:c>
      <x:c r="R46" t="str"/>
    </x:row>
    <x:row r="47">
      <x:c r="A47" s="38" t="str">
        <x:f>TEXT(ROW()-1,"00")&amp;" ["&amp;TEXT(B47,"hh:mm")&amp;"-"&amp;TEXT(C47,"hh:mm")&amp;"]"</x:f>
        <x:v>46 [22:30-23:00]</x:v>
      </x:c>
      <x:c r="B47" s="211" t="n">
        <x:v>0.9375</x:v>
      </x:c>
      <x:c r="C47" s="211" t="n">
        <x:v>0.9583333333333334</x:v>
      </x:c>
      <x:c r="D47" s="217" t="n">
        <x:f>DIEN_TICH!DV47</x:f>
        <x:v>0</x:v>
      </x:c>
      <x:c r="E47" s="217" t="str">
        <x:f>IF(D47="","",D47/2*CAI_DAT!$B$8)</x:f>
      </x:c>
      <x:c r="F47" s="217" t="str">
        <x:f>IFERROR(INDEX(CSV_6001!$C$1:$AX$50,MATCH("KwhGiao",CSV_6001!$B$1:$B$50,0),ROW()-1)/1000,"")</x:f>
      </x:c>
      <x:c r="G47" s="217" t="str">
        <x:f>IF(F47="","",F47*2)</x:f>
      </x:c>
      <x:c r="H47" s="217" t="str">
        <x:f>IF(D47="","",D47*(1-CAI_DAT!$B$9))</x:f>
      </x:c>
      <x:c r="I47" s="217" t="str">
        <x:f>IF(D47="","",D47*(1+CAI_DAT!$B$9))</x:f>
      </x:c>
      <x:c r="J47" s="217" t="str">
        <x:f>IFERROR(INDEX(CSV_6303!$C$1:$AX$50,MATCH("KwhGiao",CSV_6303!$B$1:$B$50,0),ROW()-1)/1000,"")</x:f>
      </x:c>
      <x:c r="K47" s="217" t="str">
        <x:f>IF(OR(D47="",F47="",J47=""),"",IF(OR(G47&lt;H47,G47&gt;I47),J47-E47,0))</x:f>
      </x:c>
      <x:c r="L47" s="142" t="str">
        <x:f>IF(OR(D47="",F47=""),"",IF(G47&lt;H47,"âm",IF(G47&gt;I47,"dương","trong ±3%")))</x:f>
      </x:c>
      <x:c r="M47" s="142" t="str">
        <x:f>IF(CAI_DAT!$B$4&lt;TODAY(),"Đã ghi nhận",IF(CAI_DAT!$B$4&gt;TODAY(),"Dự kiến",IF(C47&lt;=MOD(NOW(),1),"Đã ghi nhận",IF(B47&lt;=MOD(NOW(),1),"Chu kỳ hiện tại","Dự kiến"))))</x:f>
        <x:v>Đã ghi nhận</x:v>
      </x:c>
      <x:c r="N47" s="39" t="str">
        <x:v>Tính từ các đoạn công suất giao với chu kỳ</x:v>
      </x:c>
      <x:c r="O47" s="266"/>
      <x:c r="P47" s="266" t="str">
        <x:f>IF(OR(O47="",D47=""),"",D47-O47)</x:f>
      </x:c>
      <x:c r="Q47" t="str">
        <x:f>IF(P47="","",IF(ABS(P47)&lt;=0.15,"Khớp",IF(ABS(P47)&lt;=0.3,"Kiểm tra","Lệch lớn")))</x:f>
      </x:c>
      <x:c r="R47" t="str"/>
    </x:row>
    <x:row r="48">
      <x:c r="A48" s="38" t="str">
        <x:f>TEXT(ROW()-1,"00")&amp;" ["&amp;TEXT(B48,"hh:mm")&amp;"-"&amp;TEXT(C48,"hh:mm")&amp;"]"</x:f>
        <x:v>47 [23:00-23:30]</x:v>
      </x:c>
      <x:c r="B48" s="211" t="n">
        <x:v>0.9583333333333334</x:v>
      </x:c>
      <x:c r="C48" s="211" t="n">
        <x:v>0.9791666666666666</x:v>
      </x:c>
      <x:c r="D48" s="217" t="n">
        <x:f>DIEN_TICH!DV48</x:f>
        <x:v>0</x:v>
      </x:c>
      <x:c r="E48" s="217" t="str">
        <x:f>IF(D48="","",D48/2*CAI_DAT!$B$8)</x:f>
      </x:c>
      <x:c r="F48" s="217" t="str">
        <x:f>IFERROR(INDEX(CSV_6001!$C$1:$AX$50,MATCH("KwhGiao",CSV_6001!$B$1:$B$50,0),ROW()-1)/1000,"")</x:f>
      </x:c>
      <x:c r="G48" s="217" t="str">
        <x:f>IF(F48="","",F48*2)</x:f>
      </x:c>
      <x:c r="H48" s="217" t="str">
        <x:f>IF(D48="","",D48*(1-CAI_DAT!$B$9))</x:f>
      </x:c>
      <x:c r="I48" s="217" t="str">
        <x:f>IF(D48="","",D48*(1+CAI_DAT!$B$9))</x:f>
      </x:c>
      <x:c r="J48" s="217" t="str">
        <x:f>IFERROR(INDEX(CSV_6303!$C$1:$AX$50,MATCH("KwhGiao",CSV_6303!$B$1:$B$50,0),ROW()-1)/1000,"")</x:f>
      </x:c>
      <x:c r="K48" s="217" t="str">
        <x:f>IF(OR(D48="",F48="",J48=""),"",IF(OR(G48&lt;H48,G48&gt;I48),J48-E48,0))</x:f>
      </x:c>
      <x:c r="L48" s="142" t="str">
        <x:f>IF(OR(D48="",F48=""),"",IF(G48&lt;H48,"âm",IF(G48&gt;I48,"dương","trong ±3%")))</x:f>
      </x:c>
      <x:c r="M48" s="142" t="str">
        <x:f>IF(CAI_DAT!$B$4&lt;TODAY(),"Đã ghi nhận",IF(CAI_DAT!$B$4&gt;TODAY(),"Dự kiến",IF(C48&lt;=MOD(NOW(),1),"Đã ghi nhận",IF(B48&lt;=MOD(NOW(),1),"Chu kỳ hiện tại","Dự kiến"))))</x:f>
        <x:v>Đã ghi nhận</x:v>
      </x:c>
      <x:c r="N48" s="39" t="str">
        <x:v>Tính từ các đoạn công suất giao với chu kỳ</x:v>
      </x:c>
      <x:c r="O48" s="266"/>
      <x:c r="P48" s="266" t="str">
        <x:f>IF(OR(O48="",D48=""),"",D48-O48)</x:f>
      </x:c>
      <x:c r="Q48" t="str">
        <x:f>IF(P48="","",IF(ABS(P48)&lt;=0.15,"Khớp",IF(ABS(P48)&lt;=0.3,"Kiểm tra","Lệch lớn")))</x:f>
      </x:c>
      <x:c r="R48" t="str"/>
    </x:row>
    <x:row r="49">
      <x:c r="A49" s="40" t="str">
        <x:f>TEXT(ROW()-1,"00")&amp;" ["&amp;TEXT(B49,"hh:mm")&amp;"-"&amp;TEXT(C49,"hh:mm")&amp;"]"</x:f>
        <x:v>48 [23:30-00:00]</x:v>
      </x:c>
      <x:c r="B49" s="212" t="n">
        <x:v>0.9791666666666666</x:v>
      </x:c>
      <x:c r="C49" s="212" t="n">
        <x:v>1</x:v>
      </x:c>
      <x:c r="D49" s="218" t="n">
        <x:f>DIEN_TICH!DV49</x:f>
        <x:v>0</x:v>
      </x:c>
      <x:c r="E49" s="218" t="str">
        <x:f>IF(D49="","",D49/2*CAI_DAT!$B$8)</x:f>
      </x:c>
      <x:c r="F49" s="218" t="str">
        <x:f>IFERROR(INDEX(CSV_6001!$C$1:$AX$50,MATCH("KwhGiao",CSV_6001!$B$1:$B$50,0),ROW()-1)/1000,"")</x:f>
      </x:c>
      <x:c r="G49" s="218" t="str">
        <x:f>IF(F49="","",F49*2)</x:f>
      </x:c>
      <x:c r="H49" s="218" t="str">
        <x:f>IF(D49="","",D49*(1-CAI_DAT!$B$9))</x:f>
      </x:c>
      <x:c r="I49" s="218" t="str">
        <x:f>IF(D49="","",D49*(1+CAI_DAT!$B$9))</x:f>
      </x:c>
      <x:c r="J49" s="218" t="str">
        <x:f>IFERROR(INDEX(CSV_6303!$C$1:$AX$50,MATCH("KwhGiao",CSV_6303!$B$1:$B$50,0),ROW()-1)/1000,"")</x:f>
      </x:c>
      <x:c r="K49" s="218" t="str">
        <x:f>IF(OR(D49="",F49="",J49=""),"",IF(OR(G49&lt;H49,G49&gt;I49),J49-E49,0))</x:f>
      </x:c>
      <x:c r="L49" s="144" t="str">
        <x:f>IF(OR(D49="",F49=""),"",IF(G49&lt;H49,"âm",IF(G49&gt;I49,"dương","trong ±3%")))</x:f>
      </x:c>
      <x:c r="M49" s="144" t="str">
        <x:f>IF(CAI_DAT!$B$4&lt;TODAY(),"Đã ghi nhận",IF(CAI_DAT!$B$4&gt;TODAY(),"Dự kiến",IF(C49&lt;=MOD(NOW(),1),"Đã ghi nhận",IF(B49&lt;=MOD(NOW(),1),"Chu kỳ hiện tại","Dự kiến"))))</x:f>
        <x:v>Đã ghi nhận</x:v>
      </x:c>
      <x:c r="N49" s="41" t="str">
        <x:v>Tính từ các đoạn công suất giao với chu kỳ</x:v>
      </x:c>
      <x:c r="O49" s="266"/>
      <x:c r="P49" s="266" t="str">
        <x:f>IF(OR(O49="",D49=""),"",D49-O49)</x:f>
      </x:c>
      <x:c r="Q49" t="str">
        <x:f>IF(P49="","",IF(ABS(P49)&lt;=0.15,"Khớp",IF(ABS(P49)&lt;=0.3,"Kiểm tra","Lệch lớn")))</x:f>
      </x:c>
      <x:c r="R49" t="str"/>
    </x:row>
  </x:sheetData>
  <x:conditionalFormatting sqref="L2:L49">
    <x:cfRule type="expression" dxfId="0" priority="1">
      <x:formula>L2="âm"</x:formula>
    </x:cfRule>
    <x:cfRule type="expression" dxfId="1" priority="2">
      <x:formula>L2="dương"</x:formula>
    </x:cfRule>
    <x:cfRule type="expression" dxfId="2" priority="3">
      <x:formula>L2="trong ±3%"</x:formula>
    </x:cfRule>
  </x:conditionalFormatting>
  <x:conditionalFormatting sqref="Q2:Q49">
    <x:cfRule type="expression" dxfId="6" priority="4">
      <x:formula>Q2="Khớp"</x:formula>
    </x:cfRule>
    <x:cfRule type="expression" dxfId="7" priority="5">
      <x:formula>Q2="Kiểm tra"</x:formula>
    </x:cfRule>
    <x:cfRule type="expression" dxfId="8" priority="6">
      <x:formula>Q2="Lệch lớn"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>
      <x:c r="A1" s="63" t="str">
        <x:v>BÁO CÁO Qdd / Qdư THEO 48 CHU KỲ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</x:row>
    <x:row r="2">
      <x:c r="A2" s="224" t="str">
        <x:f>"Ngày: "&amp;TEXT(CAI_DAT!$B$4,"dd/mm/yyyy")&amp;"   |   Tổ máy: "&amp;CAI_DAT!$B$5</x:f>
        <x:v>Ngày:    |   Tổ máy: S1</x:v>
      </x:c>
      <x:c r="B2" s="224"/>
      <x:c r="C2" s="224"/>
      <x:c r="D2" s="224"/>
      <x:c r="E2" s="224"/>
      <x:c r="F2" s="224"/>
      <x:c r="G2" s="224"/>
      <x:c r="H2" s="224"/>
      <x:c r="I2" s="224"/>
      <x:c r="J2" s="224"/>
      <x:c r="K2" s="224"/>
    </x:row>
    <x:row r="3">
      <x:c r="A3" s="18" t="str">
        <x:v>Chu kỳ</x:v>
      </x:c>
      <x:c r="B3" s="129" t="str">
        <x:v>Qdd</x:v>
      </x:c>
      <x:c r="C3" s="129" t="str">
        <x:v>Qdd_V</x:v>
      </x:c>
      <x:c r="D3" s="129" t="str">
        <x:v>Qdc</x:v>
      </x:c>
      <x:c r="E3" s="129" t="str">
        <x:v>Qmp</x:v>
      </x:c>
      <x:c r="F3" s="129" t="str">
        <x:v>Qdư</x:v>
      </x:c>
      <x:c r="G3" s="129" t="str">
        <x:v>Qdư âm/dương</x:v>
      </x:c>
      <x:c r="H3" s="129" t="str">
        <x:v>P_Qdc</x:v>
      </x:c>
      <x:c r="I3" s="129" t="str">
        <x:v>Ngưỡng dưới</x:v>
      </x:c>
      <x:c r="J3" s="129" t="str">
        <x:v>Ngưỡng trên</x:v>
      </x:c>
      <x:c r="K3" s="19" t="str">
        <x:v>Ghi chú</x:v>
      </x:c>
    </x:row>
    <x:row r="4">
      <x:c r="A4" s="36" t="str">
        <x:f>TINH_TOAN!A2</x:f>
        <x:v>01 [00:00-00:30]</x:v>
      </x:c>
      <x:c r="B4" s="216" t="n">
        <x:f>TINH_TOAN!D2</x:f>
        <x:v>0</x:v>
      </x:c>
      <x:c r="C4" s="216" t="str">
        <x:f>TINH_TOAN!E2</x:f>
      </x:c>
      <x:c r="D4" s="216" t="n">
        <x:f>TINH_TOAN!F2</x:f>
        <x:v>0</x:v>
      </x:c>
      <x:c r="E4" s="216" t="n">
        <x:f>TINH_TOAN!J2</x:f>
        <x:v>0</x:v>
      </x:c>
      <x:c r="F4" s="216" t="str">
        <x:f>TINH_TOAN!K2</x:f>
      </x:c>
      <x:c r="G4" s="216" t="str">
        <x:f>TINH_TOAN!L2</x:f>
      </x:c>
      <x:c r="H4" s="216" t="n">
        <x:f>TINH_TOAN!G2</x:f>
        <x:v>0</x:v>
      </x:c>
      <x:c r="I4" s="216" t="str">
        <x:f>TINH_TOAN!H2</x:f>
      </x:c>
      <x:c r="J4" s="216" t="str">
        <x:f>TINH_TOAN!I2</x:f>
      </x:c>
      <x:c r="K4" s="37" t="str">
        <x:f>IF(TINH_TOAN!M2="Dự kiến","Dự kiến","")</x:f>
      </x:c>
    </x:row>
    <x:row r="5">
      <x:c r="A5" s="38" t="str">
        <x:f>TINH_TOAN!A3</x:f>
        <x:v>02 [00:30-01:00]</x:v>
      </x:c>
      <x:c r="B5" s="217" t="n">
        <x:f>TINH_TOAN!D3</x:f>
        <x:v>0</x:v>
      </x:c>
      <x:c r="C5" s="217" t="str">
        <x:f>TINH_TOAN!E3</x:f>
      </x:c>
      <x:c r="D5" s="217" t="n">
        <x:f>TINH_TOAN!F3</x:f>
        <x:v>0</x:v>
      </x:c>
      <x:c r="E5" s="217" t="n">
        <x:f>TINH_TOAN!J3</x:f>
        <x:v>0</x:v>
      </x:c>
      <x:c r="F5" s="217" t="str">
        <x:f>TINH_TOAN!K3</x:f>
      </x:c>
      <x:c r="G5" s="217" t="str">
        <x:f>TINH_TOAN!L3</x:f>
      </x:c>
      <x:c r="H5" s="217" t="n">
        <x:f>TINH_TOAN!G3</x:f>
        <x:v>0</x:v>
      </x:c>
      <x:c r="I5" s="217" t="str">
        <x:f>TINH_TOAN!H3</x:f>
      </x:c>
      <x:c r="J5" s="217" t="str">
        <x:f>TINH_TOAN!I3</x:f>
      </x:c>
      <x:c r="K5" s="39" t="str">
        <x:f>IF(TINH_TOAN!M3="Dự kiến","Dự kiến","")</x:f>
      </x:c>
    </x:row>
    <x:row r="6">
      <x:c r="A6" s="38" t="str">
        <x:f>TINH_TOAN!A4</x:f>
        <x:v>03 [01:00-01:30]</x:v>
      </x:c>
      <x:c r="B6" s="217" t="n">
        <x:f>TINH_TOAN!D4</x:f>
        <x:v>0</x:v>
      </x:c>
      <x:c r="C6" s="217" t="str">
        <x:f>TINH_TOAN!E4</x:f>
      </x:c>
      <x:c r="D6" s="217" t="n">
        <x:f>TINH_TOAN!F4</x:f>
        <x:v>0</x:v>
      </x:c>
      <x:c r="E6" s="217" t="n">
        <x:f>TINH_TOAN!J4</x:f>
        <x:v>0</x:v>
      </x:c>
      <x:c r="F6" s="217" t="str">
        <x:f>TINH_TOAN!K4</x:f>
      </x:c>
      <x:c r="G6" s="217" t="str">
        <x:f>TINH_TOAN!L4</x:f>
      </x:c>
      <x:c r="H6" s="217" t="n">
        <x:f>TINH_TOAN!G4</x:f>
        <x:v>0</x:v>
      </x:c>
      <x:c r="I6" s="217" t="str">
        <x:f>TINH_TOAN!H4</x:f>
      </x:c>
      <x:c r="J6" s="217" t="str">
        <x:f>TINH_TOAN!I4</x:f>
      </x:c>
      <x:c r="K6" s="39" t="str">
        <x:f>IF(TINH_TOAN!M4="Dự kiến","Dự kiến","")</x:f>
      </x:c>
    </x:row>
    <x:row r="7">
      <x:c r="A7" s="38" t="str">
        <x:f>TINH_TOAN!A5</x:f>
        <x:v>04 [01:30-02:00]</x:v>
      </x:c>
      <x:c r="B7" s="217" t="n">
        <x:f>TINH_TOAN!D5</x:f>
        <x:v>0</x:v>
      </x:c>
      <x:c r="C7" s="217" t="str">
        <x:f>TINH_TOAN!E5</x:f>
      </x:c>
      <x:c r="D7" s="217" t="n">
        <x:f>TINH_TOAN!F5</x:f>
        <x:v>0</x:v>
      </x:c>
      <x:c r="E7" s="217" t="n">
        <x:f>TINH_TOAN!J5</x:f>
        <x:v>0</x:v>
      </x:c>
      <x:c r="F7" s="217" t="str">
        <x:f>TINH_TOAN!K5</x:f>
      </x:c>
      <x:c r="G7" s="217" t="str">
        <x:f>TINH_TOAN!L5</x:f>
      </x:c>
      <x:c r="H7" s="217" t="n">
        <x:f>TINH_TOAN!G5</x:f>
        <x:v>0</x:v>
      </x:c>
      <x:c r="I7" s="217" t="str">
        <x:f>TINH_TOAN!H5</x:f>
      </x:c>
      <x:c r="J7" s="217" t="str">
        <x:f>TINH_TOAN!I5</x:f>
      </x:c>
      <x:c r="K7" s="39" t="str">
        <x:f>IF(TINH_TOAN!M5="Dự kiến","Dự kiến","")</x:f>
      </x:c>
    </x:row>
    <x:row r="8">
      <x:c r="A8" s="38" t="str">
        <x:f>TINH_TOAN!A6</x:f>
        <x:v>05 [02:00-02:30]</x:v>
      </x:c>
      <x:c r="B8" s="217" t="n">
        <x:f>TINH_TOAN!D6</x:f>
        <x:v>0</x:v>
      </x:c>
      <x:c r="C8" s="217" t="str">
        <x:f>TINH_TOAN!E6</x:f>
      </x:c>
      <x:c r="D8" s="217" t="n">
        <x:f>TINH_TOAN!F6</x:f>
        <x:v>0</x:v>
      </x:c>
      <x:c r="E8" s="217" t="n">
        <x:f>TINH_TOAN!J6</x:f>
        <x:v>0</x:v>
      </x:c>
      <x:c r="F8" s="217" t="str">
        <x:f>TINH_TOAN!K6</x:f>
      </x:c>
      <x:c r="G8" s="217" t="str">
        <x:f>TINH_TOAN!L6</x:f>
      </x:c>
      <x:c r="H8" s="217" t="n">
        <x:f>TINH_TOAN!G6</x:f>
        <x:v>0</x:v>
      </x:c>
      <x:c r="I8" s="217" t="str">
        <x:f>TINH_TOAN!H6</x:f>
      </x:c>
      <x:c r="J8" s="217" t="str">
        <x:f>TINH_TOAN!I6</x:f>
      </x:c>
      <x:c r="K8" s="39" t="str">
        <x:f>IF(TINH_TOAN!M6="Dự kiến","Dự kiến","")</x:f>
      </x:c>
    </x:row>
    <x:row r="9">
      <x:c r="A9" s="38" t="str">
        <x:f>TINH_TOAN!A7</x:f>
        <x:v>06 [02:30-03:00]</x:v>
      </x:c>
      <x:c r="B9" s="217" t="n">
        <x:f>TINH_TOAN!D7</x:f>
        <x:v>0</x:v>
      </x:c>
      <x:c r="C9" s="217" t="str">
        <x:f>TINH_TOAN!E7</x:f>
      </x:c>
      <x:c r="D9" s="217" t="n">
        <x:f>TINH_TOAN!F7</x:f>
        <x:v>0</x:v>
      </x:c>
      <x:c r="E9" s="217" t="n">
        <x:f>TINH_TOAN!J7</x:f>
        <x:v>0</x:v>
      </x:c>
      <x:c r="F9" s="217" t="str">
        <x:f>TINH_TOAN!K7</x:f>
      </x:c>
      <x:c r="G9" s="217" t="str">
        <x:f>TINH_TOAN!L7</x:f>
      </x:c>
      <x:c r="H9" s="217" t="n">
        <x:f>TINH_TOAN!G7</x:f>
        <x:v>0</x:v>
      </x:c>
      <x:c r="I9" s="217" t="str">
        <x:f>TINH_TOAN!H7</x:f>
      </x:c>
      <x:c r="J9" s="217" t="str">
        <x:f>TINH_TOAN!I7</x:f>
      </x:c>
      <x:c r="K9" s="39" t="str">
        <x:f>IF(TINH_TOAN!M7="Dự kiến","Dự kiến","")</x:f>
      </x:c>
    </x:row>
    <x:row r="10">
      <x:c r="A10" s="38" t="str">
        <x:f>TINH_TOAN!A8</x:f>
        <x:v>07 [03:00-03:30]</x:v>
      </x:c>
      <x:c r="B10" s="217" t="n">
        <x:f>TINH_TOAN!D8</x:f>
        <x:v>0</x:v>
      </x:c>
      <x:c r="C10" s="217" t="str">
        <x:f>TINH_TOAN!E8</x:f>
      </x:c>
      <x:c r="D10" s="217" t="n">
        <x:f>TINH_TOAN!F8</x:f>
        <x:v>0</x:v>
      </x:c>
      <x:c r="E10" s="217" t="n">
        <x:f>TINH_TOAN!J8</x:f>
        <x:v>0</x:v>
      </x:c>
      <x:c r="F10" s="217" t="str">
        <x:f>TINH_TOAN!K8</x:f>
      </x:c>
      <x:c r="G10" s="217" t="str">
        <x:f>TINH_TOAN!L8</x:f>
      </x:c>
      <x:c r="H10" s="217" t="n">
        <x:f>TINH_TOAN!G8</x:f>
        <x:v>0</x:v>
      </x:c>
      <x:c r="I10" s="217" t="str">
        <x:f>TINH_TOAN!H8</x:f>
      </x:c>
      <x:c r="J10" s="217" t="str">
        <x:f>TINH_TOAN!I8</x:f>
      </x:c>
      <x:c r="K10" s="39" t="str">
        <x:f>IF(TINH_TOAN!M8="Dự kiến","Dự kiến","")</x:f>
      </x:c>
    </x:row>
    <x:row r="11">
      <x:c r="A11" s="38" t="str">
        <x:f>TINH_TOAN!A9</x:f>
        <x:v>08 [03:30-04:00]</x:v>
      </x:c>
      <x:c r="B11" s="217" t="n">
        <x:f>TINH_TOAN!D9</x:f>
        <x:v>0</x:v>
      </x:c>
      <x:c r="C11" s="217" t="str">
        <x:f>TINH_TOAN!E9</x:f>
      </x:c>
      <x:c r="D11" s="217" t="n">
        <x:f>TINH_TOAN!F9</x:f>
        <x:v>0</x:v>
      </x:c>
      <x:c r="E11" s="217" t="n">
        <x:f>TINH_TOAN!J9</x:f>
        <x:v>0</x:v>
      </x:c>
      <x:c r="F11" s="217" t="str">
        <x:f>TINH_TOAN!K9</x:f>
      </x:c>
      <x:c r="G11" s="217" t="str">
        <x:f>TINH_TOAN!L9</x:f>
      </x:c>
      <x:c r="H11" s="217" t="n">
        <x:f>TINH_TOAN!G9</x:f>
        <x:v>0</x:v>
      </x:c>
      <x:c r="I11" s="217" t="str">
        <x:f>TINH_TOAN!H9</x:f>
      </x:c>
      <x:c r="J11" s="217" t="str">
        <x:f>TINH_TOAN!I9</x:f>
      </x:c>
      <x:c r="K11" s="39" t="str">
        <x:f>IF(TINH_TOAN!M9="Dự kiến","Dự kiến","")</x:f>
      </x:c>
    </x:row>
    <x:row r="12">
      <x:c r="A12" s="38" t="str">
        <x:f>TINH_TOAN!A10</x:f>
        <x:v>09 [04:00-04:30]</x:v>
      </x:c>
      <x:c r="B12" s="217" t="n">
        <x:f>TINH_TOAN!D10</x:f>
        <x:v>0</x:v>
      </x:c>
      <x:c r="C12" s="217" t="str">
        <x:f>TINH_TOAN!E10</x:f>
      </x:c>
      <x:c r="D12" s="217" t="n">
        <x:f>TINH_TOAN!F10</x:f>
        <x:v>0</x:v>
      </x:c>
      <x:c r="E12" s="217" t="n">
        <x:f>TINH_TOAN!J10</x:f>
        <x:v>0</x:v>
      </x:c>
      <x:c r="F12" s="217" t="str">
        <x:f>TINH_TOAN!K10</x:f>
      </x:c>
      <x:c r="G12" s="217" t="str">
        <x:f>TINH_TOAN!L10</x:f>
      </x:c>
      <x:c r="H12" s="217" t="n">
        <x:f>TINH_TOAN!G10</x:f>
        <x:v>0</x:v>
      </x:c>
      <x:c r="I12" s="217" t="str">
        <x:f>TINH_TOAN!H10</x:f>
      </x:c>
      <x:c r="J12" s="217" t="str">
        <x:f>TINH_TOAN!I10</x:f>
      </x:c>
      <x:c r="K12" s="39" t="str">
        <x:f>IF(TINH_TOAN!M10="Dự kiến","Dự kiến","")</x:f>
      </x:c>
    </x:row>
    <x:row r="13">
      <x:c r="A13" s="38" t="str">
        <x:f>TINH_TOAN!A11</x:f>
        <x:v>10 [04:30-05:00]</x:v>
      </x:c>
      <x:c r="B13" s="217" t="n">
        <x:f>TINH_TOAN!D11</x:f>
        <x:v>0</x:v>
      </x:c>
      <x:c r="C13" s="217" t="str">
        <x:f>TINH_TOAN!E11</x:f>
      </x:c>
      <x:c r="D13" s="217" t="n">
        <x:f>TINH_TOAN!F11</x:f>
        <x:v>0</x:v>
      </x:c>
      <x:c r="E13" s="217" t="n">
        <x:f>TINH_TOAN!J11</x:f>
        <x:v>0</x:v>
      </x:c>
      <x:c r="F13" s="217" t="str">
        <x:f>TINH_TOAN!K11</x:f>
      </x:c>
      <x:c r="G13" s="217" t="str">
        <x:f>TINH_TOAN!L11</x:f>
      </x:c>
      <x:c r="H13" s="217" t="n">
        <x:f>TINH_TOAN!G11</x:f>
        <x:v>0</x:v>
      </x:c>
      <x:c r="I13" s="217" t="str">
        <x:f>TINH_TOAN!H11</x:f>
      </x:c>
      <x:c r="J13" s="217" t="str">
        <x:f>TINH_TOAN!I11</x:f>
      </x:c>
      <x:c r="K13" s="39" t="str">
        <x:f>IF(TINH_TOAN!M11="Dự kiến","Dự kiến","")</x:f>
      </x:c>
    </x:row>
    <x:row r="14">
      <x:c r="A14" s="38" t="str">
        <x:f>TINH_TOAN!A12</x:f>
        <x:v>11 [05:00-05:30]</x:v>
      </x:c>
      <x:c r="B14" s="217" t="n">
        <x:f>TINH_TOAN!D12</x:f>
        <x:v>0</x:v>
      </x:c>
      <x:c r="C14" s="217" t="str">
        <x:f>TINH_TOAN!E12</x:f>
      </x:c>
      <x:c r="D14" s="217" t="n">
        <x:f>TINH_TOAN!F12</x:f>
        <x:v>0</x:v>
      </x:c>
      <x:c r="E14" s="217" t="n">
        <x:f>TINH_TOAN!J12</x:f>
        <x:v>0</x:v>
      </x:c>
      <x:c r="F14" s="217" t="str">
        <x:f>TINH_TOAN!K12</x:f>
      </x:c>
      <x:c r="G14" s="217" t="str">
        <x:f>TINH_TOAN!L12</x:f>
      </x:c>
      <x:c r="H14" s="217" t="n">
        <x:f>TINH_TOAN!G12</x:f>
        <x:v>0</x:v>
      </x:c>
      <x:c r="I14" s="217" t="str">
        <x:f>TINH_TOAN!H12</x:f>
      </x:c>
      <x:c r="J14" s="217" t="str">
        <x:f>TINH_TOAN!I12</x:f>
      </x:c>
      <x:c r="K14" s="39" t="str">
        <x:f>IF(TINH_TOAN!M12="Dự kiến","Dự kiến","")</x:f>
      </x:c>
    </x:row>
    <x:row r="15">
      <x:c r="A15" s="38" t="str">
        <x:f>TINH_TOAN!A13</x:f>
        <x:v>12 [05:30-06:00]</x:v>
      </x:c>
      <x:c r="B15" s="217" t="n">
        <x:f>TINH_TOAN!D13</x:f>
        <x:v>0</x:v>
      </x:c>
      <x:c r="C15" s="217" t="str">
        <x:f>TINH_TOAN!E13</x:f>
      </x:c>
      <x:c r="D15" s="217" t="n">
        <x:f>TINH_TOAN!F13</x:f>
        <x:v>0</x:v>
      </x:c>
      <x:c r="E15" s="217" t="n">
        <x:f>TINH_TOAN!J13</x:f>
        <x:v>0</x:v>
      </x:c>
      <x:c r="F15" s="217" t="str">
        <x:f>TINH_TOAN!K13</x:f>
      </x:c>
      <x:c r="G15" s="217" t="str">
        <x:f>TINH_TOAN!L13</x:f>
      </x:c>
      <x:c r="H15" s="217" t="n">
        <x:f>TINH_TOAN!G13</x:f>
        <x:v>0</x:v>
      </x:c>
      <x:c r="I15" s="217" t="str">
        <x:f>TINH_TOAN!H13</x:f>
      </x:c>
      <x:c r="J15" s="217" t="str">
        <x:f>TINH_TOAN!I13</x:f>
      </x:c>
      <x:c r="K15" s="39" t="str">
        <x:f>IF(TINH_TOAN!M13="Dự kiến","Dự kiến","")</x:f>
      </x:c>
    </x:row>
    <x:row r="16">
      <x:c r="A16" s="38" t="str">
        <x:f>TINH_TOAN!A14</x:f>
        <x:v>13 [06:00-06:30]</x:v>
      </x:c>
      <x:c r="B16" s="217" t="n">
        <x:f>TINH_TOAN!D14</x:f>
        <x:v>0</x:v>
      </x:c>
      <x:c r="C16" s="217" t="str">
        <x:f>TINH_TOAN!E14</x:f>
      </x:c>
      <x:c r="D16" s="217" t="n">
        <x:f>TINH_TOAN!F14</x:f>
        <x:v>0</x:v>
      </x:c>
      <x:c r="E16" s="217" t="n">
        <x:f>TINH_TOAN!J14</x:f>
        <x:v>0</x:v>
      </x:c>
      <x:c r="F16" s="217" t="str">
        <x:f>TINH_TOAN!K14</x:f>
      </x:c>
      <x:c r="G16" s="217" t="str">
        <x:f>TINH_TOAN!L14</x:f>
      </x:c>
      <x:c r="H16" s="217" t="n">
        <x:f>TINH_TOAN!G14</x:f>
        <x:v>0</x:v>
      </x:c>
      <x:c r="I16" s="217" t="str">
        <x:f>TINH_TOAN!H14</x:f>
      </x:c>
      <x:c r="J16" s="217" t="str">
        <x:f>TINH_TOAN!I14</x:f>
      </x:c>
      <x:c r="K16" s="39" t="str">
        <x:f>IF(TINH_TOAN!M14="Dự kiến","Dự kiến","")</x:f>
      </x:c>
    </x:row>
    <x:row r="17">
      <x:c r="A17" s="38" t="str">
        <x:f>TINH_TOAN!A15</x:f>
        <x:v>14 [06:30-07:00]</x:v>
      </x:c>
      <x:c r="B17" s="217" t="n">
        <x:f>TINH_TOAN!D15</x:f>
        <x:v>0</x:v>
      </x:c>
      <x:c r="C17" s="217" t="str">
        <x:f>TINH_TOAN!E15</x:f>
      </x:c>
      <x:c r="D17" s="217" t="n">
        <x:f>TINH_TOAN!F15</x:f>
        <x:v>0</x:v>
      </x:c>
      <x:c r="E17" s="217" t="n">
        <x:f>TINH_TOAN!J15</x:f>
        <x:v>0</x:v>
      </x:c>
      <x:c r="F17" s="217" t="str">
        <x:f>TINH_TOAN!K15</x:f>
      </x:c>
      <x:c r="G17" s="217" t="str">
        <x:f>TINH_TOAN!L15</x:f>
      </x:c>
      <x:c r="H17" s="217" t="n">
        <x:f>TINH_TOAN!G15</x:f>
        <x:v>0</x:v>
      </x:c>
      <x:c r="I17" s="217" t="str">
        <x:f>TINH_TOAN!H15</x:f>
      </x:c>
      <x:c r="J17" s="217" t="str">
        <x:f>TINH_TOAN!I15</x:f>
      </x:c>
      <x:c r="K17" s="39" t="str">
        <x:f>IF(TINH_TOAN!M15="Dự kiến","Dự kiến","")</x:f>
      </x:c>
    </x:row>
    <x:row r="18">
      <x:c r="A18" s="38" t="str">
        <x:f>TINH_TOAN!A16</x:f>
        <x:v>15 [07:00-07:30]</x:v>
      </x:c>
      <x:c r="B18" s="217" t="n">
        <x:f>TINH_TOAN!D16</x:f>
        <x:v>0</x:v>
      </x:c>
      <x:c r="C18" s="217" t="str">
        <x:f>TINH_TOAN!E16</x:f>
      </x:c>
      <x:c r="D18" s="217" t="n">
        <x:f>TINH_TOAN!F16</x:f>
        <x:v>0</x:v>
      </x:c>
      <x:c r="E18" s="217" t="n">
        <x:f>TINH_TOAN!J16</x:f>
        <x:v>0</x:v>
      </x:c>
      <x:c r="F18" s="217" t="str">
        <x:f>TINH_TOAN!K16</x:f>
      </x:c>
      <x:c r="G18" s="217" t="str">
        <x:f>TINH_TOAN!L16</x:f>
      </x:c>
      <x:c r="H18" s="217" t="n">
        <x:f>TINH_TOAN!G16</x:f>
        <x:v>0</x:v>
      </x:c>
      <x:c r="I18" s="217" t="str">
        <x:f>TINH_TOAN!H16</x:f>
      </x:c>
      <x:c r="J18" s="217" t="str">
        <x:f>TINH_TOAN!I16</x:f>
      </x:c>
      <x:c r="K18" s="39" t="str">
        <x:f>IF(TINH_TOAN!M16="Dự kiến","Dự kiến","")</x:f>
      </x:c>
    </x:row>
    <x:row r="19">
      <x:c r="A19" s="38" t="str">
        <x:f>TINH_TOAN!A17</x:f>
        <x:v>16 [07:30-08:00]</x:v>
      </x:c>
      <x:c r="B19" s="217" t="n">
        <x:f>TINH_TOAN!D17</x:f>
        <x:v>0</x:v>
      </x:c>
      <x:c r="C19" s="217" t="str">
        <x:f>TINH_TOAN!E17</x:f>
      </x:c>
      <x:c r="D19" s="217" t="n">
        <x:f>TINH_TOAN!F17</x:f>
        <x:v>0</x:v>
      </x:c>
      <x:c r="E19" s="217" t="n">
        <x:f>TINH_TOAN!J17</x:f>
        <x:v>0</x:v>
      </x:c>
      <x:c r="F19" s="217" t="str">
        <x:f>TINH_TOAN!K17</x:f>
      </x:c>
      <x:c r="G19" s="217" t="str">
        <x:f>TINH_TOAN!L17</x:f>
      </x:c>
      <x:c r="H19" s="217" t="n">
        <x:f>TINH_TOAN!G17</x:f>
        <x:v>0</x:v>
      </x:c>
      <x:c r="I19" s="217" t="str">
        <x:f>TINH_TOAN!H17</x:f>
      </x:c>
      <x:c r="J19" s="217" t="str">
        <x:f>TINH_TOAN!I17</x:f>
      </x:c>
      <x:c r="K19" s="39" t="str">
        <x:f>IF(TINH_TOAN!M17="Dự kiến","Dự kiến","")</x:f>
      </x:c>
    </x:row>
    <x:row r="20">
      <x:c r="A20" s="38" t="str">
        <x:f>TINH_TOAN!A18</x:f>
        <x:v>17 [08:00-08:30]</x:v>
      </x:c>
      <x:c r="B20" s="217" t="n">
        <x:f>TINH_TOAN!D18</x:f>
        <x:v>0</x:v>
      </x:c>
      <x:c r="C20" s="217" t="str">
        <x:f>TINH_TOAN!E18</x:f>
      </x:c>
      <x:c r="D20" s="217" t="n">
        <x:f>TINH_TOAN!F18</x:f>
        <x:v>0</x:v>
      </x:c>
      <x:c r="E20" s="217" t="n">
        <x:f>TINH_TOAN!J18</x:f>
        <x:v>0</x:v>
      </x:c>
      <x:c r="F20" s="217" t="str">
        <x:f>TINH_TOAN!K18</x:f>
      </x:c>
      <x:c r="G20" s="217" t="str">
        <x:f>TINH_TOAN!L18</x:f>
      </x:c>
      <x:c r="H20" s="217" t="n">
        <x:f>TINH_TOAN!G18</x:f>
        <x:v>0</x:v>
      </x:c>
      <x:c r="I20" s="217" t="str">
        <x:f>TINH_TOAN!H18</x:f>
      </x:c>
      <x:c r="J20" s="217" t="str">
        <x:f>TINH_TOAN!I18</x:f>
      </x:c>
      <x:c r="K20" s="39" t="str">
        <x:f>IF(TINH_TOAN!M18="Dự kiến","Dự kiến","")</x:f>
      </x:c>
    </x:row>
    <x:row r="21">
      <x:c r="A21" s="38" t="str">
        <x:f>TINH_TOAN!A19</x:f>
        <x:v>18 [08:30-09:00]</x:v>
      </x:c>
      <x:c r="B21" s="217" t="n">
        <x:f>TINH_TOAN!D19</x:f>
        <x:v>0</x:v>
      </x:c>
      <x:c r="C21" s="217" t="str">
        <x:f>TINH_TOAN!E19</x:f>
      </x:c>
      <x:c r="D21" s="217" t="n">
        <x:f>TINH_TOAN!F19</x:f>
        <x:v>0</x:v>
      </x:c>
      <x:c r="E21" s="217" t="n">
        <x:f>TINH_TOAN!J19</x:f>
        <x:v>0</x:v>
      </x:c>
      <x:c r="F21" s="217" t="str">
        <x:f>TINH_TOAN!K19</x:f>
      </x:c>
      <x:c r="G21" s="217" t="str">
        <x:f>TINH_TOAN!L19</x:f>
      </x:c>
      <x:c r="H21" s="217" t="n">
        <x:f>TINH_TOAN!G19</x:f>
        <x:v>0</x:v>
      </x:c>
      <x:c r="I21" s="217" t="str">
        <x:f>TINH_TOAN!H19</x:f>
      </x:c>
      <x:c r="J21" s="217" t="str">
        <x:f>TINH_TOAN!I19</x:f>
      </x:c>
      <x:c r="K21" s="39" t="str">
        <x:f>IF(TINH_TOAN!M19="Dự kiến","Dự kiến","")</x:f>
      </x:c>
    </x:row>
    <x:row r="22">
      <x:c r="A22" s="38" t="str">
        <x:f>TINH_TOAN!A20</x:f>
        <x:v>19 [09:00-09:30]</x:v>
      </x:c>
      <x:c r="B22" s="217" t="n">
        <x:f>TINH_TOAN!D20</x:f>
        <x:v>0</x:v>
      </x:c>
      <x:c r="C22" s="217" t="str">
        <x:f>TINH_TOAN!E20</x:f>
      </x:c>
      <x:c r="D22" s="217" t="n">
        <x:f>TINH_TOAN!F20</x:f>
        <x:v>0</x:v>
      </x:c>
      <x:c r="E22" s="217" t="n">
        <x:f>TINH_TOAN!J20</x:f>
        <x:v>0</x:v>
      </x:c>
      <x:c r="F22" s="217" t="str">
        <x:f>TINH_TOAN!K20</x:f>
      </x:c>
      <x:c r="G22" s="217" t="str">
        <x:f>TINH_TOAN!L20</x:f>
      </x:c>
      <x:c r="H22" s="217" t="n">
        <x:f>TINH_TOAN!G20</x:f>
        <x:v>0</x:v>
      </x:c>
      <x:c r="I22" s="217" t="str">
        <x:f>TINH_TOAN!H20</x:f>
      </x:c>
      <x:c r="J22" s="217" t="str">
        <x:f>TINH_TOAN!I20</x:f>
      </x:c>
      <x:c r="K22" s="39" t="str">
        <x:f>IF(TINH_TOAN!M20="Dự kiến","Dự kiến","")</x:f>
      </x:c>
    </x:row>
    <x:row r="23">
      <x:c r="A23" s="38" t="str">
        <x:f>TINH_TOAN!A21</x:f>
        <x:v>20 [09:30-10:00]</x:v>
      </x:c>
      <x:c r="B23" s="217" t="n">
        <x:f>TINH_TOAN!D21</x:f>
        <x:v>0</x:v>
      </x:c>
      <x:c r="C23" s="217" t="str">
        <x:f>TINH_TOAN!E21</x:f>
      </x:c>
      <x:c r="D23" s="217" t="n">
        <x:f>TINH_TOAN!F21</x:f>
        <x:v>0</x:v>
      </x:c>
      <x:c r="E23" s="217" t="n">
        <x:f>TINH_TOAN!J21</x:f>
        <x:v>0</x:v>
      </x:c>
      <x:c r="F23" s="217" t="str">
        <x:f>TINH_TOAN!K21</x:f>
      </x:c>
      <x:c r="G23" s="217" t="str">
        <x:f>TINH_TOAN!L21</x:f>
      </x:c>
      <x:c r="H23" s="217" t="n">
        <x:f>TINH_TOAN!G21</x:f>
        <x:v>0</x:v>
      </x:c>
      <x:c r="I23" s="217" t="str">
        <x:f>TINH_TOAN!H21</x:f>
      </x:c>
      <x:c r="J23" s="217" t="str">
        <x:f>TINH_TOAN!I21</x:f>
      </x:c>
      <x:c r="K23" s="39" t="str">
        <x:f>IF(TINH_TOAN!M21="Dự kiến","Dự kiến","")</x:f>
      </x:c>
    </x:row>
    <x:row r="24">
      <x:c r="A24" s="38" t="str">
        <x:f>TINH_TOAN!A22</x:f>
        <x:v>21 [10:00-10:30]</x:v>
      </x:c>
      <x:c r="B24" s="217" t="n">
        <x:f>TINH_TOAN!D22</x:f>
        <x:v>0</x:v>
      </x:c>
      <x:c r="C24" s="217" t="str">
        <x:f>TINH_TOAN!E22</x:f>
      </x:c>
      <x:c r="D24" s="217" t="n">
        <x:f>TINH_TOAN!F22</x:f>
        <x:v>0</x:v>
      </x:c>
      <x:c r="E24" s="217" t="n">
        <x:f>TINH_TOAN!J22</x:f>
        <x:v>0</x:v>
      </x:c>
      <x:c r="F24" s="217" t="str">
        <x:f>TINH_TOAN!K22</x:f>
      </x:c>
      <x:c r="G24" s="217" t="str">
        <x:f>TINH_TOAN!L22</x:f>
      </x:c>
      <x:c r="H24" s="217" t="n">
        <x:f>TINH_TOAN!G22</x:f>
        <x:v>0</x:v>
      </x:c>
      <x:c r="I24" s="217" t="str">
        <x:f>TINH_TOAN!H22</x:f>
      </x:c>
      <x:c r="J24" s="217" t="str">
        <x:f>TINH_TOAN!I22</x:f>
      </x:c>
      <x:c r="K24" s="39" t="str">
        <x:f>IF(TINH_TOAN!M22="Dự kiến","Dự kiến","")</x:f>
      </x:c>
    </x:row>
    <x:row r="25">
      <x:c r="A25" s="38" t="str">
        <x:f>TINH_TOAN!A23</x:f>
        <x:v>22 [10:30-11:00]</x:v>
      </x:c>
      <x:c r="B25" s="217" t="n">
        <x:f>TINH_TOAN!D23</x:f>
        <x:v>0</x:v>
      </x:c>
      <x:c r="C25" s="217" t="str">
        <x:f>TINH_TOAN!E23</x:f>
      </x:c>
      <x:c r="D25" s="217" t="n">
        <x:f>TINH_TOAN!F23</x:f>
        <x:v>0</x:v>
      </x:c>
      <x:c r="E25" s="217" t="n">
        <x:f>TINH_TOAN!J23</x:f>
        <x:v>0</x:v>
      </x:c>
      <x:c r="F25" s="217" t="str">
        <x:f>TINH_TOAN!K23</x:f>
      </x:c>
      <x:c r="G25" s="217" t="str">
        <x:f>TINH_TOAN!L23</x:f>
      </x:c>
      <x:c r="H25" s="217" t="n">
        <x:f>TINH_TOAN!G23</x:f>
        <x:v>0</x:v>
      </x:c>
      <x:c r="I25" s="217" t="str">
        <x:f>TINH_TOAN!H23</x:f>
      </x:c>
      <x:c r="J25" s="217" t="str">
        <x:f>TINH_TOAN!I23</x:f>
      </x:c>
      <x:c r="K25" s="39" t="str">
        <x:f>IF(TINH_TOAN!M23="Dự kiến","Dự kiến","")</x:f>
      </x:c>
    </x:row>
    <x:row r="26">
      <x:c r="A26" s="38" t="str">
        <x:f>TINH_TOAN!A24</x:f>
        <x:v>23 [11:00-11:30]</x:v>
      </x:c>
      <x:c r="B26" s="217" t="n">
        <x:f>TINH_TOAN!D24</x:f>
        <x:v>0</x:v>
      </x:c>
      <x:c r="C26" s="217" t="str">
        <x:f>TINH_TOAN!E24</x:f>
      </x:c>
      <x:c r="D26" s="217" t="n">
        <x:f>TINH_TOAN!F24</x:f>
        <x:v>0</x:v>
      </x:c>
      <x:c r="E26" s="217" t="n">
        <x:f>TINH_TOAN!J24</x:f>
        <x:v>0</x:v>
      </x:c>
      <x:c r="F26" s="217" t="str">
        <x:f>TINH_TOAN!K24</x:f>
      </x:c>
      <x:c r="G26" s="217" t="str">
        <x:f>TINH_TOAN!L24</x:f>
      </x:c>
      <x:c r="H26" s="217" t="n">
        <x:f>TINH_TOAN!G24</x:f>
        <x:v>0</x:v>
      </x:c>
      <x:c r="I26" s="217" t="str">
        <x:f>TINH_TOAN!H24</x:f>
      </x:c>
      <x:c r="J26" s="217" t="str">
        <x:f>TINH_TOAN!I24</x:f>
      </x:c>
      <x:c r="K26" s="39" t="str">
        <x:f>IF(TINH_TOAN!M24="Dự kiến","Dự kiến","")</x:f>
      </x:c>
    </x:row>
    <x:row r="27">
      <x:c r="A27" s="38" t="str">
        <x:f>TINH_TOAN!A25</x:f>
        <x:v>24 [11:30-12:00]</x:v>
      </x:c>
      <x:c r="B27" s="217" t="n">
        <x:f>TINH_TOAN!D25</x:f>
        <x:v>0</x:v>
      </x:c>
      <x:c r="C27" s="217" t="str">
        <x:f>TINH_TOAN!E25</x:f>
      </x:c>
      <x:c r="D27" s="217" t="n">
        <x:f>TINH_TOAN!F25</x:f>
        <x:v>0</x:v>
      </x:c>
      <x:c r="E27" s="217" t="n">
        <x:f>TINH_TOAN!J25</x:f>
        <x:v>0</x:v>
      </x:c>
      <x:c r="F27" s="217" t="str">
        <x:f>TINH_TOAN!K25</x:f>
      </x:c>
      <x:c r="G27" s="217" t="str">
        <x:f>TINH_TOAN!L25</x:f>
      </x:c>
      <x:c r="H27" s="217" t="n">
        <x:f>TINH_TOAN!G25</x:f>
        <x:v>0</x:v>
      </x:c>
      <x:c r="I27" s="217" t="str">
        <x:f>TINH_TOAN!H25</x:f>
      </x:c>
      <x:c r="J27" s="217" t="str">
        <x:f>TINH_TOAN!I25</x:f>
      </x:c>
      <x:c r="K27" s="39" t="str">
        <x:f>IF(TINH_TOAN!M25="Dự kiến","Dự kiến","")</x:f>
      </x:c>
    </x:row>
    <x:row r="28">
      <x:c r="A28" s="38" t="str">
        <x:f>TINH_TOAN!A26</x:f>
        <x:v>25 [12:00-12:30]</x:v>
      </x:c>
      <x:c r="B28" s="217" t="n">
        <x:f>TINH_TOAN!D26</x:f>
        <x:v>0</x:v>
      </x:c>
      <x:c r="C28" s="217" t="str">
        <x:f>TINH_TOAN!E26</x:f>
      </x:c>
      <x:c r="D28" s="217" t="n">
        <x:f>TINH_TOAN!F26</x:f>
        <x:v>0</x:v>
      </x:c>
      <x:c r="E28" s="217" t="n">
        <x:f>TINH_TOAN!J26</x:f>
        <x:v>0</x:v>
      </x:c>
      <x:c r="F28" s="217" t="str">
        <x:f>TINH_TOAN!K26</x:f>
      </x:c>
      <x:c r="G28" s="217" t="str">
        <x:f>TINH_TOAN!L26</x:f>
      </x:c>
      <x:c r="H28" s="217" t="n">
        <x:f>TINH_TOAN!G26</x:f>
        <x:v>0</x:v>
      </x:c>
      <x:c r="I28" s="217" t="str">
        <x:f>TINH_TOAN!H26</x:f>
      </x:c>
      <x:c r="J28" s="217" t="str">
        <x:f>TINH_TOAN!I26</x:f>
      </x:c>
      <x:c r="K28" s="39" t="str">
        <x:f>IF(TINH_TOAN!M26="Dự kiến","Dự kiến","")</x:f>
      </x:c>
    </x:row>
    <x:row r="29">
      <x:c r="A29" s="38" t="str">
        <x:f>TINH_TOAN!A27</x:f>
        <x:v>26 [12:30-13:00]</x:v>
      </x:c>
      <x:c r="B29" s="217" t="n">
        <x:f>TINH_TOAN!D27</x:f>
        <x:v>0</x:v>
      </x:c>
      <x:c r="C29" s="217" t="str">
        <x:f>TINH_TOAN!E27</x:f>
      </x:c>
      <x:c r="D29" s="217" t="n">
        <x:f>TINH_TOAN!F27</x:f>
        <x:v>0</x:v>
      </x:c>
      <x:c r="E29" s="217" t="n">
        <x:f>TINH_TOAN!J27</x:f>
        <x:v>0</x:v>
      </x:c>
      <x:c r="F29" s="217" t="str">
        <x:f>TINH_TOAN!K27</x:f>
      </x:c>
      <x:c r="G29" s="217" t="str">
        <x:f>TINH_TOAN!L27</x:f>
      </x:c>
      <x:c r="H29" s="217" t="n">
        <x:f>TINH_TOAN!G27</x:f>
        <x:v>0</x:v>
      </x:c>
      <x:c r="I29" s="217" t="str">
        <x:f>TINH_TOAN!H27</x:f>
      </x:c>
      <x:c r="J29" s="217" t="str">
        <x:f>TINH_TOAN!I27</x:f>
      </x:c>
      <x:c r="K29" s="39" t="str">
        <x:f>IF(TINH_TOAN!M27="Dự kiến","Dự kiến","")</x:f>
      </x:c>
    </x:row>
    <x:row r="30">
      <x:c r="A30" s="38" t="str">
        <x:f>TINH_TOAN!A28</x:f>
        <x:v>27 [13:00-13:30]</x:v>
      </x:c>
      <x:c r="B30" s="217" t="n">
        <x:f>TINH_TOAN!D28</x:f>
        <x:v>0</x:v>
      </x:c>
      <x:c r="C30" s="217" t="str">
        <x:f>TINH_TOAN!E28</x:f>
      </x:c>
      <x:c r="D30" s="217" t="n">
        <x:f>TINH_TOAN!F28</x:f>
        <x:v>0</x:v>
      </x:c>
      <x:c r="E30" s="217" t="n">
        <x:f>TINH_TOAN!J28</x:f>
        <x:v>0</x:v>
      </x:c>
      <x:c r="F30" s="217" t="str">
        <x:f>TINH_TOAN!K28</x:f>
      </x:c>
      <x:c r="G30" s="217" t="str">
        <x:f>TINH_TOAN!L28</x:f>
      </x:c>
      <x:c r="H30" s="217" t="n">
        <x:f>TINH_TOAN!G28</x:f>
        <x:v>0</x:v>
      </x:c>
      <x:c r="I30" s="217" t="str">
        <x:f>TINH_TOAN!H28</x:f>
      </x:c>
      <x:c r="J30" s="217" t="str">
        <x:f>TINH_TOAN!I28</x:f>
      </x:c>
      <x:c r="K30" s="39" t="str">
        <x:f>IF(TINH_TOAN!M28="Dự kiến","Dự kiến","")</x:f>
      </x:c>
    </x:row>
    <x:row r="31">
      <x:c r="A31" s="38" t="str">
        <x:f>TINH_TOAN!A29</x:f>
        <x:v>28 [13:30-14:00]</x:v>
      </x:c>
      <x:c r="B31" s="217" t="n">
        <x:f>TINH_TOAN!D29</x:f>
        <x:v>0</x:v>
      </x:c>
      <x:c r="C31" s="217" t="str">
        <x:f>TINH_TOAN!E29</x:f>
      </x:c>
      <x:c r="D31" s="217" t="n">
        <x:f>TINH_TOAN!F29</x:f>
        <x:v>0</x:v>
      </x:c>
      <x:c r="E31" s="217" t="n">
        <x:f>TINH_TOAN!J29</x:f>
        <x:v>0</x:v>
      </x:c>
      <x:c r="F31" s="217" t="str">
        <x:f>TINH_TOAN!K29</x:f>
      </x:c>
      <x:c r="G31" s="217" t="str">
        <x:f>TINH_TOAN!L29</x:f>
      </x:c>
      <x:c r="H31" s="217" t="n">
        <x:f>TINH_TOAN!G29</x:f>
        <x:v>0</x:v>
      </x:c>
      <x:c r="I31" s="217" t="str">
        <x:f>TINH_TOAN!H29</x:f>
      </x:c>
      <x:c r="J31" s="217" t="str">
        <x:f>TINH_TOAN!I29</x:f>
      </x:c>
      <x:c r="K31" s="39" t="str">
        <x:f>IF(TINH_TOAN!M29="Dự kiến","Dự kiến","")</x:f>
      </x:c>
    </x:row>
    <x:row r="32">
      <x:c r="A32" s="38" t="str">
        <x:f>TINH_TOAN!A30</x:f>
        <x:v>29 [14:00-14:30]</x:v>
      </x:c>
      <x:c r="B32" s="217" t="n">
        <x:f>TINH_TOAN!D30</x:f>
        <x:v>0</x:v>
      </x:c>
      <x:c r="C32" s="217" t="str">
        <x:f>TINH_TOAN!E30</x:f>
      </x:c>
      <x:c r="D32" s="217" t="n">
        <x:f>TINH_TOAN!F30</x:f>
        <x:v>0</x:v>
      </x:c>
      <x:c r="E32" s="217" t="n">
        <x:f>TINH_TOAN!J30</x:f>
        <x:v>0</x:v>
      </x:c>
      <x:c r="F32" s="217" t="str">
        <x:f>TINH_TOAN!K30</x:f>
      </x:c>
      <x:c r="G32" s="217" t="str">
        <x:f>TINH_TOAN!L30</x:f>
      </x:c>
      <x:c r="H32" s="217" t="n">
        <x:f>TINH_TOAN!G30</x:f>
        <x:v>0</x:v>
      </x:c>
      <x:c r="I32" s="217" t="str">
        <x:f>TINH_TOAN!H30</x:f>
      </x:c>
      <x:c r="J32" s="217" t="str">
        <x:f>TINH_TOAN!I30</x:f>
      </x:c>
      <x:c r="K32" s="39" t="str">
        <x:f>IF(TINH_TOAN!M30="Dự kiến","Dự kiến","")</x:f>
      </x:c>
    </x:row>
    <x:row r="33">
      <x:c r="A33" s="38" t="str">
        <x:f>TINH_TOAN!A31</x:f>
        <x:v>30 [14:30-15:00]</x:v>
      </x:c>
      <x:c r="B33" s="217" t="n">
        <x:f>TINH_TOAN!D31</x:f>
        <x:v>0</x:v>
      </x:c>
      <x:c r="C33" s="217" t="str">
        <x:f>TINH_TOAN!E31</x:f>
      </x:c>
      <x:c r="D33" s="217" t="n">
        <x:f>TINH_TOAN!F31</x:f>
        <x:v>0</x:v>
      </x:c>
      <x:c r="E33" s="217" t="n">
        <x:f>TINH_TOAN!J31</x:f>
        <x:v>0</x:v>
      </x:c>
      <x:c r="F33" s="217" t="str">
        <x:f>TINH_TOAN!K31</x:f>
      </x:c>
      <x:c r="G33" s="217" t="str">
        <x:f>TINH_TOAN!L31</x:f>
      </x:c>
      <x:c r="H33" s="217" t="n">
        <x:f>TINH_TOAN!G31</x:f>
        <x:v>0</x:v>
      </x:c>
      <x:c r="I33" s="217" t="str">
        <x:f>TINH_TOAN!H31</x:f>
      </x:c>
      <x:c r="J33" s="217" t="str">
        <x:f>TINH_TOAN!I31</x:f>
      </x:c>
      <x:c r="K33" s="39" t="str">
        <x:f>IF(TINH_TOAN!M31="Dự kiến","Dự kiến","")</x:f>
      </x:c>
    </x:row>
    <x:row r="34">
      <x:c r="A34" s="38" t="str">
        <x:f>TINH_TOAN!A32</x:f>
        <x:v>31 [15:00-15:30]</x:v>
      </x:c>
      <x:c r="B34" s="217" t="n">
        <x:f>TINH_TOAN!D32</x:f>
        <x:v>0</x:v>
      </x:c>
      <x:c r="C34" s="217" t="str">
        <x:f>TINH_TOAN!E32</x:f>
      </x:c>
      <x:c r="D34" s="217" t="n">
        <x:f>TINH_TOAN!F32</x:f>
        <x:v>0</x:v>
      </x:c>
      <x:c r="E34" s="217" t="n">
        <x:f>TINH_TOAN!J32</x:f>
        <x:v>0</x:v>
      </x:c>
      <x:c r="F34" s="217" t="str">
        <x:f>TINH_TOAN!K32</x:f>
      </x:c>
      <x:c r="G34" s="217" t="str">
        <x:f>TINH_TOAN!L32</x:f>
      </x:c>
      <x:c r="H34" s="217" t="n">
        <x:f>TINH_TOAN!G32</x:f>
        <x:v>0</x:v>
      </x:c>
      <x:c r="I34" s="217" t="str">
        <x:f>TINH_TOAN!H32</x:f>
      </x:c>
      <x:c r="J34" s="217" t="str">
        <x:f>TINH_TOAN!I32</x:f>
      </x:c>
      <x:c r="K34" s="39" t="str">
        <x:f>IF(TINH_TOAN!M32="Dự kiến","Dự kiến","")</x:f>
      </x:c>
    </x:row>
    <x:row r="35">
      <x:c r="A35" s="38" t="str">
        <x:f>TINH_TOAN!A33</x:f>
        <x:v>32 [15:30-16:00]</x:v>
      </x:c>
      <x:c r="B35" s="217" t="n">
        <x:f>TINH_TOAN!D33</x:f>
        <x:v>0</x:v>
      </x:c>
      <x:c r="C35" s="217" t="str">
        <x:f>TINH_TOAN!E33</x:f>
      </x:c>
      <x:c r="D35" s="217" t="n">
        <x:f>TINH_TOAN!F33</x:f>
        <x:v>0</x:v>
      </x:c>
      <x:c r="E35" s="217" t="n">
        <x:f>TINH_TOAN!J33</x:f>
        <x:v>0</x:v>
      </x:c>
      <x:c r="F35" s="217" t="str">
        <x:f>TINH_TOAN!K33</x:f>
      </x:c>
      <x:c r="G35" s="217" t="str">
        <x:f>TINH_TOAN!L33</x:f>
      </x:c>
      <x:c r="H35" s="217" t="n">
        <x:f>TINH_TOAN!G33</x:f>
        <x:v>0</x:v>
      </x:c>
      <x:c r="I35" s="217" t="str">
        <x:f>TINH_TOAN!H33</x:f>
      </x:c>
      <x:c r="J35" s="217" t="str">
        <x:f>TINH_TOAN!I33</x:f>
      </x:c>
      <x:c r="K35" s="39" t="str">
        <x:f>IF(TINH_TOAN!M33="Dự kiến","Dự kiến","")</x:f>
      </x:c>
    </x:row>
    <x:row r="36">
      <x:c r="A36" s="38" t="str">
        <x:f>TINH_TOAN!A34</x:f>
        <x:v>33 [16:00-16:30]</x:v>
      </x:c>
      <x:c r="B36" s="217" t="n">
        <x:f>TINH_TOAN!D34</x:f>
        <x:v>0</x:v>
      </x:c>
      <x:c r="C36" s="217" t="str">
        <x:f>TINH_TOAN!E34</x:f>
      </x:c>
      <x:c r="D36" s="217" t="n">
        <x:f>TINH_TOAN!F34</x:f>
        <x:v>0</x:v>
      </x:c>
      <x:c r="E36" s="217" t="n">
        <x:f>TINH_TOAN!J34</x:f>
        <x:v>0</x:v>
      </x:c>
      <x:c r="F36" s="217" t="str">
        <x:f>TINH_TOAN!K34</x:f>
      </x:c>
      <x:c r="G36" s="217" t="str">
        <x:f>TINH_TOAN!L34</x:f>
      </x:c>
      <x:c r="H36" s="217" t="n">
        <x:f>TINH_TOAN!G34</x:f>
        <x:v>0</x:v>
      </x:c>
      <x:c r="I36" s="217" t="str">
        <x:f>TINH_TOAN!H34</x:f>
      </x:c>
      <x:c r="J36" s="217" t="str">
        <x:f>TINH_TOAN!I34</x:f>
      </x:c>
      <x:c r="K36" s="39" t="str">
        <x:f>IF(TINH_TOAN!M34="Dự kiến","Dự kiến","")</x:f>
      </x:c>
    </x:row>
    <x:row r="37">
      <x:c r="A37" s="38" t="str">
        <x:f>TINH_TOAN!A35</x:f>
        <x:v>34 [16:30-17:00]</x:v>
      </x:c>
      <x:c r="B37" s="217" t="n">
        <x:f>TINH_TOAN!D35</x:f>
        <x:v>0</x:v>
      </x:c>
      <x:c r="C37" s="217" t="str">
        <x:f>TINH_TOAN!E35</x:f>
      </x:c>
      <x:c r="D37" s="217" t="n">
        <x:f>TINH_TOAN!F35</x:f>
        <x:v>0</x:v>
      </x:c>
      <x:c r="E37" s="217" t="n">
        <x:f>TINH_TOAN!J35</x:f>
        <x:v>0</x:v>
      </x:c>
      <x:c r="F37" s="217" t="str">
        <x:f>TINH_TOAN!K35</x:f>
      </x:c>
      <x:c r="G37" s="217" t="str">
        <x:f>TINH_TOAN!L35</x:f>
      </x:c>
      <x:c r="H37" s="217" t="n">
        <x:f>TINH_TOAN!G35</x:f>
        <x:v>0</x:v>
      </x:c>
      <x:c r="I37" s="217" t="str">
        <x:f>TINH_TOAN!H35</x:f>
      </x:c>
      <x:c r="J37" s="217" t="str">
        <x:f>TINH_TOAN!I35</x:f>
      </x:c>
      <x:c r="K37" s="39" t="str">
        <x:f>IF(TINH_TOAN!M35="Dự kiến","Dự kiến","")</x:f>
      </x:c>
    </x:row>
    <x:row r="38">
      <x:c r="A38" s="38" t="str">
        <x:f>TINH_TOAN!A36</x:f>
        <x:v>35 [17:00-17:30]</x:v>
      </x:c>
      <x:c r="B38" s="217" t="n">
        <x:f>TINH_TOAN!D36</x:f>
        <x:v>0</x:v>
      </x:c>
      <x:c r="C38" s="217" t="str">
        <x:f>TINH_TOAN!E36</x:f>
      </x:c>
      <x:c r="D38" s="217" t="n">
        <x:f>TINH_TOAN!F36</x:f>
        <x:v>0</x:v>
      </x:c>
      <x:c r="E38" s="217" t="n">
        <x:f>TINH_TOAN!J36</x:f>
        <x:v>0</x:v>
      </x:c>
      <x:c r="F38" s="217" t="str">
        <x:f>TINH_TOAN!K36</x:f>
      </x:c>
      <x:c r="G38" s="217" t="str">
        <x:f>TINH_TOAN!L36</x:f>
      </x:c>
      <x:c r="H38" s="217" t="n">
        <x:f>TINH_TOAN!G36</x:f>
        <x:v>0</x:v>
      </x:c>
      <x:c r="I38" s="217" t="str">
        <x:f>TINH_TOAN!H36</x:f>
      </x:c>
      <x:c r="J38" s="217" t="str">
        <x:f>TINH_TOAN!I36</x:f>
      </x:c>
      <x:c r="K38" s="39" t="str">
        <x:f>IF(TINH_TOAN!M36="Dự kiến","Dự kiến","")</x:f>
      </x:c>
    </x:row>
    <x:row r="39">
      <x:c r="A39" s="38" t="str">
        <x:f>TINH_TOAN!A37</x:f>
        <x:v>36 [17:30-18:00]</x:v>
      </x:c>
      <x:c r="B39" s="217" t="n">
        <x:f>TINH_TOAN!D37</x:f>
        <x:v>0</x:v>
      </x:c>
      <x:c r="C39" s="217" t="str">
        <x:f>TINH_TOAN!E37</x:f>
      </x:c>
      <x:c r="D39" s="217" t="n">
        <x:f>TINH_TOAN!F37</x:f>
        <x:v>0</x:v>
      </x:c>
      <x:c r="E39" s="217" t="n">
        <x:f>TINH_TOAN!J37</x:f>
        <x:v>0</x:v>
      </x:c>
      <x:c r="F39" s="217" t="str">
        <x:f>TINH_TOAN!K37</x:f>
      </x:c>
      <x:c r="G39" s="217" t="str">
        <x:f>TINH_TOAN!L37</x:f>
      </x:c>
      <x:c r="H39" s="217" t="n">
        <x:f>TINH_TOAN!G37</x:f>
        <x:v>0</x:v>
      </x:c>
      <x:c r="I39" s="217" t="str">
        <x:f>TINH_TOAN!H37</x:f>
      </x:c>
      <x:c r="J39" s="217" t="str">
        <x:f>TINH_TOAN!I37</x:f>
      </x:c>
      <x:c r="K39" s="39" t="str">
        <x:f>IF(TINH_TOAN!M37="Dự kiến","Dự kiến","")</x:f>
      </x:c>
    </x:row>
    <x:row r="40">
      <x:c r="A40" s="38" t="str">
        <x:f>TINH_TOAN!A38</x:f>
        <x:v>37 [18:00-18:30]</x:v>
      </x:c>
      <x:c r="B40" s="217" t="n">
        <x:f>TINH_TOAN!D38</x:f>
        <x:v>0</x:v>
      </x:c>
      <x:c r="C40" s="217" t="str">
        <x:f>TINH_TOAN!E38</x:f>
      </x:c>
      <x:c r="D40" s="217" t="n">
        <x:f>TINH_TOAN!F38</x:f>
        <x:v>0</x:v>
      </x:c>
      <x:c r="E40" s="217" t="n">
        <x:f>TINH_TOAN!J38</x:f>
        <x:v>0</x:v>
      </x:c>
      <x:c r="F40" s="217" t="str">
        <x:f>TINH_TOAN!K38</x:f>
      </x:c>
      <x:c r="G40" s="217" t="str">
        <x:f>TINH_TOAN!L38</x:f>
      </x:c>
      <x:c r="H40" s="217" t="n">
        <x:f>TINH_TOAN!G38</x:f>
        <x:v>0</x:v>
      </x:c>
      <x:c r="I40" s="217" t="str">
        <x:f>TINH_TOAN!H38</x:f>
      </x:c>
      <x:c r="J40" s="217" t="str">
        <x:f>TINH_TOAN!I38</x:f>
      </x:c>
      <x:c r="K40" s="39" t="str">
        <x:f>IF(TINH_TOAN!M38="Dự kiến","Dự kiến","")</x:f>
      </x:c>
    </x:row>
    <x:row r="41">
      <x:c r="A41" s="38" t="str">
        <x:f>TINH_TOAN!A39</x:f>
        <x:v>38 [18:30-19:00]</x:v>
      </x:c>
      <x:c r="B41" s="217" t="n">
        <x:f>TINH_TOAN!D39</x:f>
        <x:v>0</x:v>
      </x:c>
      <x:c r="C41" s="217" t="str">
        <x:f>TINH_TOAN!E39</x:f>
      </x:c>
      <x:c r="D41" s="217" t="n">
        <x:f>TINH_TOAN!F39</x:f>
        <x:v>0</x:v>
      </x:c>
      <x:c r="E41" s="217" t="n">
        <x:f>TINH_TOAN!J39</x:f>
        <x:v>0</x:v>
      </x:c>
      <x:c r="F41" s="217" t="str">
        <x:f>TINH_TOAN!K39</x:f>
      </x:c>
      <x:c r="G41" s="217" t="str">
        <x:f>TINH_TOAN!L39</x:f>
      </x:c>
      <x:c r="H41" s="217" t="n">
        <x:f>TINH_TOAN!G39</x:f>
        <x:v>0</x:v>
      </x:c>
      <x:c r="I41" s="217" t="str">
        <x:f>TINH_TOAN!H39</x:f>
      </x:c>
      <x:c r="J41" s="217" t="str">
        <x:f>TINH_TOAN!I39</x:f>
      </x:c>
      <x:c r="K41" s="39" t="str">
        <x:f>IF(TINH_TOAN!M39="Dự kiến","Dự kiến","")</x:f>
      </x:c>
    </x:row>
    <x:row r="42">
      <x:c r="A42" s="38" t="str">
        <x:f>TINH_TOAN!A40</x:f>
        <x:v>39 [19:00-19:30]</x:v>
      </x:c>
      <x:c r="B42" s="217" t="n">
        <x:f>TINH_TOAN!D40</x:f>
        <x:v>0</x:v>
      </x:c>
      <x:c r="C42" s="217" t="str">
        <x:f>TINH_TOAN!E40</x:f>
      </x:c>
      <x:c r="D42" s="217" t="n">
        <x:f>TINH_TOAN!F40</x:f>
        <x:v>0</x:v>
      </x:c>
      <x:c r="E42" s="217" t="n">
        <x:f>TINH_TOAN!J40</x:f>
        <x:v>0</x:v>
      </x:c>
      <x:c r="F42" s="217" t="str">
        <x:f>TINH_TOAN!K40</x:f>
      </x:c>
      <x:c r="G42" s="217" t="str">
        <x:f>TINH_TOAN!L40</x:f>
      </x:c>
      <x:c r="H42" s="217" t="n">
        <x:f>TINH_TOAN!G40</x:f>
        <x:v>0</x:v>
      </x:c>
      <x:c r="I42" s="217" t="str">
        <x:f>TINH_TOAN!H40</x:f>
      </x:c>
      <x:c r="J42" s="217" t="str">
        <x:f>TINH_TOAN!I40</x:f>
      </x:c>
      <x:c r="K42" s="39" t="str">
        <x:f>IF(TINH_TOAN!M40="Dự kiến","Dự kiến","")</x:f>
      </x:c>
    </x:row>
    <x:row r="43">
      <x:c r="A43" s="38" t="str">
        <x:f>TINH_TOAN!A41</x:f>
        <x:v>40 [19:30-20:00]</x:v>
      </x:c>
      <x:c r="B43" s="217" t="n">
        <x:f>TINH_TOAN!D41</x:f>
        <x:v>0</x:v>
      </x:c>
      <x:c r="C43" s="217" t="str">
        <x:f>TINH_TOAN!E41</x:f>
      </x:c>
      <x:c r="D43" s="217" t="n">
        <x:f>TINH_TOAN!F41</x:f>
        <x:v>0</x:v>
      </x:c>
      <x:c r="E43" s="217" t="n">
        <x:f>TINH_TOAN!J41</x:f>
        <x:v>0</x:v>
      </x:c>
      <x:c r="F43" s="217" t="str">
        <x:f>TINH_TOAN!K41</x:f>
      </x:c>
      <x:c r="G43" s="217" t="str">
        <x:f>TINH_TOAN!L41</x:f>
      </x:c>
      <x:c r="H43" s="217" t="n">
        <x:f>TINH_TOAN!G41</x:f>
        <x:v>0</x:v>
      </x:c>
      <x:c r="I43" s="217" t="str">
        <x:f>TINH_TOAN!H41</x:f>
      </x:c>
      <x:c r="J43" s="217" t="str">
        <x:f>TINH_TOAN!I41</x:f>
      </x:c>
      <x:c r="K43" s="39" t="str">
        <x:f>IF(TINH_TOAN!M41="Dự kiến","Dự kiến","")</x:f>
      </x:c>
    </x:row>
    <x:row r="44">
      <x:c r="A44" s="38" t="str">
        <x:f>TINH_TOAN!A42</x:f>
        <x:v>41 [20:00-20:30]</x:v>
      </x:c>
      <x:c r="B44" s="217" t="n">
        <x:f>TINH_TOAN!D42</x:f>
        <x:v>0</x:v>
      </x:c>
      <x:c r="C44" s="217" t="str">
        <x:f>TINH_TOAN!E42</x:f>
      </x:c>
      <x:c r="D44" s="217" t="n">
        <x:f>TINH_TOAN!F42</x:f>
        <x:v>0</x:v>
      </x:c>
      <x:c r="E44" s="217" t="n">
        <x:f>TINH_TOAN!J42</x:f>
        <x:v>0</x:v>
      </x:c>
      <x:c r="F44" s="217" t="str">
        <x:f>TINH_TOAN!K42</x:f>
      </x:c>
      <x:c r="G44" s="217" t="str">
        <x:f>TINH_TOAN!L42</x:f>
      </x:c>
      <x:c r="H44" s="217" t="n">
        <x:f>TINH_TOAN!G42</x:f>
        <x:v>0</x:v>
      </x:c>
      <x:c r="I44" s="217" t="str">
        <x:f>TINH_TOAN!H42</x:f>
      </x:c>
      <x:c r="J44" s="217" t="str">
        <x:f>TINH_TOAN!I42</x:f>
      </x:c>
      <x:c r="K44" s="39" t="str">
        <x:f>IF(TINH_TOAN!M42="Dự kiến","Dự kiến","")</x:f>
      </x:c>
    </x:row>
    <x:row r="45">
      <x:c r="A45" s="38" t="str">
        <x:f>TINH_TOAN!A43</x:f>
        <x:v>42 [20:30-21:00]</x:v>
      </x:c>
      <x:c r="B45" s="217" t="n">
        <x:f>TINH_TOAN!D43</x:f>
        <x:v>0</x:v>
      </x:c>
      <x:c r="C45" s="217" t="str">
        <x:f>TINH_TOAN!E43</x:f>
      </x:c>
      <x:c r="D45" s="217" t="n">
        <x:f>TINH_TOAN!F43</x:f>
        <x:v>0</x:v>
      </x:c>
      <x:c r="E45" s="217" t="n">
        <x:f>TINH_TOAN!J43</x:f>
        <x:v>0</x:v>
      </x:c>
      <x:c r="F45" s="217" t="str">
        <x:f>TINH_TOAN!K43</x:f>
      </x:c>
      <x:c r="G45" s="217" t="str">
        <x:f>TINH_TOAN!L43</x:f>
      </x:c>
      <x:c r="H45" s="217" t="n">
        <x:f>TINH_TOAN!G43</x:f>
        <x:v>0</x:v>
      </x:c>
      <x:c r="I45" s="217" t="str">
        <x:f>TINH_TOAN!H43</x:f>
      </x:c>
      <x:c r="J45" s="217" t="str">
        <x:f>TINH_TOAN!I43</x:f>
      </x:c>
      <x:c r="K45" s="39" t="str">
        <x:f>IF(TINH_TOAN!M43="Dự kiến","Dự kiến","")</x:f>
      </x:c>
    </x:row>
    <x:row r="46">
      <x:c r="A46" s="38" t="str">
        <x:f>TINH_TOAN!A44</x:f>
        <x:v>43 [21:00-21:30]</x:v>
      </x:c>
      <x:c r="B46" s="217" t="n">
        <x:f>TINH_TOAN!D44</x:f>
        <x:v>0</x:v>
      </x:c>
      <x:c r="C46" s="217" t="str">
        <x:f>TINH_TOAN!E44</x:f>
      </x:c>
      <x:c r="D46" s="217" t="n">
        <x:f>TINH_TOAN!F44</x:f>
        <x:v>0</x:v>
      </x:c>
      <x:c r="E46" s="217" t="n">
        <x:f>TINH_TOAN!J44</x:f>
        <x:v>0</x:v>
      </x:c>
      <x:c r="F46" s="217" t="str">
        <x:f>TINH_TOAN!K44</x:f>
      </x:c>
      <x:c r="G46" s="217" t="str">
        <x:f>TINH_TOAN!L44</x:f>
      </x:c>
      <x:c r="H46" s="217" t="n">
        <x:f>TINH_TOAN!G44</x:f>
        <x:v>0</x:v>
      </x:c>
      <x:c r="I46" s="217" t="str">
        <x:f>TINH_TOAN!H44</x:f>
      </x:c>
      <x:c r="J46" s="217" t="str">
        <x:f>TINH_TOAN!I44</x:f>
      </x:c>
      <x:c r="K46" s="39" t="str">
        <x:f>IF(TINH_TOAN!M44="Dự kiến","Dự kiến","")</x:f>
      </x:c>
    </x:row>
    <x:row r="47">
      <x:c r="A47" s="38" t="str">
        <x:f>TINH_TOAN!A45</x:f>
        <x:v>44 [21:30-22:00]</x:v>
      </x:c>
      <x:c r="B47" s="217" t="n">
        <x:f>TINH_TOAN!D45</x:f>
        <x:v>0</x:v>
      </x:c>
      <x:c r="C47" s="217" t="str">
        <x:f>TINH_TOAN!E45</x:f>
      </x:c>
      <x:c r="D47" s="217" t="n">
        <x:f>TINH_TOAN!F45</x:f>
        <x:v>0</x:v>
      </x:c>
      <x:c r="E47" s="217" t="n">
        <x:f>TINH_TOAN!J45</x:f>
        <x:v>0</x:v>
      </x:c>
      <x:c r="F47" s="217" t="str">
        <x:f>TINH_TOAN!K45</x:f>
      </x:c>
      <x:c r="G47" s="217" t="str">
        <x:f>TINH_TOAN!L45</x:f>
      </x:c>
      <x:c r="H47" s="217" t="n">
        <x:f>TINH_TOAN!G45</x:f>
        <x:v>0</x:v>
      </x:c>
      <x:c r="I47" s="217" t="str">
        <x:f>TINH_TOAN!H45</x:f>
      </x:c>
      <x:c r="J47" s="217" t="str">
        <x:f>TINH_TOAN!I45</x:f>
      </x:c>
      <x:c r="K47" s="39" t="str">
        <x:f>IF(TINH_TOAN!M45="Dự kiến","Dự kiến","")</x:f>
      </x:c>
    </x:row>
    <x:row r="48">
      <x:c r="A48" s="38" t="str">
        <x:f>TINH_TOAN!A46</x:f>
        <x:v>45 [22:00-22:30]</x:v>
      </x:c>
      <x:c r="B48" s="217" t="n">
        <x:f>TINH_TOAN!D46</x:f>
        <x:v>0</x:v>
      </x:c>
      <x:c r="C48" s="217" t="str">
        <x:f>TINH_TOAN!E46</x:f>
      </x:c>
      <x:c r="D48" s="217" t="n">
        <x:f>TINH_TOAN!F46</x:f>
        <x:v>0</x:v>
      </x:c>
      <x:c r="E48" s="217" t="n">
        <x:f>TINH_TOAN!J46</x:f>
        <x:v>0</x:v>
      </x:c>
      <x:c r="F48" s="217" t="str">
        <x:f>TINH_TOAN!K46</x:f>
      </x:c>
      <x:c r="G48" s="217" t="str">
        <x:f>TINH_TOAN!L46</x:f>
      </x:c>
      <x:c r="H48" s="217" t="n">
        <x:f>TINH_TOAN!G46</x:f>
        <x:v>0</x:v>
      </x:c>
      <x:c r="I48" s="217" t="str">
        <x:f>TINH_TOAN!H46</x:f>
      </x:c>
      <x:c r="J48" s="217" t="str">
        <x:f>TINH_TOAN!I46</x:f>
      </x:c>
      <x:c r="K48" s="39" t="str">
        <x:f>IF(TINH_TOAN!M46="Dự kiến","Dự kiến","")</x:f>
      </x:c>
    </x:row>
    <x:row r="49">
      <x:c r="A49" s="38" t="str">
        <x:f>TINH_TOAN!A47</x:f>
        <x:v>46 [22:30-23:00]</x:v>
      </x:c>
      <x:c r="B49" s="217" t="n">
        <x:f>TINH_TOAN!D47</x:f>
        <x:v>0</x:v>
      </x:c>
      <x:c r="C49" s="217" t="str">
        <x:f>TINH_TOAN!E47</x:f>
      </x:c>
      <x:c r="D49" s="217" t="n">
        <x:f>TINH_TOAN!F47</x:f>
        <x:v>0</x:v>
      </x:c>
      <x:c r="E49" s="217" t="n">
        <x:f>TINH_TOAN!J47</x:f>
        <x:v>0</x:v>
      </x:c>
      <x:c r="F49" s="217" t="str">
        <x:f>TINH_TOAN!K47</x:f>
      </x:c>
      <x:c r="G49" s="217" t="str">
        <x:f>TINH_TOAN!L47</x:f>
      </x:c>
      <x:c r="H49" s="217" t="n">
        <x:f>TINH_TOAN!G47</x:f>
        <x:v>0</x:v>
      </x:c>
      <x:c r="I49" s="217" t="str">
        <x:f>TINH_TOAN!H47</x:f>
      </x:c>
      <x:c r="J49" s="217" t="str">
        <x:f>TINH_TOAN!I47</x:f>
      </x:c>
      <x:c r="K49" s="39" t="str">
        <x:f>IF(TINH_TOAN!M47="Dự kiến","Dự kiến","")</x:f>
      </x:c>
    </x:row>
    <x:row r="50">
      <x:c r="A50" s="38" t="str">
        <x:f>TINH_TOAN!A48</x:f>
        <x:v>47 [23:00-23:30]</x:v>
      </x:c>
      <x:c r="B50" s="217" t="n">
        <x:f>TINH_TOAN!D48</x:f>
        <x:v>0</x:v>
      </x:c>
      <x:c r="C50" s="217" t="str">
        <x:f>TINH_TOAN!E48</x:f>
      </x:c>
      <x:c r="D50" s="217" t="n">
        <x:f>TINH_TOAN!F48</x:f>
        <x:v>0</x:v>
      </x:c>
      <x:c r="E50" s="217" t="n">
        <x:f>TINH_TOAN!J48</x:f>
        <x:v>0</x:v>
      </x:c>
      <x:c r="F50" s="217" t="str">
        <x:f>TINH_TOAN!K48</x:f>
      </x:c>
      <x:c r="G50" s="217" t="str">
        <x:f>TINH_TOAN!L48</x:f>
      </x:c>
      <x:c r="H50" s="217" t="n">
        <x:f>TINH_TOAN!G48</x:f>
        <x:v>0</x:v>
      </x:c>
      <x:c r="I50" s="217" t="str">
        <x:f>TINH_TOAN!H48</x:f>
      </x:c>
      <x:c r="J50" s="217" t="str">
        <x:f>TINH_TOAN!I48</x:f>
      </x:c>
      <x:c r="K50" s="39" t="str">
        <x:f>IF(TINH_TOAN!M48="Dự kiến","Dự kiến","")</x:f>
      </x:c>
    </x:row>
    <x:row r="51">
      <x:c r="A51" s="40" t="str">
        <x:f>TINH_TOAN!A49</x:f>
        <x:v>48 [23:30-00:00]</x:v>
      </x:c>
      <x:c r="B51" s="218" t="n">
        <x:f>TINH_TOAN!D49</x:f>
        <x:v>0</x:v>
      </x:c>
      <x:c r="C51" s="218" t="n">
        <x:f>TINH_TOAN!E49</x:f>
        <x:v>0</x:v>
      </x:c>
      <x:c r="D51" s="218" t="n">
        <x:f>TINH_TOAN!F49</x:f>
        <x:v>0</x:v>
      </x:c>
      <x:c r="E51" s="218" t="n">
        <x:f>TINH_TOAN!J49</x:f>
        <x:v>0</x:v>
      </x:c>
      <x:c r="F51" s="218" t="n">
        <x:f>TINH_TOAN!K49</x:f>
        <x:v>0</x:v>
      </x:c>
      <x:c r="G51" s="218" t="n">
        <x:f>TINH_TOAN!L49</x:f>
        <x:v>0</x:v>
      </x:c>
      <x:c r="H51" s="218" t="n">
        <x:f>TINH_TOAN!G49</x:f>
        <x:v>0</x:v>
      </x:c>
      <x:c r="I51" s="218" t="n">
        <x:f>TINH_TOAN!H49</x:f>
        <x:v>0</x:v>
      </x:c>
      <x:c r="J51" s="218" t="n">
        <x:f>TINH_TOAN!I49</x:f>
        <x:v>0</x:v>
      </x:c>
      <x:c r="K51" s="41" t="str">
        <x:f>IF(TINH_TOAN!M49="Dự kiến","Dự kiến","")</x:f>
      </x:c>
    </x:row>
    <x:row r="52">
      <x:c r="A52" s="229" t="str">
        <x:v>Tổng ngày</x:v>
      </x:c>
      <x:c r="B52" s="236"/>
      <x:c r="C52" s="236"/>
      <x:c r="D52" s="236" t="n">
        <x:f>SUM(D4:D51)</x:f>
        <x:v>0</x:v>
      </x:c>
      <x:c r="E52" s="236" t="n">
        <x:f>SUM(E4:E51)</x:f>
        <x:v>0</x:v>
      </x:c>
      <x:c r="F52" s="236" t="n">
        <x:f>SUM(F4:F51)</x:f>
        <x:v>0</x:v>
      </x:c>
      <x:c r="G52" s="236"/>
      <x:c r="H52" s="236"/>
      <x:c r="I52" s="236"/>
      <x:c r="J52" s="236"/>
      <x:c r="K52" s="231"/>
    </x:row>
  </x:sheetData>
  <x:mergeCells>
    <x:mergeCell ref="A1:K1"/>
    <x:mergeCell ref="A2:K2"/>
  </x:mergeCells>
  <x:conditionalFormatting sqref="G4:G51">
    <x:cfRule type="expression" dxfId="3" priority="1">
      <x:formula>G4="âm"</x:formula>
    </x:cfRule>
    <x:cfRule type="expression" dxfId="4" priority="2">
      <x:formula>G4="dương"</x:formula>
    </x:cfRule>
    <x:cfRule type="expression" dxfId="5" priority="3">
      <x:formula>G4="trong ±3%"</x:formula>
    </x:cfRule>
  </x:conditionalFormatting>
  <x:pageMargins left="0.7" right="0.7" top="0.75" bottom="0.75" header="0.3" footer="0.3"/>
  <x:drawing xmlns:r="http://schemas.openxmlformats.org/officeDocument/2006/relationships" r:id="R701fccfd2ab3451c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8" hidden="0" customWidth="1"/>
    <x:col min="3" max="3" width="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" hidden="0" customWidth="1"/>
  </x:cols>
  <x:sheetData>
    <x:row r="1" ht="30" customHeight="1">
      <x:c r="A1" s="571" t="str">
        <x:v>CÔNG CỤ TÍNH Qdd / QDƯ – BẢN CHÍNH THỨC</x:v>
      </x:c>
      <x:c r="B1" s="571"/>
      <x:c r="C1" s="571"/>
      <x:c r="D1" s="571"/>
      <x:c r="E1" s="571"/>
      <x:c r="F1" s="571"/>
      <x:c r="G1" s="571"/>
      <x:c r="H1" s="571"/>
    </x:row>
    <x:row r="2">
      <x:c r="A2" s="572" t="str">
        <x:v>Phiên bản</x:v>
      </x:c>
      <x:c r="B2" s="572" t="str">
        <x:v>1.3.0</x:v>
      </x:c>
      <x:c r="C2" s="572"/>
      <x:c r="D2" s="572" t="str">
        <x:v>Chế độ</x:v>
      </x:c>
      <x:c r="E2" s="572" t="str">
        <x:v>CHÍNH THỨC</x:v>
      </x:c>
      <x:c r="F2" s="572" t="str">
        <x:v>Ngày phát hành</x:v>
      </x:c>
      <x:c r="G2" s="572" t="str">
        <x:v>23/07/2026</x:v>
      </x:c>
      <x:c r="H2" s="329"/>
    </x:row>
    <x:row r="3">
      <x:c r="A3" s="573" t="str">
        <x:v>Thông số hiện tại</x:v>
      </x:c>
      <x:c r="B3" s="573" t="str">
        <x:v>Giá trị</x:v>
      </x:c>
      <x:c r="C3" s="329"/>
      <x:c r="D3" s="575" t="str">
        <x:v>KHU VỰC NÚT LỆNH – chạy Qdu_TaoNut sau khi nhập module VBA</x:v>
      </x:c>
      <x:c r="E3" s="575"/>
      <x:c r="F3" s="575"/>
      <x:c r="G3" s="575"/>
      <x:c r="H3" s="358"/>
    </x:row>
    <x:row r="4">
      <x:c r="A4" s="342" t="str">
        <x:v>Ngày tính</x:v>
      </x:c>
      <x:c r="B4" s="343" t="str">
        <x:f>IF(CAI_DAT!B4="","",CAI_DAT!B4)</x:f>
      </x:c>
      <x:c r="C4" s="329"/>
      <x:c r="D4" s="576" t="str">
        <x:v>1. Nhập danh sách lệnh</x:v>
      </x:c>
      <x:c r="E4" s="576"/>
      <x:c r="F4" s="576" t="str">
        <x:v>2. Nhập CSV 6001</x:v>
      </x:c>
      <x:c r="G4" s="576"/>
      <x:c r="H4" s="329"/>
    </x:row>
    <x:row r="5">
      <x:c r="A5" s="342" t="str">
        <x:v>Tổ máy</x:v>
      </x:c>
      <x:c r="B5" s="342" t="str">
        <x:f>IF(CAI_DAT!B5="","",CAI_DAT!B5)</x:f>
        <x:v>S1</x:v>
      </x:c>
      <x:c r="C5" s="329"/>
      <x:c r="D5" s="576"/>
      <x:c r="E5" s="576"/>
      <x:c r="F5" s="576"/>
      <x:c r="G5" s="576"/>
      <x:c r="H5" s="329"/>
    </x:row>
    <x:row r="6">
      <x:c r="A6" s="342" t="str">
        <x:v>Công suất đầu ngày (MW)</x:v>
      </x:c>
      <x:c r="B6" s="344" t="str">
        <x:f>IF(CAI_DAT!B6="","",CAI_DAT!B6)</x:f>
      </x:c>
      <x:c r="C6" s="329"/>
      <x:c r="D6" s="576" t="str">
        <x:v>3. Nhập CSV 6303</x:v>
      </x:c>
      <x:c r="E6" s="576"/>
      <x:c r="F6" s="576" t="str">
        <x:v>4. Nhập Qdd gốc</x:v>
      </x:c>
      <x:c r="G6" s="576"/>
      <x:c r="H6" s="329"/>
    </x:row>
    <x:row r="7">
      <x:c r="A7" s="342" t="str">
        <x:v>Số lệnh hợp lệ</x:v>
      </x:c>
      <x:c r="B7" s="345" t="n">
        <x:f>IFERROR(CAI_DAT!B10,0)</x:f>
        <x:v>0</x:v>
      </x:c>
      <x:c r="C7" s="329"/>
      <x:c r="D7" s="576"/>
      <x:c r="E7" s="576"/>
      <x:c r="F7" s="576"/>
      <x:c r="G7" s="576"/>
      <x:c r="H7" s="329"/>
    </x:row>
    <x:row r="8">
      <x:c r="A8" s="342" t="str">
        <x:v>Nguồn P đầu ngày</x:v>
      </x:c>
      <x:c r="B8" s="342" t="str">
        <x:f>IF(CAI_DAT!B13="","",CAI_DAT!B13)</x:f>
        <x:v>Chưa xác định</x:v>
      </x:c>
      <x:c r="C8" s="329"/>
      <x:c r="D8" s="576" t="str">
        <x:v>5. Cập nhật cài đặt</x:v>
      </x:c>
      <x:c r="E8" s="576"/>
      <x:c r="F8" s="576" t="str">
        <x:v>6. Tính và kiểm tra</x:v>
      </x:c>
      <x:c r="G8" s="576"/>
      <x:c r="H8" s="329"/>
    </x:row>
    <x:row r="9">
      <x:c r="A9" s="574" t="str">
        <x:v>Kết quả kiểm tra</x:v>
      </x:c>
      <x:c r="B9" s="574" t="str">
        <x:v>Giá trị</x:v>
      </x:c>
      <x:c r="C9" s="329"/>
      <x:c r="D9" s="576"/>
      <x:c r="E9" s="576"/>
      <x:c r="F9" s="576"/>
      <x:c r="G9" s="576"/>
      <x:c r="H9" s="329"/>
    </x:row>
    <x:row r="10">
      <x:c r="A10" s="342" t="str">
        <x:v>Trạng thái</x:v>
      </x:c>
      <x:c r="B10" s="342" t="str">
        <x:v>Chưa chạy</x:v>
      </x:c>
      <x:c r="C10" s="329"/>
      <x:c r="D10" s="577" t="str">
        <x:v>7. CHẠY CHÍNH THỨC</x:v>
      </x:c>
      <x:c r="E10" s="577"/>
      <x:c r="F10" s="576" t="str">
        <x:v>8. Xóa dữ liệu đầu vào</x:v>
      </x:c>
      <x:c r="G10" s="576"/>
      <x:c r="H10" s="329"/>
    </x:row>
    <x:row r="11">
      <x:c r="A11" s="342" t="str">
        <x:v>Số ô lỗi Excel</x:v>
      </x:c>
      <x:c r="B11" s="342"/>
      <x:c r="C11" s="329"/>
      <x:c r="D11" s="577"/>
      <x:c r="E11" s="577"/>
      <x:c r="F11" s="576"/>
      <x:c r="G11" s="576"/>
      <x:c r="H11" s="329"/>
    </x:row>
    <x:row r="12">
      <x:c r="A12" s="342" t="str">
        <x:v>Số chu kỳ Qdd thay đổi</x:v>
      </x:c>
      <x:c r="B12" s="342"/>
      <x:c r="C12" s="329"/>
      <x:c r="D12" s="576" t="str">
        <x:v>9. Tự tính P đầu ngày</x:v>
      </x:c>
      <x:c r="E12" s="576"/>
      <x:c r="F12" s="576" t="str">
        <x:v>10. Mở lịch sử P</x:v>
      </x:c>
      <x:c r="G12" s="576"/>
      <x:c r="H12" s="329"/>
    </x:row>
    <x:row r="13">
      <x:c r="A13" s="342" t="str">
        <x:v>Sai lệch Qdd lớn nhất</x:v>
      </x:c>
      <x:c r="B13" s="347"/>
      <x:c r="C13" s="329"/>
      <x:c r="D13" s="576"/>
      <x:c r="E13" s="576"/>
      <x:c r="F13" s="576"/>
      <x:c r="G13" s="576"/>
      <x:c r="H13" s="329"/>
    </x:row>
    <x:row r="14">
      <x:c r="A14" s="342" t="str">
        <x:v>Tổng Qdư trong ngày (MWh)</x:v>
      </x:c>
      <x:c r="B14" s="347"/>
      <x:c r="C14" s="329"/>
      <x:c r="D14" s="576" t="str">
        <x:v>11. Sao lưu dự phòng</x:v>
      </x:c>
      <x:c r="E14" s="576"/>
      <x:c r="F14" s="576" t="str">
        <x:v>12. Xuất báo cáo ngày</x:v>
      </x:c>
      <x:c r="G14" s="576"/>
      <x:c r="H14" s="329"/>
    </x:row>
    <x:row r="15">
      <x:c r="A15" s="342" t="str">
        <x:v>Chu kỳ Qdc / Qmp / Qdư</x:v>
      </x:c>
      <x:c r="B15" s="342" t="str">
        <x:v>Chưa kiểm tra</x:v>
      </x:c>
      <x:c r="C15" s="329"/>
      <x:c r="D15" s="576"/>
      <x:c r="E15" s="576"/>
      <x:c r="F15" s="576"/>
      <x:c r="G15" s="576"/>
      <x:c r="H15" s="329"/>
    </x:row>
    <x:row r="16">
      <x:c r="A16" s="573" t="str">
        <x:v>Nguồn dữ liệu</x:v>
      </x:c>
      <x:c r="B16" s="573" t="str">
        <x:v>Đường dẫn tệp gần nhất</x:v>
      </x:c>
      <x:c r="C16" s="329"/>
      <x:c r="D16" s="576" t="str">
        <x:v>13. Kiểm tra hệ thống</x:v>
      </x:c>
      <x:c r="E16" s="576"/>
      <x:c r="F16" s="576" t="str">
        <x:v>14. Kiểm tra đọc CSV</x:v>
      </x:c>
      <x:c r="G16" s="576"/>
      <x:c r="H16" s="329"/>
    </x:row>
    <x:row r="17">
      <x:c r="A17" s="342" t="str">
        <x:v>Danh sách lệnh</x:v>
      </x:c>
      <x:c r="B17" s="348" t="str"/>
      <x:c r="C17" s="329"/>
      <x:c r="D17" s="576"/>
      <x:c r="E17" s="576"/>
      <x:c r="F17" s="576"/>
      <x:c r="G17" s="576"/>
      <x:c r="H17" s="329"/>
    </x:row>
    <x:row r="18">
      <x:c r="A18" s="342" t="str">
        <x:v>CSV 6001</x:v>
      </x:c>
      <x:c r="B18" s="348" t="str"/>
      <x:c r="C18" s="329"/>
      <x:c r="D18" s="329"/>
      <x:c r="E18" s="329"/>
      <x:c r="F18" s="329"/>
      <x:c r="G18" s="329"/>
      <x:c r="H18" s="329"/>
    </x:row>
    <x:row r="19">
      <x:c r="A19" s="342" t="str">
        <x:v>CSV 6303</x:v>
      </x:c>
      <x:c r="B19" s="348" t="str"/>
      <x:c r="C19" s="329"/>
      <x:c r="D19" s="329"/>
      <x:c r="E19" s="329"/>
      <x:c r="F19" s="329"/>
      <x:c r="G19" s="329"/>
      <x:c r="H19" s="329"/>
    </x:row>
    <x:row r="20">
      <x:c r="A20" s="342" t="str">
        <x:v>Qdd file gốc</x:v>
      </x:c>
      <x:c r="B20" s="348" t="str"/>
      <x:c r="C20" s="329"/>
      <x:c r="D20" s="329"/>
      <x:c r="E20" s="329"/>
      <x:c r="F20" s="329"/>
      <x:c r="G20" s="329"/>
      <x:c r="H20" s="329"/>
    </x:row>
    <x:row r="21">
      <x:c r="A21" s="329" t="str">
        <x:v>Lần chạy gần nhất</x:v>
      </x:c>
      <x:c r="B21" s="485"/>
      <x:c r="C21" s="329"/>
      <x:c r="D21" s="329"/>
      <x:c r="E21" s="329"/>
      <x:c r="F21" s="329"/>
      <x:c r="G21" s="329"/>
      <x:c r="H21" s="329"/>
    </x:row>
    <x:row r="22">
      <x:c r="A22" s="361"/>
      <x:c r="B22" s="361"/>
      <x:c r="C22" s="361"/>
      <x:c r="D22" s="361"/>
      <x:c r="E22" s="361"/>
      <x:c r="F22" s="361"/>
      <x:c r="G22" s="361"/>
      <x:c r="H22" s="361"/>
    </x:row>
    <x:row r="23">
      <x:c r="A23" s="578" t="str">
        <x:v>QUY TRÌNH CÀI ĐẶT VÀ VẬN HÀNH</x:v>
      </x:c>
      <x:c r="B23" s="579"/>
      <x:c r="C23" s="580"/>
      <x:c r="D23" s="580"/>
      <x:c r="E23" s="580"/>
      <x:c r="F23" s="580"/>
      <x:c r="G23" s="580"/>
      <x:c r="H23" s="580"/>
    </x:row>
    <x:row r="24">
      <x:c r="A24" s="349" t="str">
        <x:v>1</x:v>
      </x:c>
      <x:c r="B24" s="348" t="str">
        <x:v>Save As file này thành Excel Macro-Enabled Workbook (*.xlsm).</x:v>
      </x:c>
      <x:c r="C24" s="329"/>
      <x:c r="D24" s="329"/>
      <x:c r="E24" s="329"/>
      <x:c r="F24" s="329"/>
      <x:c r="G24" s="329"/>
      <x:c r="H24" s="329"/>
    </x:row>
    <x:row r="25">
      <x:c r="A25" s="349" t="str">
        <x:v>2</x:v>
      </x:c>
      <x:c r="B25" s="348" t="str">
        <x:v>Mở Visual Basic Editor, xóa module Qdu cũ và import modQdu_ChinhThuc_v1_0.bas.</x:v>
      </x:c>
      <x:c r="C25" s="329"/>
      <x:c r="D25" s="329"/>
      <x:c r="E25" s="329"/>
      <x:c r="F25" s="329"/>
      <x:c r="G25" s="329"/>
      <x:c r="H25" s="329"/>
    </x:row>
    <x:row r="26">
      <x:c r="A26" s="349" t="str">
        <x:v>3</x:v>
      </x:c>
      <x:c r="B26" s="348" t="str">
        <x:v>Chạy Qdu_TaoNut một lần; sau đó bấm 13. Kiểm tra hệ thống.</x:v>
      </x:c>
      <x:c r="C26" s="329"/>
      <x:c r="D26" s="329"/>
      <x:c r="E26" s="329"/>
      <x:c r="F26" s="329"/>
      <x:c r="G26" s="329"/>
      <x:c r="H26" s="329"/>
    </x:row>
    <x:row r="27">
      <x:c r="A27" s="349" t="str">
        <x:v>4</x:v>
      </x:c>
      <x:c r="B27" s="348" t="str">
        <x:v>Cập nhật ngày, tổ máy S1/S2 và P đầu ngày; ngày kế tiếp có thể lấy tự động từ lịch sử.</x:v>
      </x:c>
      <x:c r="C27" s="329"/>
      <x:c r="D27" s="329"/>
      <x:c r="E27" s="329"/>
      <x:c r="F27" s="329"/>
      <x:c r="G27" s="329"/>
      <x:c r="H27" s="329"/>
    </x:row>
    <x:row r="28">
      <x:c r="A28" s="341" t="str">
        <x:v>5</x:v>
      </x:c>
      <x:c r="B28" s="339" t="str">
        <x:v>Nhập danh sách lệnh, CSV 6001 và CSV 6303. CSV phải cùng ngày cài đặt.</x:v>
      </x:c>
      <x:c r="C28" s="329"/>
      <x:c r="D28" s="329"/>
      <x:c r="E28" s="329"/>
      <x:c r="F28" s="329"/>
      <x:c r="G28" s="329"/>
      <x:c r="H28" s="329"/>
    </x:row>
    <x:row r="29">
      <x:c r="A29" s="358" t="str">
        <x:v>6</x:v>
      </x:c>
      <x:c r="B29" s="358" t="str">
        <x:v>Bấm Tính và kiểm tra; chỉ sử dụng kết quả khi trạng thái không còn LỖI.</x:v>
      </x:c>
      <x:c r="C29" s="358"/>
      <x:c r="D29" s="358"/>
      <x:c r="E29" s="358"/>
      <x:c r="F29" s="358"/>
      <x:c r="G29" s="358"/>
      <x:c r="H29" s="358"/>
    </x:row>
    <x:row r="30">
      <x:c r="A30" s="341" t="str">
        <x:v>7</x:v>
      </x:c>
      <x:c r="B30" s="339" t="str">
        <x:v>Bấm Xuất báo cáo ngày để tạo file kết quả không chứa macro.</x:v>
      </x:c>
      <x:c r="C30" s="329"/>
      <x:c r="D30" s="329"/>
      <x:c r="E30" s="329"/>
      <x:c r="F30" s="329"/>
      <x:c r="G30" s="329"/>
      <x:c r="H30" s="329"/>
    </x:row>
    <x:row r="31">
      <x:c r="A31" s="341" t="str">
        <x:v>8</x:v>
      </x:c>
      <x:c r="B31" s="339" t="str">
        <x:v>Không sửa công thức tại các sheet trung gian; luôn sao lưu trước khi thay đổi phiên bản.</x:v>
      </x:c>
      <x:c r="C31" s="329"/>
      <x:c r="D31" s="329"/>
      <x:c r="E31" s="329"/>
      <x:c r="F31" s="329"/>
      <x:c r="G31" s="329"/>
      <x:c r="H31" s="329"/>
    </x:row>
    <x:row r="32">
      <x:c r="A32" s="329" t="str">
        <x:v>Nâng cấp v1.1</x:v>
      </x:c>
      <x:c r="B32" s="329" t="str">
        <x:v>Mở rộng từ 30 lên 60 lệnh hiệu lực/ngày.</x:v>
      </x:c>
      <x:c r="C32" s="329"/>
      <x:c r="D32" s="329"/>
      <x:c r="E32" s="329"/>
      <x:c r="F32" s="329"/>
      <x:c r="G32" s="329"/>
      <x:c r="H32" s="329"/>
    </x:row>
    <x:row r="33">
      <x:c r="A33" s="329" t="str">
        <x:v>Số đoạn công suất tối đa</x:v>
      </x:c>
      <x:c r="B33" s="329" t="n">
        <x:v>121</x:v>
      </x:c>
      <x:c r="C33" s="329"/>
      <x:c r="D33" s="329"/>
      <x:c r="E33" s="329"/>
      <x:c r="F33" s="329"/>
      <x:c r="G33" s="329"/>
      <x:c r="H33" s="329"/>
    </x:row>
    <x:row r="34">
      <x:c r="A34" s="329" t="str">
        <x:v>Cột Qdd trong DIEN_TICH</x:v>
      </x:c>
      <x:c r="B34" s="329" t="str">
        <x:v>DV</x:v>
      </x:c>
      <x:c r="C34" s="329"/>
      <x:c r="D34" s="329"/>
      <x:c r="E34" s="329"/>
      <x:c r="F34" s="329"/>
      <x:c r="G34" s="329"/>
      <x:c r="H34" s="329"/>
    </x:row>
    <x:row r="35">
      <x:c r="A35" s="329"/>
      <x:c r="B35" s="329"/>
      <x:c r="C35" s="329"/>
      <x:c r="D35" s="329"/>
      <x:c r="E35" s="329"/>
      <x:c r="F35" s="329"/>
      <x:c r="G35" s="329"/>
      <x:c r="H35" s="329"/>
    </x:row>
    <x:row r="38">
      <x:c r="A38" s="326" t="str">
        <x:v>Chạy chính thức v1.2.6</x:v>
      </x:c>
      <x:c r="B38" s="118" t="str">
        <x:v>Không tự backup và không hỏi nhập Qdd gốc.</x:v>
      </x:c>
    </x:row>
    <x:row r="39">
      <x:c r="A39" s="326" t="str">
        <x:v>Qdd gốc</x:v>
      </x:c>
      <x:c r="B39" s="118" t="str">
        <x:v>Tùy chọn; chỉ đối chiếu khi có đủ 48 giá trị.</x:v>
      </x:c>
    </x:row>
    <x:row r="40">
      <x:c r="A40" s="326" t="str">
        <x:v>Backup</x:v>
      </x:c>
      <x:c r="B40" s="118" t="str">
        <x:v>Chỉ thực hiện thủ công bằng nút 11.</x:v>
      </x:c>
    </x:row>
    <x:row r="41">
      <x:c r="A41" s="326" t="str">
        <x:v>Kiến trúc v1.3.0</x:v>
      </x:c>
      <x:c r="B41" s="118" t="str">
        <x:v>Một module duy nhất; không dùng Application.Run.</x:v>
      </x:c>
    </x:row>
    <x:row r="42">
      <x:c r="A42" s="326" t="str">
        <x:v>Module cần import</x:v>
      </x:c>
      <x:c r="B42" s="118" t="str">
        <x:v>modQdu_v1_3_0_AllInOne.bas</x:v>
      </x:c>
    </x:row>
    <x:row r="43">
      <x:c r="A43" s="326" t="str">
        <x:v>Lịch sử tháng</x:v>
      </x:c>
      <x:c r="B43" s="118" t="str">
        <x:v>Giữ nguyên LICH_SU_THANG và các sheet LS_...</x:v>
      </x:c>
    </x:row>
  </x:sheetData>
  <x:mergeCells>
    <x:mergeCell ref="A1:H1"/>
    <x:mergeCell ref="D3:G3"/>
    <x:mergeCell ref="D4:E5"/>
    <x:mergeCell ref="F4:G5"/>
    <x:mergeCell ref="D6:E7"/>
    <x:mergeCell ref="F6:G7"/>
    <x:mergeCell ref="D8:E9"/>
    <x:mergeCell ref="F8:G9"/>
    <x:mergeCell ref="D10:E11"/>
    <x:mergeCell ref="F10:G11"/>
    <x:mergeCell ref="D12:E13"/>
    <x:mergeCell ref="F12:G13"/>
    <x:mergeCell ref="D14:E15"/>
    <x:mergeCell ref="F14:G15"/>
    <x:mergeCell ref="D16:E17"/>
    <x:mergeCell ref="F16:G17"/>
    <x:mergeCell ref="A23:H2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20" hidden="0" customWidth="1"/>
    <x:col min="5" max="5" width="38" hidden="0" customWidth="1"/>
    <x:col min="6" max="6" width="16" hidden="0" customWidth="1"/>
    <x:col min="7" max="7" width="22" hidden="0" customWidth="1"/>
    <x:col min="8" max="8" width="25" hidden="0" customWidth="1"/>
    <x:col min="9" max="9" width="16" hidden="0" customWidth="1"/>
    <x:col min="10" max="10" width="20" hidden="0" customWidth="1"/>
    <x:col min="11" max="11" width="16" hidden="0" customWidth="1"/>
    <x:col min="12" max="12" width="22" hidden="0" customWidth="1"/>
    <x:col min="13" max="13" width="55" hidden="0" customWidth="1"/>
  </x:cols>
  <x:sheetData>
    <x:row r="1">
      <x:c r="A1" s="391" t="str">
        <x:v>Ngày</x:v>
      </x:c>
      <x:c r="B1" s="390" t="str">
        <x:v>Tổ máy</x:v>
      </x:c>
      <x:c r="C1" s="392" t="str">
        <x:v>P đầu ngày (MW)</x:v>
      </x:c>
      <x:c r="D1" s="392" t="str">
        <x:v>P cuối ngày tại 24:00 (MW)</x:v>
      </x:c>
      <x:c r="E1" s="390" t="str">
        <x:v>Nguồn P đầu ngày</x:v>
      </x:c>
      <x:c r="F1" s="390" t="str">
        <x:v>Số lệnh hợp lệ</x:v>
      </x:c>
      <x:c r="G1" s="393" t="str">
        <x:v>Thời điểm cập nhật</x:v>
      </x:c>
      <x:c r="H1" s="390" t="str">
        <x:v>Trạng thái</x:v>
      </x:c>
      <x:c r="I1" s="390" t="str">
        <x:v>Ramp qua 00:00</x:v>
      </x:c>
      <x:c r="J1" s="392" t="str">
        <x:v>Mục tiêu ramp tiếp (MW)</x:v>
      </x:c>
      <x:c r="K1" s="390" t="str">
        <x:v>Nguồn lệnh tiếp</x:v>
      </x:c>
      <x:c r="L1" s="392" t="str">
        <x:v>Thời gian còn lại (giây)</x:v>
      </x:c>
      <x:c r="M1" s="390" t="str">
        <x:v>Chi tiết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 ht="28" customHeight="1">
      <x:c r="A1" s="544" t="str">
        <x:v>THÔNG TIN HỆ THỐNG</x:v>
      </x:c>
      <x:c r="B1" s="544"/>
      <x:c r="C1" s="544"/>
      <x:c r="D1" s="544"/>
      <x:c r="E1" s="544"/>
      <x:c r="F1" s="544"/>
    </x:row>
    <x:row r="2">
      <x:c r="A2" s="329"/>
      <x:c r="B2" s="329"/>
      <x:c r="C2" s="329"/>
      <x:c r="D2" s="329"/>
      <x:c r="E2" s="329"/>
      <x:c r="F2" s="329"/>
    </x:row>
    <x:row r="3">
      <x:c r="A3" s="483" t="str">
        <x:v>Nội dung</x:v>
      </x:c>
      <x:c r="B3" s="483" t="str">
        <x:v>Giá trị</x:v>
      </x:c>
      <x:c r="C3" s="329"/>
      <x:c r="D3" s="329"/>
      <x:c r="E3" s="329"/>
      <x:c r="F3" s="329"/>
    </x:row>
    <x:row r="4">
      <x:c r="A4" s="545" t="str">
        <x:v>Tên công cụ</x:v>
      </x:c>
      <x:c r="B4" s="342" t="str">
        <x:v>Công cụ tính Qdd / Qdư</x:v>
      </x:c>
      <x:c r="C4" s="329"/>
      <x:c r="D4" s="329"/>
      <x:c r="E4" s="329"/>
      <x:c r="F4" s="329"/>
    </x:row>
    <x:row r="5">
      <x:c r="A5" s="545" t="str">
        <x:v>Phiên bản</x:v>
      </x:c>
      <x:c r="B5" s="342" t="str">
        <x:v>1.3.0</x:v>
      </x:c>
      <x:c r="C5" s="329"/>
      <x:c r="D5" s="329"/>
      <x:c r="E5" s="329"/>
      <x:c r="F5" s="329"/>
    </x:row>
    <x:row r="6">
      <x:c r="A6" s="545" t="str">
        <x:v>Ngày phát hành</x:v>
      </x:c>
      <x:c r="B6" s="342" t="str">
        <x:v>23/07/2026</x:v>
      </x:c>
      <x:c r="C6" s="329"/>
      <x:c r="D6" s="329"/>
      <x:c r="E6" s="329"/>
      <x:c r="F6" s="329"/>
    </x:row>
    <x:row r="7">
      <x:c r="A7" s="545" t="str">
        <x:v>Trạng thái</x:v>
      </x:c>
      <x:c r="B7" s="342" t="str">
        <x:v>CHÍNH THỨC</x:v>
      </x:c>
      <x:c r="C7" s="329"/>
      <x:c r="D7" s="329"/>
      <x:c r="E7" s="329"/>
      <x:c r="F7" s="329"/>
    </x:row>
    <x:row r="8">
      <x:c r="A8" s="545" t="str">
        <x:v>Nền tảng</x:v>
      </x:c>
      <x:c r="B8" s="342" t="str">
        <x:v>Microsoft Excel Desktop – Windows và macOS</x:v>
      </x:c>
      <x:c r="C8" s="329"/>
      <x:c r="D8" s="329"/>
      <x:c r="E8" s="329"/>
      <x:c r="F8" s="329"/>
    </x:row>
    <x:row r="9">
      <x:c r="A9" s="545" t="str">
        <x:v>Kiến trúc</x:v>
      </x:c>
      <x:c r="B9" s="342" t="str">
        <x:v>Công thức Excel kiểm toán được + VBA điều phối nhập liệu/kiểm tra</x:v>
      </x:c>
      <x:c r="C9" s="329"/>
      <x:c r="D9" s="329"/>
      <x:c r="E9" s="329"/>
      <x:c r="F9" s="329"/>
    </x:row>
    <x:row r="10">
      <x:c r="A10" s="545" t="str">
        <x:v>Phạm vi tổ máy</x:v>
      </x:c>
      <x:c r="B10" s="342" t="str">
        <x:v>S1 và S2 nếu cùng cấu trúc dữ liệu và quy tắc nghiệp vụ</x:v>
      </x:c>
      <x:c r="C10" s="329"/>
      <x:c r="D10" s="329"/>
      <x:c r="E10" s="329"/>
      <x:c r="F10" s="329"/>
    </x:row>
    <x:row r="11">
      <x:c r="A11" s="545" t="str">
        <x:v>Số chu kỳ/ngày</x:v>
      </x:c>
      <x:c r="B11" s="342" t="n">
        <x:v>48</x:v>
      </x:c>
      <x:c r="C11" s="329"/>
      <x:c r="D11" s="329"/>
      <x:c r="E11" s="329"/>
      <x:c r="F11" s="329"/>
    </x:row>
    <x:row r="12">
      <x:c r="A12" s="545" t="str">
        <x:v>Tốc độ ramp mặc định</x:v>
      </x:c>
      <x:c r="B12" s="342" t="str">
        <x:v>3,5 MW/phút</x:v>
      </x:c>
      <x:c r="C12" s="329"/>
      <x:c r="D12" s="329"/>
      <x:c r="E12" s="329"/>
      <x:c r="F12" s="329"/>
    </x:row>
    <x:row r="13">
      <x:c r="A13" s="545" t="str">
        <x:v>Nguồn Qdc</x:v>
      </x:c>
      <x:c r="B13" s="342" t="str">
        <x:v>CSV công tơ 6001 – dòng KwhGiao</x:v>
      </x:c>
      <x:c r="C13" s="329"/>
      <x:c r="D13" s="329"/>
      <x:c r="E13" s="329"/>
      <x:c r="F13" s="329"/>
    </x:row>
    <x:row r="14">
      <x:c r="A14" s="545" t="str">
        <x:v>Nguồn Qmp</x:v>
      </x:c>
      <x:c r="B14" s="342" t="str">
        <x:v>CSV công tơ 6303 – dòng KwhGiao</x:v>
      </x:c>
      <x:c r="C14" s="329"/>
      <x:c r="D14" s="329"/>
      <x:c r="E14" s="329"/>
      <x:c r="F14" s="329"/>
    </x:row>
    <x:row r="15">
      <x:c r="A15" s="329" t="str">
        <x:v>Số lệnh tối đa/ngày</x:v>
      </x:c>
      <x:c r="B15" s="329" t="n">
        <x:v>60</x:v>
      </x:c>
      <x:c r="C15" s="329"/>
      <x:c r="D15" s="329"/>
      <x:c r="E15" s="329"/>
      <x:c r="F15" s="329"/>
    </x:row>
    <x:row r="16">
      <x:c r="A16" s="329" t="str">
        <x:v>Số đoạn tối đa</x:v>
      </x:c>
      <x:c r="B16" s="329" t="n">
        <x:v>121</x:v>
      </x:c>
      <x:c r="C16" s="329"/>
      <x:c r="D16" s="329"/>
      <x:c r="E16" s="329"/>
      <x:c r="F16" s="329"/>
    </x:row>
    <x:row r="17">
      <x:c r="A17" s="329"/>
      <x:c r="B17" s="329"/>
      <x:c r="C17" s="329"/>
      <x:c r="D17" s="329"/>
      <x:c r="E17" s="329"/>
      <x:c r="F17" s="329"/>
    </x:row>
    <x:row r="18">
      <x:c r="A18" s="329"/>
      <x:c r="B18" s="329"/>
      <x:c r="C18" s="329"/>
      <x:c r="D18" s="329"/>
      <x:c r="E18" s="329"/>
      <x:c r="F18" s="329"/>
    </x:row>
    <x:row r="19">
      <x:c r="A19" s="329"/>
      <x:c r="B19" s="329"/>
      <x:c r="C19" s="329"/>
      <x:c r="D19" s="329"/>
      <x:c r="E19" s="329"/>
      <x:c r="F19" s="329"/>
    </x:row>
    <x:row r="20">
      <x:c r="A20" s="329"/>
      <x:c r="B20" s="329"/>
      <x:c r="C20" s="329"/>
      <x:c r="D20" s="329"/>
      <x:c r="E20" s="329"/>
      <x:c r="F20" s="329"/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32" hidden="0" customWidth="1"/>
    <x:col min="5" max="5" width="28" hidden="0" customWidth="1"/>
    <x:col min="6" max="6" width="26" hidden="0" customWidth="1"/>
  </x:cols>
  <x:sheetData>
    <x:row r="1">
      <x:c r="A1" s="544" t="str">
        <x:v>DANH MỤC QUY TẮC NGHIỆP VỤ</x:v>
      </x:c>
      <x:c r="B1" s="544"/>
      <x:c r="C1" s="544"/>
      <x:c r="D1" s="544"/>
      <x:c r="E1" s="544"/>
      <x:c r="F1" s="544"/>
    </x:row>
    <x:row r="2">
      <x:c r="A2" s="329"/>
      <x:c r="B2" s="329"/>
      <x:c r="C2" s="329"/>
      <x:c r="D2" s="329"/>
      <x:c r="E2" s="329"/>
      <x:c r="F2" s="329"/>
    </x:row>
    <x:row r="3">
      <x:c r="A3" s="483" t="str">
        <x:v>Mã</x:v>
      </x:c>
      <x:c r="B3" s="483" t="str">
        <x:v>Nhóm</x:v>
      </x:c>
      <x:c r="C3" s="483" t="str">
        <x:v>Quy tắc</x:v>
      </x:c>
      <x:c r="D3" s="483" t="str">
        <x:v>Đầu vào</x:v>
      </x:c>
      <x:c r="E3" s="483" t="str">
        <x:v>Kết quả</x:v>
      </x:c>
      <x:c r="F3" s="483" t="str">
        <x:v>Ghi chú</x:v>
      </x:c>
    </x:row>
    <x:row r="4">
      <x:c r="A4" s="348" t="str">
        <x:v>R01</x:v>
      </x:c>
      <x:c r="B4" s="348" t="str">
        <x:v>Lệnh SO</x:v>
      </x:c>
      <x:c r="C4" s="348" t="str">
        <x:v>Chỉ nhận lệnh hoàn thành và CS hoàn thành dương.</x:v>
      </x:c>
      <x:c r="D4" s="348" t="str">
        <x:v>P=1, F&gt;0, Y=SO</x:v>
      </x:c>
      <x:c r="E4" s="348" t="str">
        <x:v>P hiệu lực=F</x:v>
      </x:c>
      <x:c r="F4" s="348" t="str"/>
    </x:row>
    <x:row r="5">
      <x:c r="A5" s="348" t="str">
        <x:v>R02</x:v>
      </x:c>
      <x:c r="B5" s="348" t="str">
        <x:v>Lệnh MO</x:v>
      </x:c>
      <x:c r="C5" s="348" t="str">
        <x:v>MO bình thường dùng CS ra lệnh.</x:v>
      </x:c>
      <x:c r="D5" s="348" t="str">
        <x:v>P=1, E&gt;0, Y=MO, Q&lt;&gt;TRUE</x:v>
      </x:c>
      <x:c r="E5" s="348" t="str">
        <x:v>P hiệu lực=E</x:v>
      </x:c>
      <x:c r="F5" s="348" t="str"/>
    </x:row>
    <x:row r="6">
      <x:c r="A6" s="348" t="str">
        <x:v>R03</x:v>
      </x:c>
      <x:c r="B6" s="348" t="str">
        <x:v>MO dừng</x:v>
      </x:c>
      <x:c r="C6" s="348" t="str">
        <x:v>MO dừng sớm dùng CS hoàn thành thực tế.</x:v>
      </x:c>
      <x:c r="D6" s="348" t="str">
        <x:v>P=1, Q=TRUE, F&gt;0</x:v>
      </x:c>
      <x:c r="E6" s="348" t="str">
        <x:v>P hiệu lực=F</x:v>
      </x:c>
      <x:c r="F6" s="348" t="str"/>
    </x:row>
    <x:row r="7">
      <x:c r="A7" s="348" t="str">
        <x:v>R04</x:v>
      </x:c>
      <x:c r="B7" s="348" t="str">
        <x:v>Thời điểm</x:v>
      </x:c>
      <x:c r="C7" s="348" t="str">
        <x:v>Ramp bắt đầu tại thời điểm BĐTH.</x:v>
      </x:c>
      <x:c r="D7" s="348" t="str">
        <x:v>Cột G</x:v>
      </x:c>
      <x:c r="E7" s="348" t="str">
        <x:v>Giây trong ngày</x:v>
      </x:c>
      <x:c r="F7" s="348" t="str">
        <x:v>Không dùng H làm điểm bắt đầu</x:v>
      </x:c>
    </x:row>
    <x:row r="8">
      <x:c r="A8" s="348" t="str">
        <x:v>R05</x:v>
      </x:c>
      <x:c r="B8" s="348" t="str">
        <x:v>Tốc độ</x:v>
      </x:c>
      <x:c r="C8" s="348" t="str">
        <x:v>Tốc độ thay đổi công suất mặc định.</x:v>
      </x:c>
      <x:c r="D8" s="348" t="str">
        <x:v>CAI_DAT!B7</x:v>
      </x:c>
      <x:c r="E8" s="348" t="str">
        <x:v>3,5 MW/phút</x:v>
      </x:c>
      <x:c r="F8" s="348" t="str">
        <x:v>Có thể cấu hình</x:v>
      </x:c>
    </x:row>
    <x:row r="9">
      <x:c r="A9" s="348" t="str">
        <x:v>R06</x:v>
      </x:c>
      <x:c r="B9" s="348" t="str">
        <x:v>Ngắt ramp</x:v>
      </x:c>
      <x:c r="C9" s="348" t="str">
        <x:v>Lệnh mới ngắt ramp cũ tại P nội suy.</x:v>
      </x:c>
      <x:c r="D9" s="348" t="str">
        <x:v>Hai lệnh chồng thời gian</x:v>
      </x:c>
      <x:c r="E9" s="348" t="str">
        <x:v>Ramp mới từ P hiện tại</x:v>
      </x:c>
      <x:c r="F9" s="348" t="str"/>
    </x:row>
    <x:row r="10">
      <x:c r="A10" s="348" t="str">
        <x:v>R07</x:v>
      </x:c>
      <x:c r="B10" s="348" t="str">
        <x:v>Qua ngày</x:v>
      </x:c>
      <x:c r="C10" s="348" t="str">
        <x:v>Lưu P tại 24:00 và phần ramp còn lại.</x:v>
      </x:c>
      <x:c r="D10" s="348" t="str">
        <x:v>TRANG_THAI_CONG_SUAT</x:v>
      </x:c>
      <x:c r="E10" s="348" t="str">
        <x:v>AUTO_CARRY ngày sau</x:v>
      </x:c>
      <x:c r="F10" s="348" t="str">
        <x:v>Theo từng S1/S2</x:v>
      </x:c>
    </x:row>
    <x:row r="11">
      <x:c r="A11" s="348" t="str">
        <x:v>R08</x:v>
      </x:c>
      <x:c r="B11" s="348" t="str">
        <x:v>Qdd</x:v>
      </x:c>
      <x:c r="C11" s="348" t="str">
        <x:v>Trung bình diện tích công suất trong 1.800 giây.</x:v>
      </x:c>
      <x:c r="D11" s="348" t="str">
        <x:v>Đường P(t)</x:v>
      </x:c>
      <x:c r="E11" s="348" t="str">
        <x:v>MW trung bình</x:v>
      </x:c>
      <x:c r="F11" s="348" t="str"/>
    </x:row>
    <x:row r="12">
      <x:c r="A12" s="348" t="str">
        <x:v>R09</x:v>
      </x:c>
      <x:c r="B12" s="348" t="str">
        <x:v>Qdd_V</x:v>
      </x:c>
      <x:c r="C12" s="348" t="str">
        <x:v>Quy đổi Qdd sang Qdd_V.</x:v>
      </x:c>
      <x:c r="D12" s="348" t="str">
        <x:v>Qdd, hệ số 0,9188</x:v>
      </x:c>
      <x:c r="E12" s="348" t="str">
        <x:v>Qdd/2×0,9188</x:v>
      </x:c>
      <x:c r="F12" s="348" t="str"/>
    </x:row>
    <x:row r="13">
      <x:c r="A13" s="348" t="str">
        <x:v>R10</x:v>
      </x:c>
      <x:c r="B13" s="348" t="str">
        <x:v>Qdc</x:v>
      </x:c>
      <x:c r="C13" s="348" t="str">
        <x:v>Lấy KwhGiao công tơ 6001 chia 1.000.</x:v>
      </x:c>
      <x:c r="D13" s="348" t="str">
        <x:v>48 giá trị CSV</x:v>
      </x:c>
      <x:c r="E13" s="348" t="str">
        <x:v>MWh</x:v>
      </x:c>
      <x:c r="F13" s="348" t="str"/>
    </x:row>
    <x:row r="14">
      <x:c r="A14" s="348" t="str">
        <x:v>R11</x:v>
      </x:c>
      <x:c r="B14" s="348" t="str">
        <x:v>P_Qdc</x:v>
      </x:c>
      <x:c r="C14" s="348" t="str">
        <x:v>Quy đổi Qdc về MW chu kỳ 30 phút.</x:v>
      </x:c>
      <x:c r="D14" s="348" t="str">
        <x:v>Qdc</x:v>
      </x:c>
      <x:c r="E14" s="348" t="str">
        <x:v>Qdc×2</x:v>
      </x:c>
      <x:c r="F14" s="348" t="str"/>
    </x:row>
    <x:row r="15">
      <x:c r="A15" s="348" t="str">
        <x:v>R12</x:v>
      </x:c>
      <x:c r="B15" s="348" t="str">
        <x:v>Qmp</x:v>
      </x:c>
      <x:c r="C15" s="348" t="str">
        <x:v>Lấy KwhGiao công tơ 6303 chia 1.000.</x:v>
      </x:c>
      <x:c r="D15" s="348" t="str">
        <x:v>48 giá trị CSV</x:v>
      </x:c>
      <x:c r="E15" s="348" t="str">
        <x:v>MWh</x:v>
      </x:c>
      <x:c r="F15" s="348" t="str"/>
    </x:row>
    <x:row r="16">
      <x:c r="A16" s="348" t="str">
        <x:v>R13</x:v>
      </x:c>
      <x:c r="B16" s="348" t="str">
        <x:v>Dải ±3%</x:v>
      </x:c>
      <x:c r="C16" s="348" t="str">
        <x:v>So sánh P_Qdc với Qdd±3%.</x:v>
      </x:c>
      <x:c r="D16" s="348" t="str">
        <x:v>Qdd, P_Qdc</x:v>
      </x:c>
      <x:c r="E16" s="348" t="str">
        <x:v>Trong/ngoài dải</x:v>
      </x:c>
      <x:c r="F16" s="348" t="str"/>
    </x:row>
    <x:row r="17">
      <x:c r="A17" s="348" t="str">
        <x:v>R14</x:v>
      </x:c>
      <x:c r="B17" s="348" t="str">
        <x:v>Qdư</x:v>
      </x:c>
      <x:c r="C17" s="348" t="str">
        <x:v>Trong dải: 0; ngoài dải: Qmp-Qdd_V.</x:v>
      </x:c>
      <x:c r="D17" s="348" t="str">
        <x:v>Dải, Qmp, Qdd_V</x:v>
      </x:c>
      <x:c r="E17" s="348" t="str">
        <x:v>MWh</x:v>
      </x:c>
      <x:c r="F17" s="348" t="str"/>
    </x:row>
    <x:row r="18">
      <x:c r="A18" s="329"/>
      <x:c r="B18" s="329"/>
      <x:c r="C18" s="329"/>
      <x:c r="D18" s="329"/>
      <x:c r="E18" s="329"/>
      <x:c r="F18" s="329"/>
    </x:row>
    <x:row r="19">
      <x:c r="A19" s="329"/>
      <x:c r="B19" s="329"/>
      <x:c r="C19" s="329"/>
      <x:c r="D19" s="329"/>
      <x:c r="E19" s="329"/>
      <x:c r="F19" s="329"/>
    </x:row>
    <x:row r="20">
      <x:c r="A20" s="329"/>
      <x:c r="B20" s="329"/>
      <x:c r="C20" s="329"/>
      <x:c r="D20" s="329"/>
      <x:c r="E20" s="329"/>
      <x:c r="F20" s="329"/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4" hidden="0" customWidth="1"/>
    <x:col min="4" max="4" width="32" hidden="0" customWidth="1"/>
    <x:col min="5" max="5" width="40" hidden="0" customWidth="1"/>
    <x:col min="6" max="6" width="15" hidden="0" customWidth="1"/>
    <x:col min="7" max="7" width="26" hidden="0" customWidth="1"/>
  </x:cols>
  <x:sheetData>
    <x:row r="1">
      <x:c r="A1" s="544" t="str">
        <x:v>DANH MỤC KIỂM THỬ NGHIỆM THU (UAT)</x:v>
      </x:c>
      <x:c r="B1" s="544"/>
      <x:c r="C1" s="544"/>
      <x:c r="D1" s="544"/>
      <x:c r="E1" s="544"/>
      <x:c r="F1" s="544"/>
      <x:c r="G1" s="544"/>
    </x:row>
    <x:row r="2">
      <x:c r="A2" s="329"/>
      <x:c r="B2" s="329"/>
      <x:c r="C2" s="329"/>
      <x:c r="D2" s="329"/>
      <x:c r="E2" s="329"/>
      <x:c r="F2" s="329"/>
      <x:c r="G2" s="329"/>
    </x:row>
    <x:row r="3">
      <x:c r="A3" s="483" t="str">
        <x:v>ID</x:v>
      </x:c>
      <x:c r="B3" s="483" t="str">
        <x:v>Tình huống</x:v>
      </x:c>
      <x:c r="C3" s="483" t="str">
        <x:v>Tiền điều kiện</x:v>
      </x:c>
      <x:c r="D3" s="483" t="str">
        <x:v>Thao tác</x:v>
      </x:c>
      <x:c r="E3" s="483" t="str">
        <x:v>Kết quả mong đợi</x:v>
      </x:c>
      <x:c r="F3" s="483" t="str">
        <x:v>Trạng thái</x:v>
      </x:c>
      <x:c r="G3" s="483" t="str">
        <x:v>Ghi chú</x:v>
      </x:c>
    </x:row>
    <x:row r="4">
      <x:c r="A4" s="348" t="str">
        <x:v>UAT-01</x:v>
      </x:c>
      <x:c r="B4" s="348" t="str">
        <x:v>Danh sách lệnh nhiều ngày</x:v>
      </x:c>
      <x:c r="C4" s="348" t="str">
        <x:v>CAI_DAT đã chọn ngày/tổ</x:v>
      </x:c>
      <x:c r="D4" s="348" t="str">
        <x:v>Nhập file lệnh có nhiều ngày</x:v>
      </x:c>
      <x:c r="E4" s="348" t="str">
        <x:v>Không đổi B4:B6; chỉ lọc đúng ngày/tổ</x:v>
      </x:c>
      <x:c r="F4" s="348" t="str">
        <x:v>Chưa chạy</x:v>
      </x:c>
      <x:c r="G4" s="348" t="str"/>
    </x:row>
    <x:row r="5">
      <x:c r="A5" s="348" t="str">
        <x:v>UAT-02</x:v>
      </x:c>
      <x:c r="B5" s="348" t="str">
        <x:v>Giữ P0 nhập tay</x:v>
      </x:c>
      <x:c r="C5" s="348" t="str">
        <x:v>B6 có số; nguồn nhập tay</x:v>
      </x:c>
      <x:c r="D5" s="348" t="str">
        <x:v>Nhập danh sách lệnh</x:v>
      </x:c>
      <x:c r="E5" s="348" t="str">
        <x:v>B6 giữ nguyên, không hỏi lại</x:v>
      </x:c>
      <x:c r="F5" s="348" t="str">
        <x:v>Chưa chạy</x:v>
      </x:c>
      <x:c r="G5" s="348" t="str"/>
    </x:row>
    <x:row r="6">
      <x:c r="A6" s="348" t="str">
        <x:v>UAT-03</x:v>
      </x:c>
      <x:c r="B6" s="348" t="str">
        <x:v>P0 tự động</x:v>
      </x:c>
      <x:c r="C6" s="348" t="str">
        <x:v>Đã tính ngày liền trước cùng tổ</x:v>
      </x:c>
      <x:c r="D6" s="348" t="str">
        <x:v>Chọn ngày kế tiếp</x:v>
      </x:c>
      <x:c r="E6" s="348" t="str">
        <x:v>B6 lấy P cuối ngày trước</x:v>
      </x:c>
      <x:c r="F6" s="348" t="str">
        <x:v>Chưa chạy</x:v>
      </x:c>
      <x:c r="G6" s="348" t="str"/>
    </x:row>
    <x:row r="7">
      <x:c r="A7" s="348" t="str">
        <x:v>UAT-04</x:v>
      </x:c>
      <x:c r="B7" s="348" t="str">
        <x:v>Ramp qua 00:00</x:v>
      </x:c>
      <x:c r="C7" s="348" t="str">
        <x:v>Lệnh cuối ngày chưa đạt mục tiêu</x:v>
      </x:c>
      <x:c r="D7" s="348" t="str">
        <x:v>Tính ngày sau</x:v>
      </x:c>
      <x:c r="E7" s="348" t="str">
        <x:v>Có AUTO_CARRY và ramp tiếp tục</x:v>
      </x:c>
      <x:c r="F7" s="348" t="str">
        <x:v>Chưa chạy</x:v>
      </x:c>
      <x:c r="G7" s="348" t="str"/>
    </x:row>
    <x:row r="8">
      <x:c r="A8" s="348" t="str">
        <x:v>UAT-05</x:v>
      </x:c>
      <x:c r="B8" s="348" t="str">
        <x:v>SO hợp lệ</x:v>
      </x:c>
      <x:c r="C8" s="348" t="str">
        <x:v>SO hoàn thành, F&gt;0</x:v>
      </x:c>
      <x:c r="D8" s="348" t="str">
        <x:v>Tính Qdd</x:v>
      </x:c>
      <x:c r="E8" s="348" t="str">
        <x:v>P hiệu lực=F</x:v>
      </x:c>
      <x:c r="F8" s="348" t="str">
        <x:v>Chưa chạy</x:v>
      </x:c>
      <x:c r="G8" s="348" t="str"/>
    </x:row>
    <x:row r="9">
      <x:c r="A9" s="348" t="str">
        <x:v>UAT-06</x:v>
      </x:c>
      <x:c r="B9" s="348" t="str">
        <x:v>MO bình thường</x:v>
      </x:c>
      <x:c r="C9" s="348" t="str">
        <x:v>MO hoàn thành, E&gt;0</x:v>
      </x:c>
      <x:c r="D9" s="348" t="str">
        <x:v>Tính Qdd</x:v>
      </x:c>
      <x:c r="E9" s="348" t="str">
        <x:v>P hiệu lực=E</x:v>
      </x:c>
      <x:c r="F9" s="348" t="str">
        <x:v>Chưa chạy</x:v>
      </x:c>
      <x:c r="G9" s="348" t="str"/>
    </x:row>
    <x:row r="10">
      <x:c r="A10" s="348" t="str">
        <x:v>UAT-07</x:v>
      </x:c>
      <x:c r="B10" s="348" t="str">
        <x:v>MO dừng sớm</x:v>
      </x:c>
      <x:c r="C10" s="348" t="str">
        <x:v>MO, Dừng=TRUE, F&gt;0</x:v>
      </x:c>
      <x:c r="D10" s="348" t="str">
        <x:v>Tính Qdd</x:v>
      </x:c>
      <x:c r="E10" s="348" t="str">
        <x:v>P hiệu lực=F</x:v>
      </x:c>
      <x:c r="F10" s="348" t="str">
        <x:v>Chưa chạy</x:v>
      </x:c>
      <x:c r="G10" s="348" t="str"/>
    </x:row>
    <x:row r="11">
      <x:c r="A11" s="348" t="str">
        <x:v>UAT-08</x:v>
      </x:c>
      <x:c r="B11" s="348" t="str">
        <x:v>Lệnh ngắt ramp</x:v>
      </x:c>
      <x:c r="C11" s="348" t="str">
        <x:v>Lệnh mới đến giữa ramp</x:v>
      </x:c>
      <x:c r="D11" s="348" t="str">
        <x:v>Tính Qdd</x:v>
      </x:c>
      <x:c r="E11" s="348" t="str">
        <x:v>Ramp mới từ P nội suy</x:v>
      </x:c>
      <x:c r="F11" s="348" t="str">
        <x:v>Chưa chạy</x:v>
      </x:c>
      <x:c r="G11" s="348" t="str"/>
    </x:row>
    <x:row r="12">
      <x:c r="A12" s="348" t="str">
        <x:v>UAT-09</x:v>
      </x:c>
      <x:c r="B12" s="348" t="str">
        <x:v>CSV Mac một cột</x:v>
      </x:c>
      <x:c r="C12" s="348" t="str">
        <x:v>Excel mở dòng CSV trong cột A</x:v>
      </x:c>
      <x:c r="D12" s="348" t="str">
        <x:v>Nhập CSV</x:v>
      </x:c>
      <x:c r="E12" s="348" t="str">
        <x:v>Tự tách 50 trường; 48 số</x:v>
      </x:c>
      <x:c r="F12" s="348" t="str">
        <x:v>Chưa chạy</x:v>
      </x:c>
      <x:c r="G12" s="348" t="str"/>
    </x:row>
    <x:row r="13">
      <x:c r="A13" s="348" t="str">
        <x:v>UAT-10</x:v>
      </x:c>
      <x:c r="B13" s="348" t="str">
        <x:v>CSV Windows 50 cột</x:v>
      </x:c>
      <x:c r="C13" s="348" t="str">
        <x:v>Excel tách sẵn A:AX</x:v>
      </x:c>
      <x:c r="D13" s="348" t="str">
        <x:v>Nhập CSV</x:v>
      </x:c>
      <x:c r="E13" s="348" t="str">
        <x:v>Đọc trực tiếp; 48 số</x:v>
      </x:c>
      <x:c r="F13" s="348" t="str">
        <x:v>Chưa chạy</x:v>
      </x:c>
      <x:c r="G13" s="348" t="str"/>
    </x:row>
    <x:row r="14">
      <x:c r="A14" s="348" t="str">
        <x:v>UAT-11</x:v>
      </x:c>
      <x:c r="B14" s="348" t="str">
        <x:v>CSV sai ngày</x:v>
      </x:c>
      <x:c r="C14" s="348" t="str">
        <x:v>CSV khác CAI_DAT</x:v>
      </x:c>
      <x:c r="D14" s="348" t="str">
        <x:v>Nhập CSV</x:v>
      </x:c>
      <x:c r="E14" s="348" t="str">
        <x:v>Từ chối; không đổi B4:B6</x:v>
      </x:c>
      <x:c r="F14" s="348" t="str">
        <x:v>Chưa chạy</x:v>
      </x:c>
      <x:c r="G14" s="348" t="str"/>
    </x:row>
    <x:row r="15">
      <x:c r="A15" s="348" t="str">
        <x:v>UAT-12</x:v>
      </x:c>
      <x:c r="B15" s="348" t="str">
        <x:v>Đủ Qdc/Qmp</x:v>
      </x:c>
      <x:c r="C15" s="348" t="str">
        <x:v>Hai CSV hợp lệ</x:v>
      </x:c>
      <x:c r="D15" s="348" t="str">
        <x:v>Tính và kiểm tra</x:v>
      </x:c>
      <x:c r="E15" s="348" t="str">
        <x:v>48/48/48 tại B15</x:v>
      </x:c>
      <x:c r="F15" s="348" t="str">
        <x:v>Chưa chạy</x:v>
      </x:c>
      <x:c r="G15" s="348" t="str"/>
    </x:row>
    <x:row r="16">
      <x:c r="A16" s="348" t="str">
        <x:v>UAT-13</x:v>
      </x:c>
      <x:c r="B16" s="348" t="str">
        <x:v>Đối chiếu Qdd gốc</x:v>
      </x:c>
      <x:c r="C16" s="348" t="str">
        <x:v>Nhập đủ 48 Qdd gốc</x:v>
      </x:c>
      <x:c r="D16" s="348" t="str">
        <x:v>Tính</x:v>
      </x:c>
      <x:c r="E16" s="348" t="str">
        <x:v>Hiện sai lệch lớn nhất</x:v>
      </x:c>
      <x:c r="F16" s="348" t="str">
        <x:v>Chưa chạy</x:v>
      </x:c>
      <x:c r="G16" s="348" t="str"/>
    </x:row>
    <x:row r="17">
      <x:c r="A17" s="348" t="str">
        <x:v>UAT-14</x:v>
      </x:c>
      <x:c r="B17" s="348" t="str">
        <x:v>Ngày không có lệnh</x:v>
      </x:c>
      <x:c r="C17" s="348" t="str">
        <x:v>P0 và CSV đầy đủ</x:v>
      </x:c>
      <x:c r="D17" s="348" t="str">
        <x:v>Tính</x:v>
      </x:c>
      <x:c r="E17" s="348" t="str">
        <x:v>Qdd giữ theo P0; không lỗi</x:v>
      </x:c>
      <x:c r="F17" s="348" t="str">
        <x:v>Chưa chạy</x:v>
      </x:c>
      <x:c r="G17" s="348" t="str"/>
    </x:row>
    <x:row r="18">
      <x:c r="A18" s="348" t="str">
        <x:v>UAT-15</x:v>
      </x:c>
      <x:c r="B18" s="348" t="str">
        <x:v>Tổ máy S2</x:v>
      </x:c>
      <x:c r="C18" s="348" t="str">
        <x:v>Dữ liệu S2 cùng cấu trúc</x:v>
      </x:c>
      <x:c r="D18" s="348" t="str">
        <x:v>Chọn S2 và nhập dữ liệu</x:v>
      </x:c>
      <x:c r="E18" s="348" t="str">
        <x:v>Lọc S2; lịch sử P độc lập S1</x:v>
      </x:c>
      <x:c r="F18" s="348" t="str">
        <x:v>Chưa chạy</x:v>
      </x:c>
      <x:c r="G18" s="348" t="str"/>
    </x:row>
    <x:row r="19">
      <x:c r="A19" s="348" t="str">
        <x:v>UAT-16</x:v>
      </x:c>
      <x:c r="B19" s="348" t="str">
        <x:v>Sao lưu và xuất báo cáo</x:v>
      </x:c>
      <x:c r="C19" s="348" t="str">
        <x:v>Kết quả không lỗi</x:v>
      </x:c>
      <x:c r="D19" s="348" t="str">
        <x:v>Bấm nút 11 và 12</x:v>
      </x:c>
      <x:c r="E19" s="348" t="str">
        <x:v>Tạo backup và báo cáo .xlsx</x:v>
      </x:c>
      <x:c r="F19" s="348" t="str">
        <x:v>Chưa chạy</x:v>
      </x:c>
      <x:c r="G19" s="348" t="str"/>
    </x:row>
    <x:row r="20">
      <x:c r="A20" s="329" t="str">
        <x:v>UAT-17</x:v>
      </x:c>
      <x:c r="B20" s="329" t="str">
        <x:v>31 lệnh</x:v>
      </x:c>
      <x:c r="C20" s="329" t="str">
        <x:v>31 lệnh hợp lệ</x:v>
      </x:c>
      <x:c r="D20" s="329" t="str">
        <x:v>Tính</x:v>
      </x:c>
      <x:c r="E20" s="329" t="str">
        <x:v>Đủ 31 lệnh</x:v>
      </x:c>
      <x:c r="F20" s="329" t="str">
        <x:v>Chưa chạy</x:v>
      </x:c>
      <x:c r="G20" s="329" t="str"/>
    </x:row>
    <x:row r="21">
      <x:c r="A21" s="329" t="str">
        <x:v>UAT-18</x:v>
      </x:c>
      <x:c r="B21" s="329" t="str">
        <x:v>45 lệnh</x:v>
      </x:c>
      <x:c r="C21" s="329" t="str">
        <x:v>45 lệnh hợp lệ</x:v>
      </x:c>
      <x:c r="D21" s="329" t="str">
        <x:v>Tính</x:v>
      </x:c>
      <x:c r="E21" s="329" t="str">
        <x:v>Đủ 45 lệnh</x:v>
      </x:c>
      <x:c r="F21" s="329" t="str">
        <x:v>Chưa chạy</x:v>
      </x:c>
      <x:c r="G21" s="329" t="str"/>
    </x:row>
    <x:row r="22">
      <x:c r="A22" s="329" t="str">
        <x:v>UAT-19</x:v>
      </x:c>
      <x:c r="B22" s="329" t="str">
        <x:v>60 lệnh</x:v>
      </x:c>
      <x:c r="C22" s="329" t="str">
        <x:v>60 lệnh hợp lệ</x:v>
      </x:c>
      <x:c r="D22" s="329" t="str">
        <x:v>Tính</x:v>
      </x:c>
      <x:c r="E22" s="329" t="str">
        <x:v>Đủ 60 lệnh</x:v>
      </x:c>
      <x:c r="F22" s="329" t="str">
        <x:v>Chưa chạy</x:v>
      </x:c>
      <x:c r="G22" s="329" t="str"/>
    </x:row>
    <x:row r="27">
      <x:c r="A27" s="118" t="str">
        <x:v>UAT-24</x:v>
      </x:c>
      <x:c r="B27" s="118" t="str">
        <x:v>Xuất tháng trên Mac</x:v>
      </x:c>
      <x:c r="C27" s="118" t="str">
        <x:v>Có snapshot ngày</x:v>
      </x:c>
      <x:c r="D27" s="118" t="str">
        <x:v>Bấm nút 12</x:v>
      </x:c>
      <x:c r="E27" s="118" t="str">
        <x:v>Không còn lỗi merged cell 1004</x:v>
      </x:c>
      <x:c r="F27" s="118" t="str">
        <x:v>Chưa chạy</x:v>
      </x:c>
      <x:c r="G27" s="118" t="str"/>
    </x:row>
    <x:row r="28">
      <x:c r="A28" s="118" t="str">
        <x:v>UAT-25</x:v>
      </x:c>
      <x:c r="B28" s="118" t="str">
        <x:v>Chạy không Qdd gốc</x:v>
      </x:c>
      <x:c r="C28" s="118" t="str">
        <x:v>O2:O49 trống hoặc chưa đủ</x:v>
      </x:c>
      <x:c r="D28" s="118" t="str">
        <x:v>Chạy nút 7</x:v>
      </x:c>
      <x:c r="E28" s="118" t="str">
        <x:v>Tính và lưu lịch sử bình thường</x:v>
      </x:c>
      <x:c r="F28" s="118" t="str">
        <x:v>Chưa chạy</x:v>
      </x:c>
      <x:c r="G28" s="118" t="str"/>
    </x:row>
    <x:row r="29">
      <x:c r="A29" s="118" t="str">
        <x:v>UAT-26</x:v>
      </x:c>
      <x:c r="B29" s="118" t="str">
        <x:v>Không backup tự động</x:v>
      </x:c>
      <x:c r="C29" s="118" t="str">
        <x:v>Theo dõi thư mục Backup_Qdu</x:v>
      </x:c>
      <x:c r="D29" s="118" t="str">
        <x:v>Chạy nút 7</x:v>
      </x:c>
      <x:c r="E29" s="118" t="str">
        <x:v>Không tạo file backup mới</x:v>
      </x:c>
      <x:c r="F29" s="118" t="str">
        <x:v>Chưa chạy</x:v>
      </x:c>
      <x:c r="G29" s="118" t="str"/>
    </x:row>
    <x:row r="30">
      <x:c r="A30" s="118" t="str">
        <x:v>UAT-27</x:v>
      </x:c>
      <x:c r="B30" s="118" t="str">
        <x:v>Backup thủ công</x:v>
      </x:c>
      <x:c r="C30" s="118" t="str">
        <x:v>Bấm nút 11</x:v>
      </x:c>
      <x:c r="D30" s="118" t="str">
        <x:v>Sao lưu</x:v>
      </x:c>
      <x:c r="E30" s="118" t="str">
        <x:v>Tạo bản sao dự phòng bình thường</x:v>
      </x:c>
      <x:c r="F30" s="118" t="str">
        <x:v>Chưa chạy</x:v>
      </x:c>
      <x:c r="G30" s="118" t="str"/>
    </x:row>
    <x:row r="31">
      <x:c r="A31" s="118" t="str">
        <x:v>UAT-28</x:v>
      </x:c>
      <x:c r="B31" s="118" t="str">
        <x:v>Chỉ một module Qdu</x:v>
      </x:c>
      <x:c r="C31" s="118" t="str">
        <x:v>Đã xóa module cũ</x:v>
      </x:c>
      <x:c r="D31" s="118" t="str">
        <x:v>Compile</x:v>
      </x:c>
      <x:c r="E31" s="118" t="str">
        <x:v>Không lỗi và chỉ còn AllInOne</x:v>
      </x:c>
      <x:c r="F31" s="118" t="str">
        <x:v>Chưa chạy</x:v>
      </x:c>
      <x:c r="G31" s="118" t="str"/>
    </x:row>
    <x:row r="32">
      <x:c r="A32" s="118" t="str">
        <x:v>UAT-29</x:v>
      </x:c>
      <x:c r="B32" s="118" t="str">
        <x:v>Kiểm tra module tháng</x:v>
      </x:c>
      <x:c r="C32" s="118" t="str">
        <x:v>Có lịch sử tháng</x:v>
      </x:c>
      <x:c r="D32" s="118" t="str">
        <x:v>Bấm nút 13</x:v>
      </x:c>
      <x:c r="E32" s="118" t="str">
        <x:v>Báo module tháng ĐẠT</x:v>
      </x:c>
      <x:c r="F32" s="118" t="str">
        <x:v>Chưa chạy</x:v>
      </x:c>
      <x:c r="G32" s="118" t="str"/>
    </x:row>
    <x:row r="33">
      <x:c r="A33" s="118" t="str">
        <x:v>UAT-30</x:v>
      </x:c>
      <x:c r="B33" s="118" t="str">
        <x:v>Xuất tháng Windows</x:v>
      </x:c>
      <x:c r="C33" s="118" t="str">
        <x:v>Có snapshot ngày</x:v>
      </x:c>
      <x:c r="D33" s="118" t="str">
        <x:v>Bấm nút 12</x:v>
      </x:c>
      <x:c r="E33" s="118" t="str">
        <x:v>Không còn Cannot run the macro</x:v>
      </x:c>
      <x:c r="F33" s="118" t="str">
        <x:v>Chưa chạy</x:v>
      </x:c>
      <x:c r="G33" s="118" t="str"/>
    </x:row>
    <x:row r="34">
      <x:c r="A34" s="118" t="str">
        <x:v>UAT-31</x:v>
      </x:c>
      <x:c r="B34" s="118" t="str">
        <x:v>Xuất tháng Mac</x:v>
      </x:c>
      <x:c r="C34" s="118" t="str">
        <x:v>Có snapshot ngày</x:v>
      </x:c>
      <x:c r="D34" s="118" t="str">
        <x:v>Bấm nút 12</x:v>
      </x:c>
      <x:c r="E34" s="118" t="str">
        <x:v>Xuất được hoặc tự lưu cạnh workbook</x:v>
      </x:c>
      <x:c r="F34" s="118" t="str">
        <x:v>Chưa chạy</x:v>
      </x:c>
      <x:c r="G34" s="118" t="str"/>
    </x:row>
  </x:sheetData>
  <x:mergeCells>
    <x:mergeCell ref="A1:G1"/>
  </x:mergeCells>
  <x:pageMargins left="0.7" right="0.7" top="0.75" bottom="0.75" header="0.3" footer="0.3"/>
</x:worksheet>
</file>